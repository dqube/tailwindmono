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51196F13-6AD0-C1B8-E2B4-A1F9AE17003E}"/>
  <workbookPr updateLinks="never" codeName="ThisWorkbook" autoCompressPictures="0"/>
  <mc:AlternateContent xmlns:mc="http://schemas.openxmlformats.org/markup-compatibility/2006">
    <mc:Choice Requires="x15">
      <x15ac:absPath xmlns:x15ac="http://schemas.microsoft.com/office/spreadsheetml/2010/11/ac" url="C:\Users\Dev\Downloads\"/>
    </mc:Choice>
  </mc:AlternateContent>
  <xr:revisionPtr revIDLastSave="0" documentId="13_ncr:1_{DFE47DF8-44B8-40D2-B364-5B0C10E7E887}" xr6:coauthVersionLast="47" xr6:coauthVersionMax="47" xr10:uidLastSave="{00000000-0000-0000-0000-000000000000}"/>
  <bookViews>
    <workbookView xWindow="-108" yWindow="-108" windowWidth="23256" windowHeight="12456" tabRatio="845" activeTab="1" xr2:uid="{00000000-000D-0000-FFFF-FFFF00000000}"/>
  </bookViews>
  <sheets>
    <sheet name="Overview" sheetId="12" r:id="rId1"/>
    <sheet name="UI" sheetId="13" r:id="rId2"/>
    <sheet name="JSMVC" sheetId="22" r:id="rId3"/>
    <sheet name="Hybrid" sheetId="35" r:id="rId4"/>
    <sheet name=" NodeService" sheetId="45" r:id="rId5"/>
    <sheet name="Migration" sheetId="39" r:id="rId6"/>
    <sheet name="WBS" sheetId="11" r:id="rId7"/>
    <sheet name="UCDEffortSpread" sheetId="40" r:id="rId8"/>
    <sheet name="Definition" sheetId="14" state="hidden" r:id="rId9"/>
    <sheet name="EffortSharing" sheetId="31" r:id="rId10"/>
    <sheet name="ResourceLoad" sheetId="44" r:id="rId11"/>
    <sheet name="Assumptions" sheetId="41" r:id="rId12"/>
    <sheet name="DefinitionData" sheetId="26" r:id="rId13"/>
  </sheets>
  <definedNames>
    <definedName name="_xlnm._FilterDatabase" localSheetId="4" hidden="1">' NodeService'!$B$4:$E$4</definedName>
    <definedName name="_xlnm._FilterDatabase" localSheetId="3">Hybrid!$B$4:$E$4</definedName>
    <definedName name="_xlnm._FilterDatabase" localSheetId="2" hidden="1">JSMVC!$B$4:$E$123</definedName>
    <definedName name="_xlnm._FilterDatabase" localSheetId="5" hidden="1">Migration!$B$4:$C$4</definedName>
    <definedName name="_xlnm._FilterDatabase" localSheetId="1" hidden="1">UI!$B$4:$E$14</definedName>
    <definedName name="compute_Boolean">Definition!$C$21:$D$21</definedName>
    <definedName name="compute_Catalog">WBS!$C$6</definedName>
    <definedName name="compute_DevSuppTasks">WBS!$C$5</definedName>
    <definedName name="compute_Hybrid">WBS!$C$11</definedName>
    <definedName name="compute_Initiation">WBS!$C$4</definedName>
    <definedName name="compute_ManualOverrideHybrid">Hybrid!$H$15</definedName>
    <definedName name="compute_ManualOverrideMigration">Migration!$R$13</definedName>
    <definedName name="compute_ManualOverrideSPA">JSMVC!$H$14</definedName>
    <definedName name="compute_ManualOverrideUI">UI!$I$13</definedName>
    <definedName name="compute_Migration">WBS!$C$13</definedName>
    <definedName name="compute_ProgSuppTasks">WBS!$C$7</definedName>
    <definedName name="compute_SPA">WBS!$C$10</definedName>
    <definedName name="compute_UI">WBS!$C$9</definedName>
    <definedName name="compute_YesNo">Definition!$C$22:$D$22</definedName>
    <definedName name="definition_Assimilation">Definition!$K$22:$K$24</definedName>
    <definedName name="definition_Complexity">Definition!$E$3:$I$3</definedName>
    <definedName name="definition_Hybrid">Definition!$C$14:$C$16</definedName>
    <definedName name="definition_Migration">Definition!$C$17:$C$18</definedName>
    <definedName name="definition_MigrationCompToggle">Definition!$C$23:$D$23</definedName>
    <definedName name="definition_Module">UCDEffortSpread!$D$5:$D$54</definedName>
    <definedName name="definition_ModuleMaster">Definition!$E$29:$E$78</definedName>
    <definedName name="definition_SPA">Definition!$C$8:$C$13</definedName>
    <definedName name="definition_UI">Definition!$C$4:$C$6</definedName>
    <definedName name="effort_Cat_Accessibility">WBS!$R$20</definedName>
    <definedName name="effort_Cat_CodeRevew">WBS!$R$25</definedName>
    <definedName name="effort_Cat_CodeReview">WBS!$R$25</definedName>
    <definedName name="effort_Cat_DevCBTesting">WBS!$R$5</definedName>
    <definedName name="effort_Cat_DevRWDTesting">WBS!$R$10</definedName>
    <definedName name="effort_Cat_Documentation">WBS!$R$28</definedName>
    <definedName name="effort_Cat_NFR">JSMVC!$K$24</definedName>
    <definedName name="effort_Cat_ReqDocumentation">WBS!$R$28</definedName>
    <definedName name="effort_Cat_REST">JSMVC!$K$28</definedName>
    <definedName name="effort_Cat_SPA">WBS!$K$27</definedName>
    <definedName name="effort_Cat_TestDocumentation">WBS!$R$32</definedName>
    <definedName name="effort_Cat_UI">WBS!$K$23</definedName>
    <definedName name="effort_Cat_UI_Compliance">WBS!$R$16</definedName>
    <definedName name="effort_CommonTask">WBS!$K$38</definedName>
    <definedName name="effort_Dev">WBS!$K$17</definedName>
    <definedName name="effort_Hybrid">Definition!$X$18</definedName>
    <definedName name="effort_Hybrid_Android">Definition!$X$16</definedName>
    <definedName name="effort_Hybrid_iOS">Definition!$X$15</definedName>
    <definedName name="effort_HybridLayer">Definition!$X$18</definedName>
    <definedName name="effort_Initiation">WBS!$K$8</definedName>
    <definedName name="effort_Migration">Definition!$V$19</definedName>
    <definedName name="effort_SPA">Definition!$X$11</definedName>
    <definedName name="effort_SPA_Catalogue">Definition!$X$10</definedName>
    <definedName name="effort_SPA_Design">JSMVC!$K$31</definedName>
    <definedName name="effort_SPA_Dev">Definition!$X$9</definedName>
    <definedName name="effort_Support_Dev">WBS!$K$32</definedName>
    <definedName name="effort_Support_Prog">WBS!$K$38</definedName>
    <definedName name="effort_TechDoc">WBS!$K$11</definedName>
    <definedName name="effort_Total">WBS!$K$39</definedName>
    <definedName name="effort_UI">Definition!$X$7</definedName>
    <definedName name="effort_UI_PageCount">UI!$H$3</definedName>
    <definedName name="effort_UI_PageEffort">Definition!$X$6</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Q9" i="11" l="1"/>
  <c r="P23" i="44" l="1"/>
  <c r="P22" i="44"/>
  <c r="L5" i="45" l="1"/>
  <c r="K5" i="45"/>
  <c r="J5" i="45"/>
  <c r="I5" i="45"/>
  <c r="H5" i="45"/>
  <c r="L4" i="45"/>
  <c r="K4" i="45"/>
  <c r="J4" i="45"/>
  <c r="I4" i="45"/>
  <c r="H4" i="45"/>
  <c r="G5" i="45"/>
  <c r="G4" i="45"/>
  <c r="D6" i="40"/>
  <c r="D7" i="40"/>
  <c r="O281" i="14" s="1"/>
  <c r="T281" i="14" s="1"/>
  <c r="D8" i="40"/>
  <c r="D9" i="40"/>
  <c r="N133" i="14" s="1"/>
  <c r="S133" i="14" s="1"/>
  <c r="D10" i="40"/>
  <c r="D11" i="40"/>
  <c r="D12" i="40"/>
  <c r="D13" i="40"/>
  <c r="O37" i="14" s="1"/>
  <c r="T37" i="14" s="1"/>
  <c r="D14" i="40"/>
  <c r="D15" i="40"/>
  <c r="M439" i="14" s="1"/>
  <c r="R439" i="14" s="1"/>
  <c r="D16" i="40"/>
  <c r="D17" i="40"/>
  <c r="O41" i="14" s="1"/>
  <c r="T41" i="14" s="1"/>
  <c r="D18" i="40"/>
  <c r="D19" i="40"/>
  <c r="O93" i="14" s="1"/>
  <c r="T93" i="14" s="1"/>
  <c r="D20" i="40"/>
  <c r="D21" i="40"/>
  <c r="M445" i="14" s="1"/>
  <c r="R445" i="14" s="1"/>
  <c r="D22" i="40"/>
  <c r="D23" i="40"/>
  <c r="M147" i="14" s="1"/>
  <c r="R147" i="14" s="1"/>
  <c r="D24" i="40"/>
  <c r="D25" i="40"/>
  <c r="P199" i="14" s="1"/>
  <c r="U199" i="14" s="1"/>
  <c r="D26" i="40"/>
  <c r="D27" i="40"/>
  <c r="O101" i="14" s="1"/>
  <c r="T101" i="14" s="1"/>
  <c r="D28" i="40"/>
  <c r="D29" i="40"/>
  <c r="M53" i="14" s="1"/>
  <c r="R53" i="14" s="1"/>
  <c r="D30" i="40"/>
  <c r="D31" i="40"/>
  <c r="O355" i="14" s="1"/>
  <c r="T355" i="14" s="1"/>
  <c r="D32" i="40"/>
  <c r="D33" i="40"/>
  <c r="M107" i="14" s="1"/>
  <c r="R107" i="14" s="1"/>
  <c r="D34" i="40"/>
  <c r="D35" i="40"/>
  <c r="N209" i="14" s="1"/>
  <c r="S209" i="14" s="1"/>
  <c r="D36" i="40"/>
  <c r="D37" i="40"/>
  <c r="O561" i="14" s="1"/>
  <c r="T561" i="14" s="1"/>
  <c r="D38" i="40"/>
  <c r="D39" i="40"/>
  <c r="D40" i="40"/>
  <c r="D41" i="40"/>
  <c r="P465" i="14" s="1"/>
  <c r="U465" i="14" s="1"/>
  <c r="D42" i="40"/>
  <c r="D43" i="40"/>
  <c r="O117" i="14" s="1"/>
  <c r="T117" i="14" s="1"/>
  <c r="D44" i="40"/>
  <c r="D45" i="40"/>
  <c r="P369" i="14" s="1"/>
  <c r="U369" i="14" s="1"/>
  <c r="D46" i="40"/>
  <c r="D47" i="40"/>
  <c r="O421" i="14" s="1"/>
  <c r="T421" i="14" s="1"/>
  <c r="D48" i="40"/>
  <c r="D49" i="40"/>
  <c r="P373" i="14" s="1"/>
  <c r="U373" i="14" s="1"/>
  <c r="D50" i="40"/>
  <c r="D51" i="40"/>
  <c r="N75" i="14" s="1"/>
  <c r="S75" i="14" s="1"/>
  <c r="D52" i="40"/>
  <c r="D53" i="40"/>
  <c r="N577" i="14" s="1"/>
  <c r="S577" i="14" s="1"/>
  <c r="D54" i="40"/>
  <c r="M278" i="14" s="1"/>
  <c r="R278" i="14" s="1"/>
  <c r="D5" i="40"/>
  <c r="M230" i="14"/>
  <c r="R230" i="14" s="1"/>
  <c r="N230" i="14"/>
  <c r="S230" i="14" s="1"/>
  <c r="O230" i="14"/>
  <c r="T230" i="14" s="1"/>
  <c r="Q230" i="14"/>
  <c r="V230" i="14" s="1"/>
  <c r="M232" i="14"/>
  <c r="R232" i="14" s="1"/>
  <c r="N232" i="14"/>
  <c r="S232" i="14" s="1"/>
  <c r="M234" i="14"/>
  <c r="R234" i="14" s="1"/>
  <c r="O234" i="14"/>
  <c r="T234" i="14" s="1"/>
  <c r="P234" i="14"/>
  <c r="U234" i="14" s="1"/>
  <c r="Q234" i="14"/>
  <c r="V234" i="14" s="1"/>
  <c r="O236" i="14"/>
  <c r="T236" i="14" s="1"/>
  <c r="M238" i="14"/>
  <c r="R238" i="14" s="1"/>
  <c r="N238" i="14"/>
  <c r="S238" i="14" s="1"/>
  <c r="O238" i="14"/>
  <c r="T238" i="14" s="1"/>
  <c r="Q238" i="14"/>
  <c r="V238" i="14" s="1"/>
  <c r="N240" i="14"/>
  <c r="S240" i="14" s="1"/>
  <c r="P240" i="14"/>
  <c r="U240" i="14" s="1"/>
  <c r="M242" i="14"/>
  <c r="R242" i="14" s="1"/>
  <c r="O242" i="14"/>
  <c r="T242" i="14" s="1"/>
  <c r="P242" i="14"/>
  <c r="U242" i="14" s="1"/>
  <c r="Q242" i="14"/>
  <c r="V242" i="14" s="1"/>
  <c r="P244" i="14"/>
  <c r="U244" i="14" s="1"/>
  <c r="M246" i="14"/>
  <c r="R246" i="14" s="1"/>
  <c r="N246" i="14"/>
  <c r="S246" i="14" s="1"/>
  <c r="O246" i="14"/>
  <c r="T246" i="14" s="1"/>
  <c r="Q246" i="14"/>
  <c r="V246" i="14" s="1"/>
  <c r="P248" i="14"/>
  <c r="U248" i="14" s="1"/>
  <c r="Q248" i="14"/>
  <c r="V248" i="14" s="1"/>
  <c r="M250" i="14"/>
  <c r="R250" i="14" s="1"/>
  <c r="O250" i="14"/>
  <c r="T250" i="14" s="1"/>
  <c r="P250" i="14"/>
  <c r="U250" i="14" s="1"/>
  <c r="Q250" i="14"/>
  <c r="V250" i="14" s="1"/>
  <c r="N252" i="14"/>
  <c r="S252" i="14" s="1"/>
  <c r="O252" i="14"/>
  <c r="T252" i="14" s="1"/>
  <c r="M254" i="14"/>
  <c r="R254" i="14" s="1"/>
  <c r="N254" i="14"/>
  <c r="S254" i="14" s="1"/>
  <c r="P254" i="14"/>
  <c r="U254" i="14" s="1"/>
  <c r="Q254" i="14"/>
  <c r="V254" i="14" s="1"/>
  <c r="O256" i="14"/>
  <c r="T256" i="14" s="1"/>
  <c r="P256" i="14"/>
  <c r="U256" i="14" s="1"/>
  <c r="N258" i="14"/>
  <c r="S258" i="14" s="1"/>
  <c r="O258" i="14"/>
  <c r="T258" i="14" s="1"/>
  <c r="P258" i="14"/>
  <c r="U258" i="14" s="1"/>
  <c r="O260" i="14"/>
  <c r="T260" i="14" s="1"/>
  <c r="Q260" i="14"/>
  <c r="V260" i="14" s="1"/>
  <c r="M262" i="14"/>
  <c r="R262" i="14" s="1"/>
  <c r="N262" i="14"/>
  <c r="S262" i="14" s="1"/>
  <c r="P262" i="14"/>
  <c r="U262" i="14" s="1"/>
  <c r="Q262" i="14"/>
  <c r="V262" i="14" s="1"/>
  <c r="P264" i="14"/>
  <c r="U264" i="14" s="1"/>
  <c r="Q264" i="14"/>
  <c r="V264" i="14" s="1"/>
  <c r="N266" i="14"/>
  <c r="S266" i="14" s="1"/>
  <c r="O266" i="14"/>
  <c r="T266" i="14" s="1"/>
  <c r="P266" i="14"/>
  <c r="U266" i="14" s="1"/>
  <c r="M268" i="14"/>
  <c r="R268" i="14" s="1"/>
  <c r="Q268" i="14"/>
  <c r="V268" i="14" s="1"/>
  <c r="M270" i="14"/>
  <c r="R270" i="14" s="1"/>
  <c r="N270" i="14"/>
  <c r="S270" i="14" s="1"/>
  <c r="P270" i="14"/>
  <c r="U270" i="14" s="1"/>
  <c r="Q270" i="14"/>
  <c r="V270" i="14" s="1"/>
  <c r="M272" i="14"/>
  <c r="R272" i="14" s="1"/>
  <c r="Q272" i="14"/>
  <c r="V272" i="14" s="1"/>
  <c r="N274" i="14"/>
  <c r="S274" i="14" s="1"/>
  <c r="O274" i="14"/>
  <c r="T274" i="14" s="1"/>
  <c r="P274" i="14"/>
  <c r="U274" i="14" s="1"/>
  <c r="M276" i="14"/>
  <c r="R276" i="14" s="1"/>
  <c r="N276" i="14"/>
  <c r="S276" i="14" s="1"/>
  <c r="Q278" i="14"/>
  <c r="V278" i="14" s="1"/>
  <c r="M280" i="14"/>
  <c r="R280" i="14" s="1"/>
  <c r="O280" i="14"/>
  <c r="T280" i="14" s="1"/>
  <c r="P280" i="14"/>
  <c r="U280" i="14" s="1"/>
  <c r="Q280" i="14"/>
  <c r="V280" i="14" s="1"/>
  <c r="N282" i="14"/>
  <c r="S282" i="14" s="1"/>
  <c r="O282" i="14"/>
  <c r="T282" i="14" s="1"/>
  <c r="M284" i="14"/>
  <c r="R284" i="14" s="1"/>
  <c r="N284" i="14"/>
  <c r="S284" i="14" s="1"/>
  <c r="O284" i="14"/>
  <c r="T284" i="14" s="1"/>
  <c r="Q284" i="14"/>
  <c r="V284" i="14" s="1"/>
  <c r="N286" i="14"/>
  <c r="S286" i="14" s="1"/>
  <c r="P286" i="14"/>
  <c r="U286" i="14" s="1"/>
  <c r="M288" i="14"/>
  <c r="R288" i="14" s="1"/>
  <c r="O288" i="14"/>
  <c r="T288" i="14" s="1"/>
  <c r="P288" i="14"/>
  <c r="U288" i="14" s="1"/>
  <c r="Q288" i="14"/>
  <c r="V288" i="14" s="1"/>
  <c r="O290" i="14"/>
  <c r="T290" i="14" s="1"/>
  <c r="P290" i="14"/>
  <c r="U290" i="14" s="1"/>
  <c r="M292" i="14"/>
  <c r="R292" i="14" s="1"/>
  <c r="N292" i="14"/>
  <c r="S292" i="14" s="1"/>
  <c r="O292" i="14"/>
  <c r="T292" i="14" s="1"/>
  <c r="Q292" i="14"/>
  <c r="V292" i="14" s="1"/>
  <c r="P294" i="14"/>
  <c r="U294" i="14" s="1"/>
  <c r="Q294" i="14"/>
  <c r="V294" i="14" s="1"/>
  <c r="N296" i="14"/>
  <c r="S296" i="14" s="1"/>
  <c r="O296" i="14"/>
  <c r="T296" i="14" s="1"/>
  <c r="P296" i="14"/>
  <c r="U296" i="14" s="1"/>
  <c r="O298" i="14"/>
  <c r="T298" i="14" s="1"/>
  <c r="Q298" i="14"/>
  <c r="V298" i="14" s="1"/>
  <c r="M300" i="14"/>
  <c r="R300" i="14" s="1"/>
  <c r="N300" i="14"/>
  <c r="S300" i="14" s="1"/>
  <c r="P300" i="14"/>
  <c r="U300" i="14" s="1"/>
  <c r="Q300" i="14"/>
  <c r="V300" i="14" s="1"/>
  <c r="P302" i="14"/>
  <c r="U302" i="14" s="1"/>
  <c r="Q302" i="14"/>
  <c r="V302" i="14" s="1"/>
  <c r="N304" i="14"/>
  <c r="S304" i="14" s="1"/>
  <c r="O304" i="14"/>
  <c r="T304" i="14" s="1"/>
  <c r="P304" i="14"/>
  <c r="U304" i="14" s="1"/>
  <c r="M306" i="14"/>
  <c r="R306" i="14" s="1"/>
  <c r="Q306" i="14"/>
  <c r="V306" i="14" s="1"/>
  <c r="M308" i="14"/>
  <c r="R308" i="14" s="1"/>
  <c r="N308" i="14"/>
  <c r="S308" i="14" s="1"/>
  <c r="P308" i="14"/>
  <c r="U308" i="14" s="1"/>
  <c r="Q308" i="14"/>
  <c r="V308" i="14" s="1"/>
  <c r="M310" i="14"/>
  <c r="R310" i="14" s="1"/>
  <c r="Q310" i="14"/>
  <c r="V310" i="14" s="1"/>
  <c r="M312" i="14"/>
  <c r="R312" i="14" s="1"/>
  <c r="N312" i="14"/>
  <c r="S312" i="14" s="1"/>
  <c r="O312" i="14"/>
  <c r="T312" i="14" s="1"/>
  <c r="Q312" i="14"/>
  <c r="V312" i="14" s="1"/>
  <c r="M314" i="14"/>
  <c r="R314" i="14" s="1"/>
  <c r="Q314" i="14"/>
  <c r="V314" i="14" s="1"/>
  <c r="M316" i="14"/>
  <c r="R316" i="14" s="1"/>
  <c r="O316" i="14"/>
  <c r="T316" i="14" s="1"/>
  <c r="P316" i="14"/>
  <c r="U316" i="14" s="1"/>
  <c r="Q316" i="14"/>
  <c r="V316" i="14" s="1"/>
  <c r="N318" i="14"/>
  <c r="S318" i="14" s="1"/>
  <c r="M320" i="14"/>
  <c r="R320" i="14" s="1"/>
  <c r="N320" i="14"/>
  <c r="S320" i="14" s="1"/>
  <c r="O320" i="14"/>
  <c r="T320" i="14" s="1"/>
  <c r="Q320" i="14"/>
  <c r="V320" i="14" s="1"/>
  <c r="M322" i="14"/>
  <c r="R322" i="14" s="1"/>
  <c r="N322" i="14"/>
  <c r="S322" i="14" s="1"/>
  <c r="N324" i="14"/>
  <c r="S324" i="14" s="1"/>
  <c r="O324" i="14"/>
  <c r="T324" i="14" s="1"/>
  <c r="P324" i="14"/>
  <c r="U324" i="14" s="1"/>
  <c r="M326" i="14"/>
  <c r="R326" i="14" s="1"/>
  <c r="N326" i="14"/>
  <c r="S326" i="14" s="1"/>
  <c r="O328" i="14"/>
  <c r="T328" i="14" s="1"/>
  <c r="Q328" i="14"/>
  <c r="V328" i="14" s="1"/>
  <c r="N330" i="14"/>
  <c r="S330" i="14" s="1"/>
  <c r="O330" i="14"/>
  <c r="T330" i="14" s="1"/>
  <c r="P330" i="14"/>
  <c r="U330" i="14" s="1"/>
  <c r="O331" i="14"/>
  <c r="T331" i="14" s="1"/>
  <c r="M332" i="14"/>
  <c r="R332" i="14" s="1"/>
  <c r="Q332" i="14"/>
  <c r="V332" i="14" s="1"/>
  <c r="N334" i="14"/>
  <c r="S334" i="14" s="1"/>
  <c r="O334" i="14"/>
  <c r="T334" i="14" s="1"/>
  <c r="P334" i="14"/>
  <c r="U334" i="14" s="1"/>
  <c r="M336" i="14"/>
  <c r="R336" i="14" s="1"/>
  <c r="Q336" i="14"/>
  <c r="V336" i="14" s="1"/>
  <c r="M338" i="14"/>
  <c r="R338" i="14" s="1"/>
  <c r="O338" i="14"/>
  <c r="T338" i="14" s="1"/>
  <c r="P338" i="14"/>
  <c r="U338" i="14" s="1"/>
  <c r="Q338" i="14"/>
  <c r="V338" i="14" s="1"/>
  <c r="P340" i="14"/>
  <c r="U340" i="14" s="1"/>
  <c r="M342" i="14"/>
  <c r="R342" i="14" s="1"/>
  <c r="N342" i="14"/>
  <c r="S342" i="14" s="1"/>
  <c r="P342" i="14"/>
  <c r="U342" i="14" s="1"/>
  <c r="Q342" i="14"/>
  <c r="V342" i="14" s="1"/>
  <c r="P344" i="14"/>
  <c r="U344" i="14" s="1"/>
  <c r="Q344" i="14"/>
  <c r="V344" i="14" s="1"/>
  <c r="M346" i="14"/>
  <c r="R346" i="14" s="1"/>
  <c r="N346" i="14"/>
  <c r="S346" i="14" s="1"/>
  <c r="O346" i="14"/>
  <c r="T346" i="14" s="1"/>
  <c r="Q346" i="14"/>
  <c r="V346" i="14" s="1"/>
  <c r="P348" i="14"/>
  <c r="U348" i="14" s="1"/>
  <c r="Q348" i="14"/>
  <c r="V348" i="14" s="1"/>
  <c r="N350" i="14"/>
  <c r="S350" i="14" s="1"/>
  <c r="O350" i="14"/>
  <c r="T350" i="14" s="1"/>
  <c r="P350" i="14"/>
  <c r="U350" i="14" s="1"/>
  <c r="O352" i="14"/>
  <c r="T352" i="14" s="1"/>
  <c r="Q352" i="14"/>
  <c r="V352" i="14" s="1"/>
  <c r="M354" i="14"/>
  <c r="R354" i="14" s="1"/>
  <c r="O354" i="14"/>
  <c r="T354" i="14" s="1"/>
  <c r="P354" i="14"/>
  <c r="U354" i="14" s="1"/>
  <c r="Q354" i="14"/>
  <c r="V354" i="14" s="1"/>
  <c r="O356" i="14"/>
  <c r="T356" i="14" s="1"/>
  <c r="P356" i="14"/>
  <c r="U356" i="14" s="1"/>
  <c r="M358" i="14"/>
  <c r="R358" i="14" s="1"/>
  <c r="N358" i="14"/>
  <c r="S358" i="14" s="1"/>
  <c r="P358" i="14"/>
  <c r="U358" i="14" s="1"/>
  <c r="Q358" i="14"/>
  <c r="V358" i="14" s="1"/>
  <c r="O360" i="14"/>
  <c r="T360" i="14" s="1"/>
  <c r="P360" i="14"/>
  <c r="U360" i="14" s="1"/>
  <c r="M362" i="14"/>
  <c r="R362" i="14" s="1"/>
  <c r="N362" i="14"/>
  <c r="S362" i="14" s="1"/>
  <c r="O362" i="14"/>
  <c r="T362" i="14" s="1"/>
  <c r="P362" i="14"/>
  <c r="U362" i="14" s="1"/>
  <c r="Q362" i="14"/>
  <c r="V362" i="14" s="1"/>
  <c r="O363" i="14"/>
  <c r="T363" i="14" s="1"/>
  <c r="M364" i="14"/>
  <c r="R364" i="14" s="1"/>
  <c r="P364" i="14"/>
  <c r="U364" i="14" s="1"/>
  <c r="Q364" i="14"/>
  <c r="V364" i="14" s="1"/>
  <c r="M366" i="14"/>
  <c r="R366" i="14" s="1"/>
  <c r="N366" i="14"/>
  <c r="S366" i="14" s="1"/>
  <c r="O366" i="14"/>
  <c r="T366" i="14" s="1"/>
  <c r="P366" i="14"/>
  <c r="U366" i="14" s="1"/>
  <c r="Q366" i="14"/>
  <c r="V366" i="14" s="1"/>
  <c r="M368" i="14"/>
  <c r="R368" i="14" s="1"/>
  <c r="N368" i="14"/>
  <c r="S368" i="14" s="1"/>
  <c r="Q368" i="14"/>
  <c r="V368" i="14" s="1"/>
  <c r="M370" i="14"/>
  <c r="R370" i="14" s="1"/>
  <c r="N370" i="14"/>
  <c r="S370" i="14" s="1"/>
  <c r="O370" i="14"/>
  <c r="T370" i="14" s="1"/>
  <c r="P370" i="14"/>
  <c r="U370" i="14" s="1"/>
  <c r="Q370" i="14"/>
  <c r="V370" i="14" s="1"/>
  <c r="N372" i="14"/>
  <c r="S372" i="14" s="1"/>
  <c r="O372" i="14"/>
  <c r="T372" i="14" s="1"/>
  <c r="M374" i="14"/>
  <c r="R374" i="14" s="1"/>
  <c r="N374" i="14"/>
  <c r="S374" i="14" s="1"/>
  <c r="O374" i="14"/>
  <c r="T374" i="14" s="1"/>
  <c r="P374" i="14"/>
  <c r="U374" i="14" s="1"/>
  <c r="Q374" i="14"/>
  <c r="V374" i="14" s="1"/>
  <c r="O376" i="14"/>
  <c r="T376" i="14" s="1"/>
  <c r="P376" i="14"/>
  <c r="U376" i="14" s="1"/>
  <c r="N378" i="14"/>
  <c r="S378" i="14" s="1"/>
  <c r="P378" i="14"/>
  <c r="U378" i="14" s="1"/>
  <c r="M380" i="14"/>
  <c r="R380" i="14" s="1"/>
  <c r="N380" i="14"/>
  <c r="S380" i="14" s="1"/>
  <c r="O380" i="14"/>
  <c r="T380" i="14" s="1"/>
  <c r="P380" i="14"/>
  <c r="U380" i="14" s="1"/>
  <c r="Q380" i="14"/>
  <c r="V380" i="14" s="1"/>
  <c r="N382" i="14"/>
  <c r="S382" i="14" s="1"/>
  <c r="O382" i="14"/>
  <c r="T382" i="14" s="1"/>
  <c r="P382" i="14"/>
  <c r="U382" i="14" s="1"/>
  <c r="M384" i="14"/>
  <c r="R384" i="14" s="1"/>
  <c r="N384" i="14"/>
  <c r="S384" i="14" s="1"/>
  <c r="O384" i="14"/>
  <c r="T384" i="14" s="1"/>
  <c r="P384" i="14"/>
  <c r="U384" i="14" s="1"/>
  <c r="Q384" i="14"/>
  <c r="V384" i="14" s="1"/>
  <c r="M386" i="14"/>
  <c r="R386" i="14" s="1"/>
  <c r="O386" i="14"/>
  <c r="T386" i="14" s="1"/>
  <c r="P386" i="14"/>
  <c r="U386" i="14" s="1"/>
  <c r="Q386" i="14"/>
  <c r="V386" i="14" s="1"/>
  <c r="M388" i="14"/>
  <c r="R388" i="14" s="1"/>
  <c r="N388" i="14"/>
  <c r="S388" i="14" s="1"/>
  <c r="O388" i="14"/>
  <c r="T388" i="14" s="1"/>
  <c r="P388" i="14"/>
  <c r="U388" i="14" s="1"/>
  <c r="Q388" i="14"/>
  <c r="V388" i="14" s="1"/>
  <c r="M390" i="14"/>
  <c r="R390" i="14" s="1"/>
  <c r="N390" i="14"/>
  <c r="S390" i="14" s="1"/>
  <c r="P390" i="14"/>
  <c r="U390" i="14" s="1"/>
  <c r="Q390" i="14"/>
  <c r="V390" i="14" s="1"/>
  <c r="M392" i="14"/>
  <c r="R392" i="14" s="1"/>
  <c r="N392" i="14"/>
  <c r="S392" i="14" s="1"/>
  <c r="O392" i="14"/>
  <c r="T392" i="14" s="1"/>
  <c r="P392" i="14"/>
  <c r="U392" i="14" s="1"/>
  <c r="Q392" i="14"/>
  <c r="V392" i="14" s="1"/>
  <c r="M394" i="14"/>
  <c r="R394" i="14" s="1"/>
  <c r="N394" i="14"/>
  <c r="S394" i="14" s="1"/>
  <c r="O394" i="14"/>
  <c r="T394" i="14" s="1"/>
  <c r="Q394" i="14"/>
  <c r="V394" i="14" s="1"/>
  <c r="M396" i="14"/>
  <c r="R396" i="14" s="1"/>
  <c r="N396" i="14"/>
  <c r="S396" i="14" s="1"/>
  <c r="O396" i="14"/>
  <c r="T396" i="14" s="1"/>
  <c r="P396" i="14"/>
  <c r="U396" i="14" s="1"/>
  <c r="Q396" i="14"/>
  <c r="V396" i="14" s="1"/>
  <c r="N398" i="14"/>
  <c r="S398" i="14" s="1"/>
  <c r="O398" i="14"/>
  <c r="T398" i="14" s="1"/>
  <c r="P398" i="14"/>
  <c r="U398" i="14" s="1"/>
  <c r="M400" i="14"/>
  <c r="R400" i="14" s="1"/>
  <c r="N400" i="14"/>
  <c r="S400" i="14" s="1"/>
  <c r="O400" i="14"/>
  <c r="T400" i="14" s="1"/>
  <c r="P400" i="14"/>
  <c r="U400" i="14" s="1"/>
  <c r="Q400" i="14"/>
  <c r="V400" i="14" s="1"/>
  <c r="M402" i="14"/>
  <c r="R402" i="14" s="1"/>
  <c r="O402" i="14"/>
  <c r="T402" i="14" s="1"/>
  <c r="P402" i="14"/>
  <c r="U402" i="14" s="1"/>
  <c r="Q402" i="14"/>
  <c r="V402" i="14" s="1"/>
  <c r="M404" i="14"/>
  <c r="R404" i="14" s="1"/>
  <c r="N404" i="14"/>
  <c r="S404" i="14" s="1"/>
  <c r="O404" i="14"/>
  <c r="T404" i="14" s="1"/>
  <c r="P404" i="14"/>
  <c r="U404" i="14" s="1"/>
  <c r="Q404" i="14"/>
  <c r="V404" i="14" s="1"/>
  <c r="M406" i="14"/>
  <c r="R406" i="14" s="1"/>
  <c r="N406" i="14"/>
  <c r="S406" i="14" s="1"/>
  <c r="P406" i="14"/>
  <c r="U406" i="14" s="1"/>
  <c r="Q406" i="14"/>
  <c r="V406" i="14" s="1"/>
  <c r="M408" i="14"/>
  <c r="R408" i="14" s="1"/>
  <c r="N408" i="14"/>
  <c r="S408" i="14" s="1"/>
  <c r="O408" i="14"/>
  <c r="T408" i="14" s="1"/>
  <c r="P408" i="14"/>
  <c r="U408" i="14" s="1"/>
  <c r="Q408" i="14"/>
  <c r="V408" i="14" s="1"/>
  <c r="M410" i="14"/>
  <c r="R410" i="14" s="1"/>
  <c r="N410" i="14"/>
  <c r="S410" i="14" s="1"/>
  <c r="P410" i="14"/>
  <c r="U410" i="14" s="1"/>
  <c r="Q410" i="14"/>
  <c r="V410" i="14" s="1"/>
  <c r="N411" i="14"/>
  <c r="S411" i="14" s="1"/>
  <c r="M412" i="14"/>
  <c r="R412" i="14" s="1"/>
  <c r="N412" i="14"/>
  <c r="S412" i="14" s="1"/>
  <c r="O412" i="14"/>
  <c r="T412" i="14" s="1"/>
  <c r="P412" i="14"/>
  <c r="U412" i="14" s="1"/>
  <c r="Q412" i="14"/>
  <c r="V412" i="14" s="1"/>
  <c r="Q413" i="14"/>
  <c r="V413" i="14" s="1"/>
  <c r="M414" i="14"/>
  <c r="R414" i="14" s="1"/>
  <c r="O414" i="14"/>
  <c r="T414" i="14" s="1"/>
  <c r="P414" i="14"/>
  <c r="U414" i="14" s="1"/>
  <c r="Q414" i="14"/>
  <c r="V414" i="14" s="1"/>
  <c r="M416" i="14"/>
  <c r="R416" i="14" s="1"/>
  <c r="N416" i="14"/>
  <c r="S416" i="14" s="1"/>
  <c r="O416" i="14"/>
  <c r="T416" i="14" s="1"/>
  <c r="P416" i="14"/>
  <c r="U416" i="14" s="1"/>
  <c r="Q416" i="14"/>
  <c r="V416" i="14" s="1"/>
  <c r="N418" i="14"/>
  <c r="S418" i="14" s="1"/>
  <c r="O418" i="14"/>
  <c r="T418" i="14" s="1"/>
  <c r="P418" i="14"/>
  <c r="U418" i="14" s="1"/>
  <c r="M420" i="14"/>
  <c r="R420" i="14" s="1"/>
  <c r="N420" i="14"/>
  <c r="S420" i="14" s="1"/>
  <c r="O420" i="14"/>
  <c r="T420" i="14" s="1"/>
  <c r="P420" i="14"/>
  <c r="U420" i="14" s="1"/>
  <c r="Q420" i="14"/>
  <c r="V420" i="14" s="1"/>
  <c r="M422" i="14"/>
  <c r="R422" i="14" s="1"/>
  <c r="N422" i="14"/>
  <c r="S422" i="14" s="1"/>
  <c r="P422" i="14"/>
  <c r="U422" i="14" s="1"/>
  <c r="Q422" i="14"/>
  <c r="V422" i="14" s="1"/>
  <c r="M424" i="14"/>
  <c r="R424" i="14" s="1"/>
  <c r="N424" i="14"/>
  <c r="S424" i="14" s="1"/>
  <c r="O424" i="14"/>
  <c r="T424" i="14" s="1"/>
  <c r="P424" i="14"/>
  <c r="U424" i="14" s="1"/>
  <c r="Q424" i="14"/>
  <c r="V424" i="14" s="1"/>
  <c r="Q425" i="14"/>
  <c r="V425" i="14" s="1"/>
  <c r="M426" i="14"/>
  <c r="R426" i="14" s="1"/>
  <c r="N426" i="14"/>
  <c r="S426" i="14" s="1"/>
  <c r="O426" i="14"/>
  <c r="T426" i="14" s="1"/>
  <c r="Q426" i="14"/>
  <c r="V426" i="14" s="1"/>
  <c r="M428" i="14"/>
  <c r="R428" i="14" s="1"/>
  <c r="O428" i="14"/>
  <c r="T428" i="14" s="1"/>
  <c r="Q428" i="14"/>
  <c r="V428" i="14" s="1"/>
  <c r="M430" i="14"/>
  <c r="R430" i="14" s="1"/>
  <c r="N430" i="14"/>
  <c r="S430" i="14" s="1"/>
  <c r="O430" i="14"/>
  <c r="T430" i="14" s="1"/>
  <c r="P430" i="14"/>
  <c r="U430" i="14" s="1"/>
  <c r="Q430" i="14"/>
  <c r="V430" i="14" s="1"/>
  <c r="M431" i="14"/>
  <c r="R431" i="14" s="1"/>
  <c r="M432" i="14"/>
  <c r="R432" i="14" s="1"/>
  <c r="N432" i="14"/>
  <c r="S432" i="14" s="1"/>
  <c r="O432" i="14"/>
  <c r="T432" i="14" s="1"/>
  <c r="Q432" i="14"/>
  <c r="V432" i="14" s="1"/>
  <c r="M434" i="14"/>
  <c r="R434" i="14" s="1"/>
  <c r="N434" i="14"/>
  <c r="S434" i="14" s="1"/>
  <c r="O434" i="14"/>
  <c r="T434" i="14" s="1"/>
  <c r="P434" i="14"/>
  <c r="U434" i="14" s="1"/>
  <c r="Q434" i="14"/>
  <c r="V434" i="14" s="1"/>
  <c r="M436" i="14"/>
  <c r="R436" i="14" s="1"/>
  <c r="O436" i="14"/>
  <c r="T436" i="14" s="1"/>
  <c r="P436" i="14"/>
  <c r="U436" i="14" s="1"/>
  <c r="Q436" i="14"/>
  <c r="V436" i="14" s="1"/>
  <c r="M438" i="14"/>
  <c r="R438" i="14" s="1"/>
  <c r="N438" i="14"/>
  <c r="S438" i="14" s="1"/>
  <c r="O438" i="14"/>
  <c r="T438" i="14" s="1"/>
  <c r="P438" i="14"/>
  <c r="U438" i="14" s="1"/>
  <c r="Q438" i="14"/>
  <c r="V438" i="14" s="1"/>
  <c r="M440" i="14"/>
  <c r="R440" i="14" s="1"/>
  <c r="N440" i="14"/>
  <c r="S440" i="14" s="1"/>
  <c r="O440" i="14"/>
  <c r="T440" i="14" s="1"/>
  <c r="Q440" i="14"/>
  <c r="V440" i="14" s="1"/>
  <c r="M442" i="14"/>
  <c r="R442" i="14" s="1"/>
  <c r="N442" i="14"/>
  <c r="S442" i="14" s="1"/>
  <c r="O442" i="14"/>
  <c r="T442" i="14" s="1"/>
  <c r="P442" i="14"/>
  <c r="U442" i="14" s="1"/>
  <c r="Q442" i="14"/>
  <c r="V442" i="14" s="1"/>
  <c r="P443" i="14"/>
  <c r="U443" i="14" s="1"/>
  <c r="N444" i="14"/>
  <c r="S444" i="14" s="1"/>
  <c r="O444" i="14"/>
  <c r="T444" i="14" s="1"/>
  <c r="P444" i="14"/>
  <c r="U444" i="14" s="1"/>
  <c r="M446" i="14"/>
  <c r="R446" i="14" s="1"/>
  <c r="N446" i="14"/>
  <c r="S446" i="14" s="1"/>
  <c r="O446" i="14"/>
  <c r="T446" i="14" s="1"/>
  <c r="P446" i="14"/>
  <c r="U446" i="14" s="1"/>
  <c r="Q446" i="14"/>
  <c r="V446" i="14" s="1"/>
  <c r="M448" i="14"/>
  <c r="R448" i="14" s="1"/>
  <c r="N448" i="14"/>
  <c r="S448" i="14" s="1"/>
  <c r="P448" i="14"/>
  <c r="U448" i="14" s="1"/>
  <c r="Q448" i="14"/>
  <c r="V448" i="14" s="1"/>
  <c r="M450" i="14"/>
  <c r="R450" i="14" s="1"/>
  <c r="N450" i="14"/>
  <c r="S450" i="14" s="1"/>
  <c r="O450" i="14"/>
  <c r="T450" i="14" s="1"/>
  <c r="P450" i="14"/>
  <c r="U450" i="14" s="1"/>
  <c r="Q450" i="14"/>
  <c r="V450" i="14" s="1"/>
  <c r="N452" i="14"/>
  <c r="S452" i="14" s="1"/>
  <c r="O452" i="14"/>
  <c r="T452" i="14" s="1"/>
  <c r="P452" i="14"/>
  <c r="U452" i="14" s="1"/>
  <c r="M454" i="14"/>
  <c r="R454" i="14" s="1"/>
  <c r="N454" i="14"/>
  <c r="S454" i="14" s="1"/>
  <c r="O454" i="14"/>
  <c r="T454" i="14" s="1"/>
  <c r="P454" i="14"/>
  <c r="U454" i="14" s="1"/>
  <c r="Q454" i="14"/>
  <c r="V454" i="14" s="1"/>
  <c r="M456" i="14"/>
  <c r="R456" i="14" s="1"/>
  <c r="N456" i="14"/>
  <c r="S456" i="14" s="1"/>
  <c r="P456" i="14"/>
  <c r="U456" i="14" s="1"/>
  <c r="Q456" i="14"/>
  <c r="V456" i="14" s="1"/>
  <c r="M458" i="14"/>
  <c r="R458" i="14" s="1"/>
  <c r="N458" i="14"/>
  <c r="S458" i="14" s="1"/>
  <c r="O458" i="14"/>
  <c r="T458" i="14" s="1"/>
  <c r="P458" i="14"/>
  <c r="U458" i="14" s="1"/>
  <c r="Q458" i="14"/>
  <c r="V458" i="14" s="1"/>
  <c r="Q459" i="14"/>
  <c r="V459" i="14" s="1"/>
  <c r="M460" i="14"/>
  <c r="R460" i="14" s="1"/>
  <c r="N460" i="14"/>
  <c r="S460" i="14" s="1"/>
  <c r="O460" i="14"/>
  <c r="T460" i="14" s="1"/>
  <c r="Q460" i="14"/>
  <c r="V460" i="14" s="1"/>
  <c r="M462" i="14"/>
  <c r="R462" i="14" s="1"/>
  <c r="N462" i="14"/>
  <c r="S462" i="14" s="1"/>
  <c r="O462" i="14"/>
  <c r="T462" i="14" s="1"/>
  <c r="P462" i="14"/>
  <c r="U462" i="14" s="1"/>
  <c r="Q462" i="14"/>
  <c r="V462" i="14" s="1"/>
  <c r="M464" i="14"/>
  <c r="R464" i="14" s="1"/>
  <c r="O464" i="14"/>
  <c r="T464" i="14" s="1"/>
  <c r="P464" i="14"/>
  <c r="U464" i="14" s="1"/>
  <c r="Q464" i="14"/>
  <c r="V464" i="14" s="1"/>
  <c r="M466" i="14"/>
  <c r="R466" i="14" s="1"/>
  <c r="N466" i="14"/>
  <c r="S466" i="14" s="1"/>
  <c r="O466" i="14"/>
  <c r="T466" i="14" s="1"/>
  <c r="P466" i="14"/>
  <c r="U466" i="14" s="1"/>
  <c r="Q466" i="14"/>
  <c r="V466" i="14" s="1"/>
  <c r="M468" i="14"/>
  <c r="R468" i="14" s="1"/>
  <c r="N468" i="14"/>
  <c r="S468" i="14" s="1"/>
  <c r="O468" i="14"/>
  <c r="T468" i="14" s="1"/>
  <c r="P468" i="14"/>
  <c r="U468" i="14" s="1"/>
  <c r="Q468" i="14"/>
  <c r="V468" i="14" s="1"/>
  <c r="P469" i="14"/>
  <c r="U469" i="14" s="1"/>
  <c r="M470" i="14"/>
  <c r="R470" i="14" s="1"/>
  <c r="N470" i="14"/>
  <c r="S470" i="14" s="1"/>
  <c r="O470" i="14"/>
  <c r="T470" i="14" s="1"/>
  <c r="P470" i="14"/>
  <c r="U470" i="14" s="1"/>
  <c r="Q470" i="14"/>
  <c r="V470" i="14" s="1"/>
  <c r="P471" i="14"/>
  <c r="U471" i="14" s="1"/>
  <c r="M472" i="14"/>
  <c r="R472" i="14" s="1"/>
  <c r="N472" i="14"/>
  <c r="S472" i="14" s="1"/>
  <c r="O472" i="14"/>
  <c r="T472" i="14" s="1"/>
  <c r="P472" i="14"/>
  <c r="U472" i="14" s="1"/>
  <c r="Q472" i="14"/>
  <c r="V472" i="14" s="1"/>
  <c r="N473" i="14"/>
  <c r="S473" i="14" s="1"/>
  <c r="M474" i="14"/>
  <c r="R474" i="14" s="1"/>
  <c r="N474" i="14"/>
  <c r="S474" i="14" s="1"/>
  <c r="O474" i="14"/>
  <c r="T474" i="14" s="1"/>
  <c r="P474" i="14"/>
  <c r="U474" i="14" s="1"/>
  <c r="Q474" i="14"/>
  <c r="V474" i="14" s="1"/>
  <c r="M476" i="14"/>
  <c r="R476" i="14" s="1"/>
  <c r="N476" i="14"/>
  <c r="S476" i="14" s="1"/>
  <c r="O476" i="14"/>
  <c r="T476" i="14" s="1"/>
  <c r="P476" i="14"/>
  <c r="U476" i="14" s="1"/>
  <c r="Q476" i="14"/>
  <c r="V476" i="14" s="1"/>
  <c r="M478" i="14"/>
  <c r="R478" i="14" s="1"/>
  <c r="O478" i="14"/>
  <c r="T478" i="14" s="1"/>
  <c r="Q478" i="14"/>
  <c r="V478" i="14" s="1"/>
  <c r="M180" i="14"/>
  <c r="R180" i="14" s="1"/>
  <c r="N180" i="14"/>
  <c r="S180" i="14" s="1"/>
  <c r="O180" i="14"/>
  <c r="T180" i="14" s="1"/>
  <c r="P180" i="14"/>
  <c r="U180" i="14" s="1"/>
  <c r="Q180" i="14"/>
  <c r="V180" i="14" s="1"/>
  <c r="M182" i="14"/>
  <c r="R182" i="14" s="1"/>
  <c r="N182" i="14"/>
  <c r="S182" i="14" s="1"/>
  <c r="O182" i="14"/>
  <c r="T182" i="14" s="1"/>
  <c r="P182" i="14"/>
  <c r="U182" i="14" s="1"/>
  <c r="Q182" i="14"/>
  <c r="V182" i="14" s="1"/>
  <c r="M184" i="14"/>
  <c r="R184" i="14" s="1"/>
  <c r="N184" i="14"/>
  <c r="S184" i="14" s="1"/>
  <c r="O184" i="14"/>
  <c r="T184" i="14" s="1"/>
  <c r="P184" i="14"/>
  <c r="U184" i="14" s="1"/>
  <c r="Q184" i="14"/>
  <c r="V184" i="14" s="1"/>
  <c r="M186" i="14"/>
  <c r="R186" i="14" s="1"/>
  <c r="N186" i="14"/>
  <c r="S186" i="14" s="1"/>
  <c r="O186" i="14"/>
  <c r="T186" i="14" s="1"/>
  <c r="P186" i="14"/>
  <c r="U186" i="14" s="1"/>
  <c r="Q186" i="14"/>
  <c r="V186" i="14" s="1"/>
  <c r="M188" i="14"/>
  <c r="R188" i="14" s="1"/>
  <c r="N188" i="14"/>
  <c r="S188" i="14" s="1"/>
  <c r="O188" i="14"/>
  <c r="T188" i="14" s="1"/>
  <c r="P188" i="14"/>
  <c r="U188" i="14" s="1"/>
  <c r="Q188" i="14"/>
  <c r="V188" i="14" s="1"/>
  <c r="M189" i="14"/>
  <c r="R189" i="14" s="1"/>
  <c r="M190" i="14"/>
  <c r="R190" i="14" s="1"/>
  <c r="N190" i="14"/>
  <c r="S190" i="14" s="1"/>
  <c r="O190" i="14"/>
  <c r="T190" i="14" s="1"/>
  <c r="P190" i="14"/>
  <c r="U190" i="14" s="1"/>
  <c r="Q190" i="14"/>
  <c r="V190" i="14" s="1"/>
  <c r="M192" i="14"/>
  <c r="R192" i="14" s="1"/>
  <c r="N192" i="14"/>
  <c r="S192" i="14" s="1"/>
  <c r="O192" i="14"/>
  <c r="T192" i="14" s="1"/>
  <c r="P192" i="14"/>
  <c r="U192" i="14" s="1"/>
  <c r="Q192" i="14"/>
  <c r="V192" i="14" s="1"/>
  <c r="N193" i="14"/>
  <c r="S193" i="14" s="1"/>
  <c r="M194" i="14"/>
  <c r="R194" i="14" s="1"/>
  <c r="N194" i="14"/>
  <c r="S194" i="14" s="1"/>
  <c r="O194" i="14"/>
  <c r="T194" i="14" s="1"/>
  <c r="P194" i="14"/>
  <c r="U194" i="14" s="1"/>
  <c r="Q194" i="14"/>
  <c r="V194" i="14" s="1"/>
  <c r="M196" i="14"/>
  <c r="R196" i="14" s="1"/>
  <c r="N196" i="14"/>
  <c r="S196" i="14" s="1"/>
  <c r="O196" i="14"/>
  <c r="T196" i="14" s="1"/>
  <c r="P196" i="14"/>
  <c r="U196" i="14" s="1"/>
  <c r="Q196" i="14"/>
  <c r="V196" i="14" s="1"/>
  <c r="M198" i="14"/>
  <c r="R198" i="14" s="1"/>
  <c r="N198" i="14"/>
  <c r="S198" i="14" s="1"/>
  <c r="O198" i="14"/>
  <c r="T198" i="14" s="1"/>
  <c r="P198" i="14"/>
  <c r="U198" i="14" s="1"/>
  <c r="Q198" i="14"/>
  <c r="V198" i="14" s="1"/>
  <c r="M200" i="14"/>
  <c r="R200" i="14" s="1"/>
  <c r="N200" i="14"/>
  <c r="S200" i="14" s="1"/>
  <c r="O200" i="14"/>
  <c r="T200" i="14" s="1"/>
  <c r="P200" i="14"/>
  <c r="U200" i="14" s="1"/>
  <c r="Q200" i="14"/>
  <c r="V200" i="14" s="1"/>
  <c r="M202" i="14"/>
  <c r="R202" i="14" s="1"/>
  <c r="N202" i="14"/>
  <c r="S202" i="14" s="1"/>
  <c r="O202" i="14"/>
  <c r="T202" i="14" s="1"/>
  <c r="P202" i="14"/>
  <c r="U202" i="14" s="1"/>
  <c r="Q202" i="14"/>
  <c r="V202" i="14" s="1"/>
  <c r="P203" i="14"/>
  <c r="U203" i="14" s="1"/>
  <c r="M204" i="14"/>
  <c r="R204" i="14" s="1"/>
  <c r="N204" i="14"/>
  <c r="S204" i="14" s="1"/>
  <c r="O204" i="14"/>
  <c r="T204" i="14" s="1"/>
  <c r="P204" i="14"/>
  <c r="U204" i="14" s="1"/>
  <c r="Q204" i="14"/>
  <c r="V204" i="14" s="1"/>
  <c r="M206" i="14"/>
  <c r="R206" i="14" s="1"/>
  <c r="N206" i="14"/>
  <c r="S206" i="14" s="1"/>
  <c r="O206" i="14"/>
  <c r="T206" i="14" s="1"/>
  <c r="P206" i="14"/>
  <c r="U206" i="14" s="1"/>
  <c r="Q206" i="14"/>
  <c r="V206" i="14" s="1"/>
  <c r="M208" i="14"/>
  <c r="R208" i="14" s="1"/>
  <c r="N208" i="14"/>
  <c r="S208" i="14" s="1"/>
  <c r="O208" i="14"/>
  <c r="T208" i="14" s="1"/>
  <c r="P208" i="14"/>
  <c r="U208" i="14" s="1"/>
  <c r="Q208" i="14"/>
  <c r="V208" i="14" s="1"/>
  <c r="M210" i="14"/>
  <c r="R210" i="14" s="1"/>
  <c r="N210" i="14"/>
  <c r="S210" i="14" s="1"/>
  <c r="O210" i="14"/>
  <c r="T210" i="14" s="1"/>
  <c r="P210" i="14"/>
  <c r="U210" i="14" s="1"/>
  <c r="Q210" i="14"/>
  <c r="V210" i="14" s="1"/>
  <c r="M212" i="14"/>
  <c r="R212" i="14" s="1"/>
  <c r="N212" i="14"/>
  <c r="S212" i="14" s="1"/>
  <c r="O212" i="14"/>
  <c r="T212" i="14" s="1"/>
  <c r="P212" i="14"/>
  <c r="U212" i="14" s="1"/>
  <c r="Q212" i="14"/>
  <c r="V212" i="14" s="1"/>
  <c r="O213" i="14"/>
  <c r="T213" i="14" s="1"/>
  <c r="M214" i="14"/>
  <c r="R214" i="14" s="1"/>
  <c r="N214" i="14"/>
  <c r="S214" i="14" s="1"/>
  <c r="O214" i="14"/>
  <c r="T214" i="14" s="1"/>
  <c r="P214" i="14"/>
  <c r="U214" i="14" s="1"/>
  <c r="Q214" i="14"/>
  <c r="V214" i="14" s="1"/>
  <c r="M216" i="14"/>
  <c r="R216" i="14" s="1"/>
  <c r="N216" i="14"/>
  <c r="S216" i="14" s="1"/>
  <c r="O216" i="14"/>
  <c r="T216" i="14" s="1"/>
  <c r="P216" i="14"/>
  <c r="U216" i="14" s="1"/>
  <c r="Q216" i="14"/>
  <c r="V216" i="14" s="1"/>
  <c r="M218" i="14"/>
  <c r="R218" i="14" s="1"/>
  <c r="N218" i="14"/>
  <c r="S218" i="14" s="1"/>
  <c r="O218" i="14"/>
  <c r="T218" i="14" s="1"/>
  <c r="P218" i="14"/>
  <c r="U218" i="14" s="1"/>
  <c r="Q218" i="14"/>
  <c r="V218" i="14" s="1"/>
  <c r="M220" i="14"/>
  <c r="R220" i="14" s="1"/>
  <c r="N220" i="14"/>
  <c r="S220" i="14" s="1"/>
  <c r="O220" i="14"/>
  <c r="T220" i="14" s="1"/>
  <c r="P220" i="14"/>
  <c r="U220" i="14" s="1"/>
  <c r="Q220" i="14"/>
  <c r="V220" i="14" s="1"/>
  <c r="M222" i="14"/>
  <c r="R222" i="14" s="1"/>
  <c r="N222" i="14"/>
  <c r="S222" i="14" s="1"/>
  <c r="O222" i="14"/>
  <c r="T222" i="14" s="1"/>
  <c r="P222" i="14"/>
  <c r="U222" i="14" s="1"/>
  <c r="Q222" i="14"/>
  <c r="V222" i="14" s="1"/>
  <c r="N223" i="14"/>
  <c r="S223" i="14" s="1"/>
  <c r="M224" i="14"/>
  <c r="R224" i="14" s="1"/>
  <c r="N224" i="14"/>
  <c r="S224" i="14" s="1"/>
  <c r="O224" i="14"/>
  <c r="T224" i="14" s="1"/>
  <c r="P224" i="14"/>
  <c r="U224" i="14" s="1"/>
  <c r="Q224" i="14"/>
  <c r="V224" i="14" s="1"/>
  <c r="M226" i="14"/>
  <c r="R226" i="14" s="1"/>
  <c r="N226" i="14"/>
  <c r="S226" i="14" s="1"/>
  <c r="O226" i="14"/>
  <c r="T226" i="14" s="1"/>
  <c r="P226" i="14"/>
  <c r="U226" i="14" s="1"/>
  <c r="Q226" i="14"/>
  <c r="V226" i="14" s="1"/>
  <c r="M228" i="14"/>
  <c r="R228" i="14" s="1"/>
  <c r="O228" i="14"/>
  <c r="T228" i="14" s="1"/>
  <c r="Q228" i="14"/>
  <c r="V228" i="14" s="1"/>
  <c r="K9" i="14"/>
  <c r="G13" i="31" s="1"/>
  <c r="L9" i="14"/>
  <c r="H13" i="31" s="1"/>
  <c r="M9" i="14"/>
  <c r="N9" i="14"/>
  <c r="K5" i="22" s="1"/>
  <c r="O9" i="14"/>
  <c r="L5" i="22" s="1"/>
  <c r="K10" i="14"/>
  <c r="G14" i="31" s="1"/>
  <c r="L10" i="14"/>
  <c r="I6" i="22" s="1"/>
  <c r="M10" i="14"/>
  <c r="R10" i="14" s="1"/>
  <c r="N10" i="14"/>
  <c r="J14" i="31" s="1"/>
  <c r="O10" i="14"/>
  <c r="K14" i="31" s="1"/>
  <c r="K11" i="14"/>
  <c r="G15" i="31" s="1"/>
  <c r="L11" i="14"/>
  <c r="Q11" i="14" s="1"/>
  <c r="M11" i="14"/>
  <c r="J7" i="22" s="1"/>
  <c r="N11" i="14"/>
  <c r="J15" i="31" s="1"/>
  <c r="O11" i="14"/>
  <c r="K15" i="31" s="1"/>
  <c r="K12" i="14"/>
  <c r="H8" i="22" s="1"/>
  <c r="L12" i="14"/>
  <c r="M12" i="14"/>
  <c r="R12" i="14" s="1"/>
  <c r="N12" i="14"/>
  <c r="S12" i="14" s="1"/>
  <c r="O12" i="14"/>
  <c r="L8" i="22" s="1"/>
  <c r="K13" i="14"/>
  <c r="G17" i="31" s="1"/>
  <c r="L13" i="14"/>
  <c r="I9" i="22" s="1"/>
  <c r="M13" i="14"/>
  <c r="J9" i="22" s="1"/>
  <c r="N13" i="14"/>
  <c r="J17" i="31" s="1"/>
  <c r="O13" i="14"/>
  <c r="T13" i="14" s="1"/>
  <c r="K14" i="14"/>
  <c r="G18" i="31" s="1"/>
  <c r="L14" i="14"/>
  <c r="H18" i="31" s="1"/>
  <c r="M14" i="14"/>
  <c r="I18" i="31" s="1"/>
  <c r="N14" i="14"/>
  <c r="S14" i="14" s="1"/>
  <c r="O14" i="14"/>
  <c r="K18" i="31" s="1"/>
  <c r="J25" i="22"/>
  <c r="J32" i="22"/>
  <c r="D15" i="31" s="1"/>
  <c r="J29" i="22"/>
  <c r="J30" i="22"/>
  <c r="M30" i="14"/>
  <c r="R30" i="14" s="1"/>
  <c r="N30" i="14"/>
  <c r="S30" i="14" s="1"/>
  <c r="O30" i="14"/>
  <c r="T30" i="14" s="1"/>
  <c r="P30" i="14"/>
  <c r="U30" i="14" s="1"/>
  <c r="Q30" i="14"/>
  <c r="V30" i="14" s="1"/>
  <c r="M80" i="14"/>
  <c r="R80" i="14" s="1"/>
  <c r="N80" i="14"/>
  <c r="S80" i="14" s="1"/>
  <c r="O80" i="14"/>
  <c r="T80" i="14" s="1"/>
  <c r="P80" i="14"/>
  <c r="U80" i="14" s="1"/>
  <c r="Q80" i="14"/>
  <c r="V80" i="14" s="1"/>
  <c r="M130" i="14"/>
  <c r="R130" i="14" s="1"/>
  <c r="N130" i="14"/>
  <c r="S130" i="14" s="1"/>
  <c r="O130" i="14"/>
  <c r="T130" i="14" s="1"/>
  <c r="P130" i="14"/>
  <c r="U130" i="14" s="1"/>
  <c r="Q130" i="14"/>
  <c r="V130" i="14" s="1"/>
  <c r="M480" i="14"/>
  <c r="R480" i="14" s="1"/>
  <c r="N480" i="14"/>
  <c r="S480" i="14" s="1"/>
  <c r="O480" i="14"/>
  <c r="T480" i="14" s="1"/>
  <c r="P480" i="14"/>
  <c r="U480" i="14" s="1"/>
  <c r="Q480" i="14"/>
  <c r="V480" i="14" s="1"/>
  <c r="M530" i="14"/>
  <c r="R530" i="14" s="1"/>
  <c r="N530" i="14"/>
  <c r="S530" i="14" s="1"/>
  <c r="O530" i="14"/>
  <c r="T530" i="14" s="1"/>
  <c r="Q530" i="14"/>
  <c r="V530" i="14" s="1"/>
  <c r="M580" i="14"/>
  <c r="R580" i="14" s="1"/>
  <c r="N580" i="14"/>
  <c r="S580" i="14" s="1"/>
  <c r="O580" i="14"/>
  <c r="T580" i="14" s="1"/>
  <c r="P580" i="14"/>
  <c r="U580" i="14" s="1"/>
  <c r="Q580" i="14"/>
  <c r="V580" i="14" s="1"/>
  <c r="P31" i="14"/>
  <c r="U31" i="14" s="1"/>
  <c r="K4" i="14"/>
  <c r="G4" i="31" s="1"/>
  <c r="L4" i="14"/>
  <c r="I7" i="13" s="1"/>
  <c r="M4" i="14"/>
  <c r="N4" i="14"/>
  <c r="J4" i="31" s="1"/>
  <c r="O4" i="14"/>
  <c r="K4" i="31" s="1"/>
  <c r="K6" i="14"/>
  <c r="H9" i="13" s="1"/>
  <c r="L6" i="14"/>
  <c r="M6" i="14"/>
  <c r="I6" i="31" s="1"/>
  <c r="N6" i="14"/>
  <c r="S6" i="14" s="1"/>
  <c r="O6" i="14"/>
  <c r="K6" i="31" s="1"/>
  <c r="L5" i="14"/>
  <c r="M5" i="14"/>
  <c r="I5" i="31" s="1"/>
  <c r="N5" i="14"/>
  <c r="K8" i="13" s="1"/>
  <c r="K4" i="13"/>
  <c r="X4" i="14"/>
  <c r="V7" i="14"/>
  <c r="M32" i="14"/>
  <c r="R32" i="14" s="1"/>
  <c r="N32" i="14"/>
  <c r="S32" i="14" s="1"/>
  <c r="O32" i="14"/>
  <c r="T32" i="14" s="1"/>
  <c r="P32" i="14"/>
  <c r="U32" i="14" s="1"/>
  <c r="Q32" i="14"/>
  <c r="V32" i="14" s="1"/>
  <c r="M34" i="14"/>
  <c r="R34" i="14" s="1"/>
  <c r="N34" i="14"/>
  <c r="S34" i="14" s="1"/>
  <c r="O34" i="14"/>
  <c r="T34" i="14" s="1"/>
  <c r="P34" i="14"/>
  <c r="U34" i="14" s="1"/>
  <c r="Q34" i="14"/>
  <c r="V34" i="14" s="1"/>
  <c r="M36" i="14"/>
  <c r="R36" i="14" s="1"/>
  <c r="N36" i="14"/>
  <c r="S36" i="14" s="1"/>
  <c r="O36" i="14"/>
  <c r="T36" i="14" s="1"/>
  <c r="P36" i="14"/>
  <c r="U36" i="14" s="1"/>
  <c r="Q36" i="14"/>
  <c r="V36" i="14" s="1"/>
  <c r="M38" i="14"/>
  <c r="R38" i="14" s="1"/>
  <c r="N38" i="14"/>
  <c r="S38" i="14" s="1"/>
  <c r="O38" i="14"/>
  <c r="T38" i="14" s="1"/>
  <c r="P38" i="14"/>
  <c r="U38" i="14" s="1"/>
  <c r="Q38" i="14"/>
  <c r="V38" i="14" s="1"/>
  <c r="P39" i="14"/>
  <c r="U39" i="14" s="1"/>
  <c r="M40" i="14"/>
  <c r="R40" i="14" s="1"/>
  <c r="N40" i="14"/>
  <c r="S40" i="14" s="1"/>
  <c r="O40" i="14"/>
  <c r="T40" i="14" s="1"/>
  <c r="P40" i="14"/>
  <c r="U40" i="14" s="1"/>
  <c r="Q40" i="14"/>
  <c r="V40" i="14" s="1"/>
  <c r="M42" i="14"/>
  <c r="R42" i="14" s="1"/>
  <c r="N42" i="14"/>
  <c r="S42" i="14" s="1"/>
  <c r="O42" i="14"/>
  <c r="T42" i="14" s="1"/>
  <c r="P42" i="14"/>
  <c r="U42" i="14" s="1"/>
  <c r="Q42" i="14"/>
  <c r="V42" i="14" s="1"/>
  <c r="M44" i="14"/>
  <c r="R44" i="14" s="1"/>
  <c r="N44" i="14"/>
  <c r="S44" i="14" s="1"/>
  <c r="O44" i="14"/>
  <c r="T44" i="14" s="1"/>
  <c r="P44" i="14"/>
  <c r="U44" i="14" s="1"/>
  <c r="Q44" i="14"/>
  <c r="V44" i="14" s="1"/>
  <c r="P45" i="14"/>
  <c r="U45" i="14" s="1"/>
  <c r="M46" i="14"/>
  <c r="R46" i="14" s="1"/>
  <c r="N46" i="14"/>
  <c r="S46" i="14" s="1"/>
  <c r="O46" i="14"/>
  <c r="T46" i="14" s="1"/>
  <c r="P46" i="14"/>
  <c r="U46" i="14" s="1"/>
  <c r="Q46" i="14"/>
  <c r="V46" i="14" s="1"/>
  <c r="P47" i="14"/>
  <c r="U47" i="14" s="1"/>
  <c r="M48" i="14"/>
  <c r="R48" i="14" s="1"/>
  <c r="N48" i="14"/>
  <c r="S48" i="14" s="1"/>
  <c r="O48" i="14"/>
  <c r="T48" i="14" s="1"/>
  <c r="P48" i="14"/>
  <c r="U48" i="14" s="1"/>
  <c r="Q48" i="14"/>
  <c r="V48" i="14" s="1"/>
  <c r="M49" i="14"/>
  <c r="R49" i="14" s="1"/>
  <c r="M50" i="14"/>
  <c r="R50" i="14" s="1"/>
  <c r="N50" i="14"/>
  <c r="S50" i="14" s="1"/>
  <c r="O50" i="14"/>
  <c r="T50" i="14" s="1"/>
  <c r="P50" i="14"/>
  <c r="U50" i="14" s="1"/>
  <c r="Q50" i="14"/>
  <c r="V50" i="14" s="1"/>
  <c r="P51" i="14"/>
  <c r="U51" i="14" s="1"/>
  <c r="M52" i="14"/>
  <c r="R52" i="14" s="1"/>
  <c r="N52" i="14"/>
  <c r="S52" i="14" s="1"/>
  <c r="O52" i="14"/>
  <c r="T52" i="14" s="1"/>
  <c r="P52" i="14"/>
  <c r="U52" i="14" s="1"/>
  <c r="Q52" i="14"/>
  <c r="V52" i="14" s="1"/>
  <c r="M54" i="14"/>
  <c r="R54" i="14" s="1"/>
  <c r="N54" i="14"/>
  <c r="S54" i="14" s="1"/>
  <c r="O54" i="14"/>
  <c r="T54" i="14" s="1"/>
  <c r="P54" i="14"/>
  <c r="U54" i="14" s="1"/>
  <c r="Q54" i="14"/>
  <c r="V54" i="14" s="1"/>
  <c r="N55" i="14"/>
  <c r="S55" i="14" s="1"/>
  <c r="M56" i="14"/>
  <c r="R56" i="14" s="1"/>
  <c r="N56" i="14"/>
  <c r="S56" i="14" s="1"/>
  <c r="O56" i="14"/>
  <c r="T56" i="14" s="1"/>
  <c r="P56" i="14"/>
  <c r="U56" i="14" s="1"/>
  <c r="Q56" i="14"/>
  <c r="V56" i="14" s="1"/>
  <c r="M58" i="14"/>
  <c r="R58" i="14" s="1"/>
  <c r="N58" i="14"/>
  <c r="S58" i="14" s="1"/>
  <c r="O58" i="14"/>
  <c r="T58" i="14" s="1"/>
  <c r="P58" i="14"/>
  <c r="U58" i="14" s="1"/>
  <c r="Q58" i="14"/>
  <c r="V58" i="14" s="1"/>
  <c r="P59" i="14"/>
  <c r="U59" i="14" s="1"/>
  <c r="M60" i="14"/>
  <c r="R60" i="14" s="1"/>
  <c r="N60" i="14"/>
  <c r="S60" i="14" s="1"/>
  <c r="O60" i="14"/>
  <c r="T60" i="14" s="1"/>
  <c r="P60" i="14"/>
  <c r="U60" i="14" s="1"/>
  <c r="Q60" i="14"/>
  <c r="V60" i="14" s="1"/>
  <c r="Q61" i="14"/>
  <c r="V61" i="14" s="1"/>
  <c r="M62" i="14"/>
  <c r="R62" i="14" s="1"/>
  <c r="N62" i="14"/>
  <c r="S62" i="14" s="1"/>
  <c r="O62" i="14"/>
  <c r="T62" i="14" s="1"/>
  <c r="P62" i="14"/>
  <c r="U62" i="14" s="1"/>
  <c r="Q62" i="14"/>
  <c r="V62" i="14" s="1"/>
  <c r="N63" i="14"/>
  <c r="S63" i="14" s="1"/>
  <c r="P63" i="14"/>
  <c r="U63" i="14" s="1"/>
  <c r="M64" i="14"/>
  <c r="R64" i="14" s="1"/>
  <c r="N64" i="14"/>
  <c r="S64" i="14" s="1"/>
  <c r="O64" i="14"/>
  <c r="T64" i="14" s="1"/>
  <c r="P64" i="14"/>
  <c r="U64" i="14" s="1"/>
  <c r="Q64" i="14"/>
  <c r="V64" i="14" s="1"/>
  <c r="M66" i="14"/>
  <c r="R66" i="14" s="1"/>
  <c r="N66" i="14"/>
  <c r="S66" i="14" s="1"/>
  <c r="O66" i="14"/>
  <c r="T66" i="14" s="1"/>
  <c r="P66" i="14"/>
  <c r="U66" i="14" s="1"/>
  <c r="Q66" i="14"/>
  <c r="V66" i="14" s="1"/>
  <c r="N67" i="14"/>
  <c r="S67" i="14" s="1"/>
  <c r="P67" i="14"/>
  <c r="U67" i="14" s="1"/>
  <c r="M68" i="14"/>
  <c r="R68" i="14" s="1"/>
  <c r="N68" i="14"/>
  <c r="S68" i="14" s="1"/>
  <c r="O68" i="14"/>
  <c r="T68" i="14" s="1"/>
  <c r="P68" i="14"/>
  <c r="U68" i="14" s="1"/>
  <c r="Q68" i="14"/>
  <c r="V68" i="14" s="1"/>
  <c r="M70" i="14"/>
  <c r="R70" i="14" s="1"/>
  <c r="N70" i="14"/>
  <c r="S70" i="14" s="1"/>
  <c r="O70" i="14"/>
  <c r="T70" i="14" s="1"/>
  <c r="P70" i="14"/>
  <c r="U70" i="14" s="1"/>
  <c r="Q70" i="14"/>
  <c r="V70" i="14" s="1"/>
  <c r="N71" i="14"/>
  <c r="S71" i="14" s="1"/>
  <c r="M72" i="14"/>
  <c r="R72" i="14" s="1"/>
  <c r="N72" i="14"/>
  <c r="S72" i="14" s="1"/>
  <c r="O72" i="14"/>
  <c r="T72" i="14" s="1"/>
  <c r="P72" i="14"/>
  <c r="U72" i="14" s="1"/>
  <c r="Q72" i="14"/>
  <c r="V72" i="14" s="1"/>
  <c r="M74" i="14"/>
  <c r="R74" i="14" s="1"/>
  <c r="N74" i="14"/>
  <c r="S74" i="14" s="1"/>
  <c r="O74" i="14"/>
  <c r="T74" i="14" s="1"/>
  <c r="P74" i="14"/>
  <c r="U74" i="14" s="1"/>
  <c r="Q74" i="14"/>
  <c r="V74" i="14" s="1"/>
  <c r="P75" i="14"/>
  <c r="U75" i="14" s="1"/>
  <c r="M76" i="14"/>
  <c r="R76" i="14" s="1"/>
  <c r="N76" i="14"/>
  <c r="S76" i="14" s="1"/>
  <c r="O76" i="14"/>
  <c r="T76" i="14" s="1"/>
  <c r="P76" i="14"/>
  <c r="U76" i="14" s="1"/>
  <c r="Q76" i="14"/>
  <c r="V76" i="14" s="1"/>
  <c r="M78" i="14"/>
  <c r="R78" i="14" s="1"/>
  <c r="O78" i="14"/>
  <c r="T78" i="14" s="1"/>
  <c r="Q78" i="14"/>
  <c r="V78" i="14" s="1"/>
  <c r="N81" i="14"/>
  <c r="S81" i="14" s="1"/>
  <c r="P81" i="14"/>
  <c r="U81" i="14" s="1"/>
  <c r="M82" i="14"/>
  <c r="R82" i="14" s="1"/>
  <c r="N82" i="14"/>
  <c r="S82" i="14" s="1"/>
  <c r="O82" i="14"/>
  <c r="T82" i="14" s="1"/>
  <c r="P82" i="14"/>
  <c r="U82" i="14" s="1"/>
  <c r="Q82" i="14"/>
  <c r="V82" i="14" s="1"/>
  <c r="M84" i="14"/>
  <c r="R84" i="14" s="1"/>
  <c r="N84" i="14"/>
  <c r="S84" i="14" s="1"/>
  <c r="O84" i="14"/>
  <c r="T84" i="14" s="1"/>
  <c r="P84" i="14"/>
  <c r="U84" i="14" s="1"/>
  <c r="Q84" i="14"/>
  <c r="V84" i="14" s="1"/>
  <c r="M86" i="14"/>
  <c r="R86" i="14" s="1"/>
  <c r="N86" i="14"/>
  <c r="S86" i="14" s="1"/>
  <c r="O86" i="14"/>
  <c r="T86" i="14" s="1"/>
  <c r="P86" i="14"/>
  <c r="U86" i="14" s="1"/>
  <c r="Q86" i="14"/>
  <c r="V86" i="14" s="1"/>
  <c r="M88" i="14"/>
  <c r="R88" i="14" s="1"/>
  <c r="N88" i="14"/>
  <c r="S88" i="14" s="1"/>
  <c r="O88" i="14"/>
  <c r="T88" i="14" s="1"/>
  <c r="P88" i="14"/>
  <c r="U88" i="14" s="1"/>
  <c r="Q88" i="14"/>
  <c r="V88" i="14" s="1"/>
  <c r="M89" i="14"/>
  <c r="R89" i="14" s="1"/>
  <c r="O89" i="14"/>
  <c r="T89" i="14" s="1"/>
  <c r="Q89" i="14"/>
  <c r="V89" i="14" s="1"/>
  <c r="M90" i="14"/>
  <c r="R90" i="14" s="1"/>
  <c r="N90" i="14"/>
  <c r="S90" i="14" s="1"/>
  <c r="O90" i="14"/>
  <c r="T90" i="14" s="1"/>
  <c r="P90" i="14"/>
  <c r="U90" i="14" s="1"/>
  <c r="Q90" i="14"/>
  <c r="V90" i="14" s="1"/>
  <c r="M92" i="14"/>
  <c r="R92" i="14" s="1"/>
  <c r="N92" i="14"/>
  <c r="S92" i="14" s="1"/>
  <c r="O92" i="14"/>
  <c r="T92" i="14" s="1"/>
  <c r="P92" i="14"/>
  <c r="U92" i="14" s="1"/>
  <c r="Q92" i="14"/>
  <c r="V92" i="14" s="1"/>
  <c r="M93" i="14"/>
  <c r="R93" i="14" s="1"/>
  <c r="Q93" i="14"/>
  <c r="V93" i="14" s="1"/>
  <c r="M94" i="14"/>
  <c r="R94" i="14" s="1"/>
  <c r="N94" i="14"/>
  <c r="S94" i="14" s="1"/>
  <c r="O94" i="14"/>
  <c r="T94" i="14" s="1"/>
  <c r="P94" i="14"/>
  <c r="U94" i="14" s="1"/>
  <c r="Q94" i="14"/>
  <c r="V94" i="14" s="1"/>
  <c r="M96" i="14"/>
  <c r="R96" i="14" s="1"/>
  <c r="N96" i="14"/>
  <c r="S96" i="14" s="1"/>
  <c r="O96" i="14"/>
  <c r="T96" i="14" s="1"/>
  <c r="P96" i="14"/>
  <c r="U96" i="14" s="1"/>
  <c r="Q96" i="14"/>
  <c r="V96" i="14" s="1"/>
  <c r="M97" i="14"/>
  <c r="R97" i="14" s="1"/>
  <c r="O97" i="14"/>
  <c r="T97" i="14" s="1"/>
  <c r="Q97" i="14"/>
  <c r="V97" i="14" s="1"/>
  <c r="M98" i="14"/>
  <c r="R98" i="14" s="1"/>
  <c r="N98" i="14"/>
  <c r="S98" i="14" s="1"/>
  <c r="O98" i="14"/>
  <c r="T98" i="14" s="1"/>
  <c r="P98" i="14"/>
  <c r="U98" i="14" s="1"/>
  <c r="Q98" i="14"/>
  <c r="V98" i="14" s="1"/>
  <c r="M100" i="14"/>
  <c r="R100" i="14" s="1"/>
  <c r="N100" i="14"/>
  <c r="S100" i="14" s="1"/>
  <c r="O100" i="14"/>
  <c r="T100" i="14" s="1"/>
  <c r="P100" i="14"/>
  <c r="U100" i="14" s="1"/>
  <c r="Q100" i="14"/>
  <c r="V100" i="14" s="1"/>
  <c r="M101" i="14"/>
  <c r="R101" i="14" s="1"/>
  <c r="Q101" i="14"/>
  <c r="V101" i="14" s="1"/>
  <c r="M102" i="14"/>
  <c r="R102" i="14" s="1"/>
  <c r="N102" i="14"/>
  <c r="S102" i="14" s="1"/>
  <c r="O102" i="14"/>
  <c r="T102" i="14" s="1"/>
  <c r="P102" i="14"/>
  <c r="U102" i="14" s="1"/>
  <c r="Q102" i="14"/>
  <c r="V102" i="14" s="1"/>
  <c r="M104" i="14"/>
  <c r="R104" i="14" s="1"/>
  <c r="N104" i="14"/>
  <c r="S104" i="14" s="1"/>
  <c r="O104" i="14"/>
  <c r="T104" i="14" s="1"/>
  <c r="P104" i="14"/>
  <c r="U104" i="14" s="1"/>
  <c r="Q104" i="14"/>
  <c r="V104" i="14" s="1"/>
  <c r="M105" i="14"/>
  <c r="R105" i="14" s="1"/>
  <c r="O105" i="14"/>
  <c r="T105" i="14" s="1"/>
  <c r="Q105" i="14"/>
  <c r="V105" i="14" s="1"/>
  <c r="M106" i="14"/>
  <c r="R106" i="14" s="1"/>
  <c r="N106" i="14"/>
  <c r="S106" i="14" s="1"/>
  <c r="O106" i="14"/>
  <c r="T106" i="14" s="1"/>
  <c r="P106" i="14"/>
  <c r="U106" i="14" s="1"/>
  <c r="Q106" i="14"/>
  <c r="V106" i="14" s="1"/>
  <c r="M108" i="14"/>
  <c r="R108" i="14" s="1"/>
  <c r="N108" i="14"/>
  <c r="S108" i="14" s="1"/>
  <c r="O108" i="14"/>
  <c r="T108" i="14" s="1"/>
  <c r="P108" i="14"/>
  <c r="U108" i="14" s="1"/>
  <c r="Q108" i="14"/>
  <c r="V108" i="14" s="1"/>
  <c r="M109" i="14"/>
  <c r="R109" i="14" s="1"/>
  <c r="Q109" i="14"/>
  <c r="V109" i="14" s="1"/>
  <c r="M110" i="14"/>
  <c r="R110" i="14" s="1"/>
  <c r="N110" i="14"/>
  <c r="S110" i="14" s="1"/>
  <c r="O110" i="14"/>
  <c r="T110" i="14" s="1"/>
  <c r="P110" i="14"/>
  <c r="U110" i="14" s="1"/>
  <c r="Q110" i="14"/>
  <c r="V110" i="14" s="1"/>
  <c r="M112" i="14"/>
  <c r="R112" i="14" s="1"/>
  <c r="N112" i="14"/>
  <c r="S112" i="14" s="1"/>
  <c r="O112" i="14"/>
  <c r="T112" i="14" s="1"/>
  <c r="P112" i="14"/>
  <c r="U112" i="14" s="1"/>
  <c r="Q112" i="14"/>
  <c r="V112" i="14" s="1"/>
  <c r="M113" i="14"/>
  <c r="R113" i="14" s="1"/>
  <c r="O113" i="14"/>
  <c r="T113" i="14" s="1"/>
  <c r="Q113" i="14"/>
  <c r="V113" i="14" s="1"/>
  <c r="M114" i="14"/>
  <c r="R114" i="14" s="1"/>
  <c r="N114" i="14"/>
  <c r="S114" i="14" s="1"/>
  <c r="O114" i="14"/>
  <c r="T114" i="14" s="1"/>
  <c r="P114" i="14"/>
  <c r="U114" i="14" s="1"/>
  <c r="Q114" i="14"/>
  <c r="V114" i="14" s="1"/>
  <c r="M116" i="14"/>
  <c r="R116" i="14" s="1"/>
  <c r="N116" i="14"/>
  <c r="S116" i="14" s="1"/>
  <c r="O116" i="14"/>
  <c r="T116" i="14" s="1"/>
  <c r="P116" i="14"/>
  <c r="U116" i="14" s="1"/>
  <c r="Q116" i="14"/>
  <c r="V116" i="14" s="1"/>
  <c r="M117" i="14"/>
  <c r="R117" i="14" s="1"/>
  <c r="Q117" i="14"/>
  <c r="V117" i="14" s="1"/>
  <c r="M118" i="14"/>
  <c r="R118" i="14" s="1"/>
  <c r="N118" i="14"/>
  <c r="S118" i="14" s="1"/>
  <c r="O118" i="14"/>
  <c r="T118" i="14" s="1"/>
  <c r="P118" i="14"/>
  <c r="U118" i="14" s="1"/>
  <c r="Q118" i="14"/>
  <c r="V118" i="14" s="1"/>
  <c r="M120" i="14"/>
  <c r="R120" i="14" s="1"/>
  <c r="N120" i="14"/>
  <c r="S120" i="14" s="1"/>
  <c r="O120" i="14"/>
  <c r="T120" i="14" s="1"/>
  <c r="P120" i="14"/>
  <c r="U120" i="14" s="1"/>
  <c r="Q120" i="14"/>
  <c r="V120" i="14" s="1"/>
  <c r="M121" i="14"/>
  <c r="R121" i="14" s="1"/>
  <c r="O121" i="14"/>
  <c r="T121" i="14" s="1"/>
  <c r="Q121" i="14"/>
  <c r="V121" i="14" s="1"/>
  <c r="M122" i="14"/>
  <c r="R122" i="14" s="1"/>
  <c r="N122" i="14"/>
  <c r="S122" i="14" s="1"/>
  <c r="O122" i="14"/>
  <c r="T122" i="14" s="1"/>
  <c r="P122" i="14"/>
  <c r="U122" i="14" s="1"/>
  <c r="Q122" i="14"/>
  <c r="V122" i="14" s="1"/>
  <c r="M124" i="14"/>
  <c r="R124" i="14" s="1"/>
  <c r="N124" i="14"/>
  <c r="S124" i="14" s="1"/>
  <c r="O124" i="14"/>
  <c r="T124" i="14" s="1"/>
  <c r="P124" i="14"/>
  <c r="U124" i="14" s="1"/>
  <c r="Q124" i="14"/>
  <c r="V124" i="14" s="1"/>
  <c r="M125" i="14"/>
  <c r="R125" i="14" s="1"/>
  <c r="Q125" i="14"/>
  <c r="V125" i="14" s="1"/>
  <c r="M126" i="14"/>
  <c r="R126" i="14" s="1"/>
  <c r="N126" i="14"/>
  <c r="S126" i="14" s="1"/>
  <c r="O126" i="14"/>
  <c r="T126" i="14" s="1"/>
  <c r="P126" i="14"/>
  <c r="U126" i="14" s="1"/>
  <c r="Q126" i="14"/>
  <c r="V126" i="14" s="1"/>
  <c r="N128" i="14"/>
  <c r="S128" i="14" s="1"/>
  <c r="P128" i="14"/>
  <c r="U128" i="14" s="1"/>
  <c r="M131" i="14"/>
  <c r="R131" i="14" s="1"/>
  <c r="O131" i="14"/>
  <c r="T131" i="14" s="1"/>
  <c r="Q131" i="14"/>
  <c r="V131" i="14" s="1"/>
  <c r="M132" i="14"/>
  <c r="R132" i="14" s="1"/>
  <c r="N132" i="14"/>
  <c r="S132" i="14" s="1"/>
  <c r="O132" i="14"/>
  <c r="T132" i="14" s="1"/>
  <c r="P132" i="14"/>
  <c r="U132" i="14" s="1"/>
  <c r="Q132" i="14"/>
  <c r="V132" i="14" s="1"/>
  <c r="M134" i="14"/>
  <c r="R134" i="14" s="1"/>
  <c r="N134" i="14"/>
  <c r="S134" i="14" s="1"/>
  <c r="O134" i="14"/>
  <c r="T134" i="14" s="1"/>
  <c r="P134" i="14"/>
  <c r="U134" i="14" s="1"/>
  <c r="Q134" i="14"/>
  <c r="V134" i="14" s="1"/>
  <c r="M136" i="14"/>
  <c r="R136" i="14" s="1"/>
  <c r="N136" i="14"/>
  <c r="S136" i="14" s="1"/>
  <c r="O136" i="14"/>
  <c r="T136" i="14" s="1"/>
  <c r="P136" i="14"/>
  <c r="U136" i="14" s="1"/>
  <c r="Q136" i="14"/>
  <c r="V136" i="14" s="1"/>
  <c r="M137" i="14"/>
  <c r="R137" i="14" s="1"/>
  <c r="M138" i="14"/>
  <c r="R138" i="14" s="1"/>
  <c r="N138" i="14"/>
  <c r="S138" i="14" s="1"/>
  <c r="O138" i="14"/>
  <c r="T138" i="14" s="1"/>
  <c r="P138" i="14"/>
  <c r="U138" i="14" s="1"/>
  <c r="Q138" i="14"/>
  <c r="V138" i="14" s="1"/>
  <c r="M139" i="14"/>
  <c r="R139" i="14" s="1"/>
  <c r="N139" i="14"/>
  <c r="S139" i="14" s="1"/>
  <c r="Q139" i="14"/>
  <c r="V139" i="14" s="1"/>
  <c r="M140" i="14"/>
  <c r="R140" i="14" s="1"/>
  <c r="N140" i="14"/>
  <c r="S140" i="14" s="1"/>
  <c r="O140" i="14"/>
  <c r="T140" i="14" s="1"/>
  <c r="P140" i="14"/>
  <c r="U140" i="14" s="1"/>
  <c r="Q140" i="14"/>
  <c r="V140" i="14" s="1"/>
  <c r="Q141" i="14"/>
  <c r="V141" i="14" s="1"/>
  <c r="M142" i="14"/>
  <c r="R142" i="14" s="1"/>
  <c r="N142" i="14"/>
  <c r="S142" i="14" s="1"/>
  <c r="O142" i="14"/>
  <c r="T142" i="14" s="1"/>
  <c r="P142" i="14"/>
  <c r="U142" i="14" s="1"/>
  <c r="Q142" i="14"/>
  <c r="V142" i="14" s="1"/>
  <c r="M143" i="14"/>
  <c r="R143" i="14" s="1"/>
  <c r="N143" i="14"/>
  <c r="S143" i="14" s="1"/>
  <c r="P143" i="14"/>
  <c r="U143" i="14" s="1"/>
  <c r="M144" i="14"/>
  <c r="R144" i="14" s="1"/>
  <c r="N144" i="14"/>
  <c r="S144" i="14" s="1"/>
  <c r="O144" i="14"/>
  <c r="T144" i="14" s="1"/>
  <c r="P144" i="14"/>
  <c r="U144" i="14" s="1"/>
  <c r="Q144" i="14"/>
  <c r="V144" i="14" s="1"/>
  <c r="M146" i="14"/>
  <c r="R146" i="14" s="1"/>
  <c r="N146" i="14"/>
  <c r="S146" i="14" s="1"/>
  <c r="O146" i="14"/>
  <c r="T146" i="14" s="1"/>
  <c r="P146" i="14"/>
  <c r="U146" i="14" s="1"/>
  <c r="Q146" i="14"/>
  <c r="V146" i="14" s="1"/>
  <c r="N147" i="14"/>
  <c r="S147" i="14" s="1"/>
  <c r="P147" i="14"/>
  <c r="U147" i="14" s="1"/>
  <c r="Q147" i="14"/>
  <c r="V147" i="14" s="1"/>
  <c r="M148" i="14"/>
  <c r="R148" i="14" s="1"/>
  <c r="N148" i="14"/>
  <c r="S148" i="14" s="1"/>
  <c r="O148" i="14"/>
  <c r="T148" i="14" s="1"/>
  <c r="P148" i="14"/>
  <c r="U148" i="14" s="1"/>
  <c r="Q148" i="14"/>
  <c r="V148" i="14" s="1"/>
  <c r="M150" i="14"/>
  <c r="R150" i="14" s="1"/>
  <c r="N150" i="14"/>
  <c r="S150" i="14" s="1"/>
  <c r="O150" i="14"/>
  <c r="T150" i="14" s="1"/>
  <c r="P150" i="14"/>
  <c r="U150" i="14" s="1"/>
  <c r="Q150" i="14"/>
  <c r="V150" i="14" s="1"/>
  <c r="M151" i="14"/>
  <c r="R151" i="14" s="1"/>
  <c r="P151" i="14"/>
  <c r="U151" i="14" s="1"/>
  <c r="Q151" i="14"/>
  <c r="V151" i="14" s="1"/>
  <c r="M152" i="14"/>
  <c r="R152" i="14" s="1"/>
  <c r="N152" i="14"/>
  <c r="S152" i="14" s="1"/>
  <c r="O152" i="14"/>
  <c r="T152" i="14" s="1"/>
  <c r="P152" i="14"/>
  <c r="U152" i="14" s="1"/>
  <c r="Q152" i="14"/>
  <c r="V152" i="14" s="1"/>
  <c r="M153" i="14"/>
  <c r="R153" i="14" s="1"/>
  <c r="M154" i="14"/>
  <c r="R154" i="14" s="1"/>
  <c r="N154" i="14"/>
  <c r="S154" i="14" s="1"/>
  <c r="O154" i="14"/>
  <c r="T154" i="14" s="1"/>
  <c r="P154" i="14"/>
  <c r="U154" i="14" s="1"/>
  <c r="Q154" i="14"/>
  <c r="V154" i="14" s="1"/>
  <c r="M155" i="14"/>
  <c r="R155" i="14" s="1"/>
  <c r="N155" i="14"/>
  <c r="S155" i="14" s="1"/>
  <c r="Q155" i="14"/>
  <c r="V155" i="14" s="1"/>
  <c r="M156" i="14"/>
  <c r="R156" i="14" s="1"/>
  <c r="N156" i="14"/>
  <c r="S156" i="14" s="1"/>
  <c r="O156" i="14"/>
  <c r="T156" i="14" s="1"/>
  <c r="P156" i="14"/>
  <c r="U156" i="14" s="1"/>
  <c r="Q156" i="14"/>
  <c r="V156" i="14" s="1"/>
  <c r="Q157" i="14"/>
  <c r="V157" i="14" s="1"/>
  <c r="M158" i="14"/>
  <c r="R158" i="14" s="1"/>
  <c r="N158" i="14"/>
  <c r="S158" i="14" s="1"/>
  <c r="O158" i="14"/>
  <c r="T158" i="14" s="1"/>
  <c r="P158" i="14"/>
  <c r="U158" i="14" s="1"/>
  <c r="Q158" i="14"/>
  <c r="V158" i="14" s="1"/>
  <c r="M159" i="14"/>
  <c r="R159" i="14" s="1"/>
  <c r="N159" i="14"/>
  <c r="S159" i="14" s="1"/>
  <c r="P159" i="14"/>
  <c r="U159" i="14" s="1"/>
  <c r="Q159" i="14"/>
  <c r="V159" i="14" s="1"/>
  <c r="M160" i="14"/>
  <c r="R160" i="14" s="1"/>
  <c r="N160" i="14"/>
  <c r="S160" i="14" s="1"/>
  <c r="O160" i="14"/>
  <c r="T160" i="14" s="1"/>
  <c r="P160" i="14"/>
  <c r="U160" i="14" s="1"/>
  <c r="Q160" i="14"/>
  <c r="V160" i="14" s="1"/>
  <c r="M162" i="14"/>
  <c r="R162" i="14" s="1"/>
  <c r="N162" i="14"/>
  <c r="S162" i="14" s="1"/>
  <c r="O162" i="14"/>
  <c r="T162" i="14" s="1"/>
  <c r="P162" i="14"/>
  <c r="U162" i="14" s="1"/>
  <c r="Q162" i="14"/>
  <c r="V162" i="14" s="1"/>
  <c r="M163" i="14"/>
  <c r="R163" i="14" s="1"/>
  <c r="N163" i="14"/>
  <c r="S163" i="14" s="1"/>
  <c r="P163" i="14"/>
  <c r="U163" i="14" s="1"/>
  <c r="Q163" i="14"/>
  <c r="V163" i="14" s="1"/>
  <c r="M164" i="14"/>
  <c r="R164" i="14" s="1"/>
  <c r="N164" i="14"/>
  <c r="S164" i="14" s="1"/>
  <c r="O164" i="14"/>
  <c r="T164" i="14" s="1"/>
  <c r="P164" i="14"/>
  <c r="U164" i="14" s="1"/>
  <c r="Q164" i="14"/>
  <c r="V164" i="14" s="1"/>
  <c r="M166" i="14"/>
  <c r="R166" i="14" s="1"/>
  <c r="N166" i="14"/>
  <c r="S166" i="14" s="1"/>
  <c r="O166" i="14"/>
  <c r="T166" i="14" s="1"/>
  <c r="P166" i="14"/>
  <c r="U166" i="14" s="1"/>
  <c r="Q166" i="14"/>
  <c r="V166" i="14" s="1"/>
  <c r="M167" i="14"/>
  <c r="R167" i="14" s="1"/>
  <c r="N167" i="14"/>
  <c r="S167" i="14" s="1"/>
  <c r="P167" i="14"/>
  <c r="U167" i="14" s="1"/>
  <c r="Q167" i="14"/>
  <c r="V167" i="14" s="1"/>
  <c r="M168" i="14"/>
  <c r="R168" i="14" s="1"/>
  <c r="N168" i="14"/>
  <c r="S168" i="14" s="1"/>
  <c r="O168" i="14"/>
  <c r="T168" i="14" s="1"/>
  <c r="P168" i="14"/>
  <c r="U168" i="14" s="1"/>
  <c r="Q168" i="14"/>
  <c r="V168" i="14" s="1"/>
  <c r="M170" i="14"/>
  <c r="R170" i="14" s="1"/>
  <c r="N170" i="14"/>
  <c r="S170" i="14" s="1"/>
  <c r="O170" i="14"/>
  <c r="T170" i="14" s="1"/>
  <c r="P170" i="14"/>
  <c r="U170" i="14" s="1"/>
  <c r="Q170" i="14"/>
  <c r="V170" i="14" s="1"/>
  <c r="M171" i="14"/>
  <c r="R171" i="14" s="1"/>
  <c r="N171" i="14"/>
  <c r="S171" i="14" s="1"/>
  <c r="P171" i="14"/>
  <c r="U171" i="14" s="1"/>
  <c r="Q171" i="14"/>
  <c r="V171" i="14" s="1"/>
  <c r="M172" i="14"/>
  <c r="R172" i="14" s="1"/>
  <c r="N172" i="14"/>
  <c r="S172" i="14" s="1"/>
  <c r="O172" i="14"/>
  <c r="T172" i="14" s="1"/>
  <c r="P172" i="14"/>
  <c r="U172" i="14" s="1"/>
  <c r="Q172" i="14"/>
  <c r="V172" i="14" s="1"/>
  <c r="M173" i="14"/>
  <c r="R173" i="14" s="1"/>
  <c r="M174" i="14"/>
  <c r="R174" i="14" s="1"/>
  <c r="N174" i="14"/>
  <c r="S174" i="14" s="1"/>
  <c r="O174" i="14"/>
  <c r="T174" i="14" s="1"/>
  <c r="P174" i="14"/>
  <c r="U174" i="14" s="1"/>
  <c r="Q174" i="14"/>
  <c r="V174" i="14" s="1"/>
  <c r="M175" i="14"/>
  <c r="R175" i="14" s="1"/>
  <c r="N175" i="14"/>
  <c r="S175" i="14" s="1"/>
  <c r="P175" i="14"/>
  <c r="U175" i="14" s="1"/>
  <c r="Q175" i="14"/>
  <c r="V175" i="14" s="1"/>
  <c r="M176" i="14"/>
  <c r="R176" i="14" s="1"/>
  <c r="N176" i="14"/>
  <c r="S176" i="14" s="1"/>
  <c r="O176" i="14"/>
  <c r="T176" i="14" s="1"/>
  <c r="P176" i="14"/>
  <c r="U176" i="14" s="1"/>
  <c r="Q176" i="14"/>
  <c r="V176" i="14" s="1"/>
  <c r="P177" i="14"/>
  <c r="U177" i="14" s="1"/>
  <c r="N178" i="14"/>
  <c r="S178" i="14" s="1"/>
  <c r="P178" i="14"/>
  <c r="U178" i="14" s="1"/>
  <c r="M481" i="14"/>
  <c r="R481" i="14" s="1"/>
  <c r="N481" i="14"/>
  <c r="S481" i="14" s="1"/>
  <c r="P481" i="14"/>
  <c r="U481" i="14" s="1"/>
  <c r="Q481" i="14"/>
  <c r="V481" i="14" s="1"/>
  <c r="M531" i="14"/>
  <c r="R531" i="14" s="1"/>
  <c r="O531" i="14"/>
  <c r="T531" i="14" s="1"/>
  <c r="P531" i="14"/>
  <c r="U531" i="14" s="1"/>
  <c r="Q531" i="14"/>
  <c r="V531" i="14" s="1"/>
  <c r="N581" i="14"/>
  <c r="S581" i="14" s="1"/>
  <c r="O581" i="14"/>
  <c r="T581" i="14" s="1"/>
  <c r="P581" i="14"/>
  <c r="U581" i="14" s="1"/>
  <c r="M482" i="14"/>
  <c r="R482" i="14" s="1"/>
  <c r="N482" i="14"/>
  <c r="S482" i="14" s="1"/>
  <c r="O482" i="14"/>
  <c r="T482" i="14" s="1"/>
  <c r="P482" i="14"/>
  <c r="U482" i="14" s="1"/>
  <c r="Q482" i="14"/>
  <c r="V482" i="14" s="1"/>
  <c r="M532" i="14"/>
  <c r="R532" i="14" s="1"/>
  <c r="N532" i="14"/>
  <c r="S532" i="14" s="1"/>
  <c r="O532" i="14"/>
  <c r="T532" i="14" s="1"/>
  <c r="P532" i="14"/>
  <c r="U532" i="14" s="1"/>
  <c r="Q532" i="14"/>
  <c r="V532" i="14" s="1"/>
  <c r="M582" i="14"/>
  <c r="R582" i="14" s="1"/>
  <c r="N582" i="14"/>
  <c r="S582" i="14" s="1"/>
  <c r="O582" i="14"/>
  <c r="T582" i="14" s="1"/>
  <c r="P582" i="14"/>
  <c r="U582" i="14" s="1"/>
  <c r="Q582" i="14"/>
  <c r="V582" i="14" s="1"/>
  <c r="N483" i="14"/>
  <c r="S483" i="14" s="1"/>
  <c r="M484" i="14"/>
  <c r="R484" i="14" s="1"/>
  <c r="N484" i="14"/>
  <c r="S484" i="14" s="1"/>
  <c r="O484" i="14"/>
  <c r="T484" i="14" s="1"/>
  <c r="P484" i="14"/>
  <c r="U484" i="14" s="1"/>
  <c r="Q484" i="14"/>
  <c r="V484" i="14" s="1"/>
  <c r="M486" i="14"/>
  <c r="R486" i="14" s="1"/>
  <c r="N486" i="14"/>
  <c r="S486" i="14" s="1"/>
  <c r="O486" i="14"/>
  <c r="T486" i="14" s="1"/>
  <c r="P486" i="14"/>
  <c r="U486" i="14" s="1"/>
  <c r="Q486" i="14"/>
  <c r="V486" i="14" s="1"/>
  <c r="Q487" i="14"/>
  <c r="V487" i="14" s="1"/>
  <c r="M488" i="14"/>
  <c r="R488" i="14" s="1"/>
  <c r="N488" i="14"/>
  <c r="S488" i="14" s="1"/>
  <c r="O488" i="14"/>
  <c r="T488" i="14" s="1"/>
  <c r="P488" i="14"/>
  <c r="U488" i="14" s="1"/>
  <c r="Q488" i="14"/>
  <c r="V488" i="14" s="1"/>
  <c r="M489" i="14"/>
  <c r="R489" i="14" s="1"/>
  <c r="N489" i="14"/>
  <c r="S489" i="14" s="1"/>
  <c r="O489" i="14"/>
  <c r="T489" i="14" s="1"/>
  <c r="Q489" i="14"/>
  <c r="V489" i="14" s="1"/>
  <c r="M490" i="14"/>
  <c r="R490" i="14" s="1"/>
  <c r="N490" i="14"/>
  <c r="S490" i="14" s="1"/>
  <c r="O490" i="14"/>
  <c r="T490" i="14" s="1"/>
  <c r="P490" i="14"/>
  <c r="U490" i="14" s="1"/>
  <c r="Q490" i="14"/>
  <c r="V490" i="14" s="1"/>
  <c r="M492" i="14"/>
  <c r="R492" i="14" s="1"/>
  <c r="N492" i="14"/>
  <c r="S492" i="14" s="1"/>
  <c r="O492" i="14"/>
  <c r="T492" i="14" s="1"/>
  <c r="P492" i="14"/>
  <c r="U492" i="14" s="1"/>
  <c r="Q492" i="14"/>
  <c r="V492" i="14" s="1"/>
  <c r="M493" i="14"/>
  <c r="R493" i="14" s="1"/>
  <c r="N493" i="14"/>
  <c r="S493" i="14" s="1"/>
  <c r="P493" i="14"/>
  <c r="U493" i="14" s="1"/>
  <c r="Q493" i="14"/>
  <c r="V493" i="14" s="1"/>
  <c r="M494" i="14"/>
  <c r="R494" i="14" s="1"/>
  <c r="N494" i="14"/>
  <c r="S494" i="14" s="1"/>
  <c r="O494" i="14"/>
  <c r="T494" i="14" s="1"/>
  <c r="P494" i="14"/>
  <c r="U494" i="14" s="1"/>
  <c r="Q494" i="14"/>
  <c r="V494" i="14" s="1"/>
  <c r="M496" i="14"/>
  <c r="R496" i="14" s="1"/>
  <c r="N496" i="14"/>
  <c r="S496" i="14" s="1"/>
  <c r="O496" i="14"/>
  <c r="T496" i="14" s="1"/>
  <c r="P496" i="14"/>
  <c r="U496" i="14" s="1"/>
  <c r="Q496" i="14"/>
  <c r="V496" i="14" s="1"/>
  <c r="M497" i="14"/>
  <c r="R497" i="14" s="1"/>
  <c r="N497" i="14"/>
  <c r="S497" i="14" s="1"/>
  <c r="P497" i="14"/>
  <c r="U497" i="14" s="1"/>
  <c r="Q497" i="14"/>
  <c r="V497" i="14" s="1"/>
  <c r="M498" i="14"/>
  <c r="R498" i="14" s="1"/>
  <c r="N498" i="14"/>
  <c r="S498" i="14" s="1"/>
  <c r="O498" i="14"/>
  <c r="T498" i="14" s="1"/>
  <c r="P498" i="14"/>
  <c r="U498" i="14" s="1"/>
  <c r="Q498" i="14"/>
  <c r="V498" i="14" s="1"/>
  <c r="M500" i="14"/>
  <c r="R500" i="14" s="1"/>
  <c r="N500" i="14"/>
  <c r="S500" i="14" s="1"/>
  <c r="O500" i="14"/>
  <c r="T500" i="14" s="1"/>
  <c r="P500" i="14"/>
  <c r="U500" i="14" s="1"/>
  <c r="Q500" i="14"/>
  <c r="V500" i="14" s="1"/>
  <c r="M501" i="14"/>
  <c r="R501" i="14" s="1"/>
  <c r="N501" i="14"/>
  <c r="S501" i="14" s="1"/>
  <c r="P501" i="14"/>
  <c r="U501" i="14" s="1"/>
  <c r="Q501" i="14"/>
  <c r="V501" i="14" s="1"/>
  <c r="M502" i="14"/>
  <c r="R502" i="14" s="1"/>
  <c r="N502" i="14"/>
  <c r="S502" i="14" s="1"/>
  <c r="O502" i="14"/>
  <c r="T502" i="14" s="1"/>
  <c r="P502" i="14"/>
  <c r="U502" i="14" s="1"/>
  <c r="Q502" i="14"/>
  <c r="V502" i="14" s="1"/>
  <c r="M503" i="14"/>
  <c r="R503" i="14" s="1"/>
  <c r="M504" i="14"/>
  <c r="R504" i="14" s="1"/>
  <c r="N504" i="14"/>
  <c r="S504" i="14" s="1"/>
  <c r="O504" i="14"/>
  <c r="T504" i="14" s="1"/>
  <c r="P504" i="14"/>
  <c r="U504" i="14" s="1"/>
  <c r="Q504" i="14"/>
  <c r="V504" i="14" s="1"/>
  <c r="M505" i="14"/>
  <c r="R505" i="14" s="1"/>
  <c r="N505" i="14"/>
  <c r="S505" i="14" s="1"/>
  <c r="P505" i="14"/>
  <c r="U505" i="14" s="1"/>
  <c r="Q505" i="14"/>
  <c r="V505" i="14" s="1"/>
  <c r="M506" i="14"/>
  <c r="R506" i="14" s="1"/>
  <c r="N506" i="14"/>
  <c r="S506" i="14" s="1"/>
  <c r="O506" i="14"/>
  <c r="T506" i="14" s="1"/>
  <c r="P506" i="14"/>
  <c r="U506" i="14" s="1"/>
  <c r="Q506" i="14"/>
  <c r="V506" i="14" s="1"/>
  <c r="P507" i="14"/>
  <c r="U507" i="14" s="1"/>
  <c r="M508" i="14"/>
  <c r="R508" i="14" s="1"/>
  <c r="N508" i="14"/>
  <c r="S508" i="14" s="1"/>
  <c r="O508" i="14"/>
  <c r="T508" i="14" s="1"/>
  <c r="P508" i="14"/>
  <c r="U508" i="14" s="1"/>
  <c r="Q508" i="14"/>
  <c r="V508" i="14" s="1"/>
  <c r="M509" i="14"/>
  <c r="R509" i="14" s="1"/>
  <c r="O509" i="14"/>
  <c r="T509" i="14" s="1"/>
  <c r="P509" i="14"/>
  <c r="U509" i="14" s="1"/>
  <c r="Q509" i="14"/>
  <c r="V509" i="14" s="1"/>
  <c r="M510" i="14"/>
  <c r="R510" i="14" s="1"/>
  <c r="N510" i="14"/>
  <c r="S510" i="14" s="1"/>
  <c r="O510" i="14"/>
  <c r="T510" i="14" s="1"/>
  <c r="P510" i="14"/>
  <c r="U510" i="14" s="1"/>
  <c r="Q510" i="14"/>
  <c r="V510" i="14" s="1"/>
  <c r="M512" i="14"/>
  <c r="R512" i="14" s="1"/>
  <c r="N512" i="14"/>
  <c r="S512" i="14" s="1"/>
  <c r="O512" i="14"/>
  <c r="T512" i="14" s="1"/>
  <c r="P512" i="14"/>
  <c r="U512" i="14" s="1"/>
  <c r="Q512" i="14"/>
  <c r="V512" i="14" s="1"/>
  <c r="N513" i="14"/>
  <c r="S513" i="14" s="1"/>
  <c r="O513" i="14"/>
  <c r="T513" i="14" s="1"/>
  <c r="P513" i="14"/>
  <c r="U513" i="14" s="1"/>
  <c r="M514" i="14"/>
  <c r="R514" i="14" s="1"/>
  <c r="N514" i="14"/>
  <c r="S514" i="14" s="1"/>
  <c r="O514" i="14"/>
  <c r="T514" i="14" s="1"/>
  <c r="P514" i="14"/>
  <c r="U514" i="14" s="1"/>
  <c r="Q514" i="14"/>
  <c r="V514" i="14" s="1"/>
  <c r="M516" i="14"/>
  <c r="R516" i="14" s="1"/>
  <c r="N516" i="14"/>
  <c r="S516" i="14" s="1"/>
  <c r="O516" i="14"/>
  <c r="T516" i="14" s="1"/>
  <c r="P516" i="14"/>
  <c r="U516" i="14" s="1"/>
  <c r="Q516" i="14"/>
  <c r="V516" i="14" s="1"/>
  <c r="N517" i="14"/>
  <c r="S517" i="14" s="1"/>
  <c r="O517" i="14"/>
  <c r="T517" i="14" s="1"/>
  <c r="P517" i="14"/>
  <c r="U517" i="14" s="1"/>
  <c r="M518" i="14"/>
  <c r="R518" i="14" s="1"/>
  <c r="N518" i="14"/>
  <c r="S518" i="14" s="1"/>
  <c r="O518" i="14"/>
  <c r="T518" i="14" s="1"/>
  <c r="P518" i="14"/>
  <c r="U518" i="14" s="1"/>
  <c r="Q518" i="14"/>
  <c r="V518" i="14" s="1"/>
  <c r="M520" i="14"/>
  <c r="R520" i="14" s="1"/>
  <c r="N520" i="14"/>
  <c r="S520" i="14" s="1"/>
  <c r="O520" i="14"/>
  <c r="T520" i="14" s="1"/>
  <c r="P520" i="14"/>
  <c r="U520" i="14" s="1"/>
  <c r="Q520" i="14"/>
  <c r="V520" i="14" s="1"/>
  <c r="N521" i="14"/>
  <c r="S521" i="14" s="1"/>
  <c r="O521" i="14"/>
  <c r="T521" i="14" s="1"/>
  <c r="P521" i="14"/>
  <c r="U521" i="14" s="1"/>
  <c r="M522" i="14"/>
  <c r="R522" i="14" s="1"/>
  <c r="N522" i="14"/>
  <c r="S522" i="14" s="1"/>
  <c r="O522" i="14"/>
  <c r="T522" i="14" s="1"/>
  <c r="P522" i="14"/>
  <c r="U522" i="14" s="1"/>
  <c r="Q522" i="14"/>
  <c r="V522" i="14" s="1"/>
  <c r="M524" i="14"/>
  <c r="R524" i="14" s="1"/>
  <c r="N524" i="14"/>
  <c r="S524" i="14" s="1"/>
  <c r="O524" i="14"/>
  <c r="T524" i="14" s="1"/>
  <c r="P524" i="14"/>
  <c r="U524" i="14" s="1"/>
  <c r="Q524" i="14"/>
  <c r="V524" i="14" s="1"/>
  <c r="M525" i="14"/>
  <c r="R525" i="14" s="1"/>
  <c r="N525" i="14"/>
  <c r="S525" i="14" s="1"/>
  <c r="O525" i="14"/>
  <c r="T525" i="14" s="1"/>
  <c r="Q525" i="14"/>
  <c r="V525" i="14" s="1"/>
  <c r="M526" i="14"/>
  <c r="R526" i="14" s="1"/>
  <c r="N526" i="14"/>
  <c r="S526" i="14" s="1"/>
  <c r="O526" i="14"/>
  <c r="T526" i="14" s="1"/>
  <c r="P526" i="14"/>
  <c r="U526" i="14" s="1"/>
  <c r="Q526" i="14"/>
  <c r="V526" i="14" s="1"/>
  <c r="N527" i="14"/>
  <c r="S527" i="14" s="1"/>
  <c r="M528" i="14"/>
  <c r="R528" i="14" s="1"/>
  <c r="O528" i="14"/>
  <c r="T528" i="14" s="1"/>
  <c r="Q528" i="14"/>
  <c r="V528" i="14" s="1"/>
  <c r="P533" i="14"/>
  <c r="U533" i="14" s="1"/>
  <c r="M534" i="14"/>
  <c r="R534" i="14" s="1"/>
  <c r="N534" i="14"/>
  <c r="S534" i="14" s="1"/>
  <c r="O534" i="14"/>
  <c r="T534" i="14" s="1"/>
  <c r="Q534" i="14"/>
  <c r="V534" i="14" s="1"/>
  <c r="P535" i="14"/>
  <c r="U535" i="14" s="1"/>
  <c r="M536" i="14"/>
  <c r="R536" i="14" s="1"/>
  <c r="N536" i="14"/>
  <c r="S536" i="14" s="1"/>
  <c r="O536" i="14"/>
  <c r="T536" i="14" s="1"/>
  <c r="Q536" i="14"/>
  <c r="V536" i="14" s="1"/>
  <c r="M537" i="14"/>
  <c r="R537" i="14" s="1"/>
  <c r="P537" i="14"/>
  <c r="U537" i="14" s="1"/>
  <c r="M538" i="14"/>
  <c r="R538" i="14" s="1"/>
  <c r="N538" i="14"/>
  <c r="S538" i="14" s="1"/>
  <c r="O538" i="14"/>
  <c r="T538" i="14" s="1"/>
  <c r="Q538" i="14"/>
  <c r="V538" i="14" s="1"/>
  <c r="M539" i="14"/>
  <c r="R539" i="14" s="1"/>
  <c r="O539" i="14"/>
  <c r="T539" i="14" s="1"/>
  <c r="P539" i="14"/>
  <c r="U539" i="14" s="1"/>
  <c r="Q539" i="14"/>
  <c r="V539" i="14" s="1"/>
  <c r="M540" i="14"/>
  <c r="R540" i="14" s="1"/>
  <c r="N540" i="14"/>
  <c r="S540" i="14" s="1"/>
  <c r="O540" i="14"/>
  <c r="T540" i="14" s="1"/>
  <c r="P540" i="14"/>
  <c r="U540" i="14" s="1"/>
  <c r="Q540" i="14"/>
  <c r="V540" i="14" s="1"/>
  <c r="P541" i="14"/>
  <c r="U541" i="14" s="1"/>
  <c r="M542" i="14"/>
  <c r="R542" i="14" s="1"/>
  <c r="N542" i="14"/>
  <c r="S542" i="14" s="1"/>
  <c r="O542" i="14"/>
  <c r="T542" i="14" s="1"/>
  <c r="Q542" i="14"/>
  <c r="V542" i="14" s="1"/>
  <c r="N543" i="14"/>
  <c r="S543" i="14" s="1"/>
  <c r="O543" i="14"/>
  <c r="T543" i="14" s="1"/>
  <c r="P543" i="14"/>
  <c r="U543" i="14" s="1"/>
  <c r="M544" i="14"/>
  <c r="R544" i="14" s="1"/>
  <c r="N544" i="14"/>
  <c r="S544" i="14" s="1"/>
  <c r="O544" i="14"/>
  <c r="T544" i="14" s="1"/>
  <c r="Q544" i="14"/>
  <c r="V544" i="14" s="1"/>
  <c r="P545" i="14"/>
  <c r="U545" i="14" s="1"/>
  <c r="M546" i="14"/>
  <c r="R546" i="14" s="1"/>
  <c r="N546" i="14"/>
  <c r="S546" i="14" s="1"/>
  <c r="O546" i="14"/>
  <c r="T546" i="14" s="1"/>
  <c r="Q546" i="14"/>
  <c r="V546" i="14" s="1"/>
  <c r="N547" i="14"/>
  <c r="S547" i="14" s="1"/>
  <c r="O547" i="14"/>
  <c r="T547" i="14" s="1"/>
  <c r="P547" i="14"/>
  <c r="U547" i="14" s="1"/>
  <c r="M548" i="14"/>
  <c r="R548" i="14" s="1"/>
  <c r="N548" i="14"/>
  <c r="S548" i="14" s="1"/>
  <c r="O548" i="14"/>
  <c r="T548" i="14" s="1"/>
  <c r="Q548" i="14"/>
  <c r="V548" i="14" s="1"/>
  <c r="M549" i="14"/>
  <c r="R549" i="14" s="1"/>
  <c r="P549" i="14"/>
  <c r="U549" i="14" s="1"/>
  <c r="M550" i="14"/>
  <c r="R550" i="14" s="1"/>
  <c r="N550" i="14"/>
  <c r="S550" i="14" s="1"/>
  <c r="O550" i="14"/>
  <c r="T550" i="14" s="1"/>
  <c r="Q550" i="14"/>
  <c r="V550" i="14" s="1"/>
  <c r="M551" i="14"/>
  <c r="R551" i="14" s="1"/>
  <c r="N551" i="14"/>
  <c r="S551" i="14" s="1"/>
  <c r="O551" i="14"/>
  <c r="T551" i="14" s="1"/>
  <c r="P551" i="14"/>
  <c r="U551" i="14" s="1"/>
  <c r="Q551" i="14"/>
  <c r="V551" i="14" s="1"/>
  <c r="M552" i="14"/>
  <c r="R552" i="14" s="1"/>
  <c r="N552" i="14"/>
  <c r="S552" i="14" s="1"/>
  <c r="O552" i="14"/>
  <c r="T552" i="14" s="1"/>
  <c r="P552" i="14"/>
  <c r="U552" i="14" s="1"/>
  <c r="Q552" i="14"/>
  <c r="V552" i="14" s="1"/>
  <c r="N553" i="14"/>
  <c r="S553" i="14" s="1"/>
  <c r="P553" i="14"/>
  <c r="U553" i="14" s="1"/>
  <c r="M554" i="14"/>
  <c r="R554" i="14" s="1"/>
  <c r="N554" i="14"/>
  <c r="S554" i="14" s="1"/>
  <c r="O554" i="14"/>
  <c r="T554" i="14" s="1"/>
  <c r="Q554" i="14"/>
  <c r="V554" i="14" s="1"/>
  <c r="M555" i="14"/>
  <c r="R555" i="14" s="1"/>
  <c r="N555" i="14"/>
  <c r="S555" i="14" s="1"/>
  <c r="P555" i="14"/>
  <c r="U555" i="14" s="1"/>
  <c r="Q555" i="14"/>
  <c r="V555" i="14" s="1"/>
  <c r="M556" i="14"/>
  <c r="R556" i="14" s="1"/>
  <c r="N556" i="14"/>
  <c r="S556" i="14" s="1"/>
  <c r="O556" i="14"/>
  <c r="T556" i="14" s="1"/>
  <c r="P556" i="14"/>
  <c r="U556" i="14" s="1"/>
  <c r="Q556" i="14"/>
  <c r="V556" i="14" s="1"/>
  <c r="P557" i="14"/>
  <c r="U557" i="14" s="1"/>
  <c r="M558" i="14"/>
  <c r="R558" i="14" s="1"/>
  <c r="N558" i="14"/>
  <c r="S558" i="14" s="1"/>
  <c r="O558" i="14"/>
  <c r="T558" i="14" s="1"/>
  <c r="Q558" i="14"/>
  <c r="V558" i="14" s="1"/>
  <c r="M559" i="14"/>
  <c r="R559" i="14" s="1"/>
  <c r="N559" i="14"/>
  <c r="S559" i="14" s="1"/>
  <c r="P559" i="14"/>
  <c r="U559" i="14" s="1"/>
  <c r="Q559" i="14"/>
  <c r="V559" i="14" s="1"/>
  <c r="M560" i="14"/>
  <c r="R560" i="14" s="1"/>
  <c r="N560" i="14"/>
  <c r="S560" i="14" s="1"/>
  <c r="O560" i="14"/>
  <c r="T560" i="14" s="1"/>
  <c r="P560" i="14"/>
  <c r="U560" i="14" s="1"/>
  <c r="Q560" i="14"/>
  <c r="V560" i="14" s="1"/>
  <c r="M561" i="14"/>
  <c r="R561" i="14" s="1"/>
  <c r="P561" i="14"/>
  <c r="U561" i="14" s="1"/>
  <c r="M562" i="14"/>
  <c r="R562" i="14" s="1"/>
  <c r="N562" i="14"/>
  <c r="S562" i="14" s="1"/>
  <c r="O562" i="14"/>
  <c r="T562" i="14" s="1"/>
  <c r="Q562" i="14"/>
  <c r="V562" i="14" s="1"/>
  <c r="M563" i="14"/>
  <c r="R563" i="14" s="1"/>
  <c r="N563" i="14"/>
  <c r="S563" i="14" s="1"/>
  <c r="P563" i="14"/>
  <c r="U563" i="14" s="1"/>
  <c r="Q563" i="14"/>
  <c r="V563" i="14" s="1"/>
  <c r="M564" i="14"/>
  <c r="R564" i="14" s="1"/>
  <c r="N564" i="14"/>
  <c r="S564" i="14" s="1"/>
  <c r="O564" i="14"/>
  <c r="T564" i="14" s="1"/>
  <c r="P564" i="14"/>
  <c r="U564" i="14" s="1"/>
  <c r="Q564" i="14"/>
  <c r="V564" i="14" s="1"/>
  <c r="P565" i="14"/>
  <c r="U565" i="14" s="1"/>
  <c r="M566" i="14"/>
  <c r="R566" i="14" s="1"/>
  <c r="N566" i="14"/>
  <c r="S566" i="14" s="1"/>
  <c r="O566" i="14"/>
  <c r="T566" i="14" s="1"/>
  <c r="Q566" i="14"/>
  <c r="V566" i="14" s="1"/>
  <c r="M567" i="14"/>
  <c r="R567" i="14" s="1"/>
  <c r="O567" i="14"/>
  <c r="T567" i="14" s="1"/>
  <c r="P567" i="14"/>
  <c r="U567" i="14" s="1"/>
  <c r="Q567" i="14"/>
  <c r="V567" i="14" s="1"/>
  <c r="M568" i="14"/>
  <c r="R568" i="14" s="1"/>
  <c r="N568" i="14"/>
  <c r="S568" i="14" s="1"/>
  <c r="O568" i="14"/>
  <c r="T568" i="14" s="1"/>
  <c r="P568" i="14"/>
  <c r="U568" i="14" s="1"/>
  <c r="Q568" i="14"/>
  <c r="V568" i="14" s="1"/>
  <c r="P569" i="14"/>
  <c r="U569" i="14" s="1"/>
  <c r="Q569" i="14"/>
  <c r="V569" i="14" s="1"/>
  <c r="M570" i="14"/>
  <c r="R570" i="14" s="1"/>
  <c r="N570" i="14"/>
  <c r="S570" i="14" s="1"/>
  <c r="O570" i="14"/>
  <c r="T570" i="14" s="1"/>
  <c r="P570" i="14"/>
  <c r="U570" i="14" s="1"/>
  <c r="Q570" i="14"/>
  <c r="V570" i="14" s="1"/>
  <c r="N571" i="14"/>
  <c r="S571" i="14" s="1"/>
  <c r="O571" i="14"/>
  <c r="T571" i="14" s="1"/>
  <c r="P571" i="14"/>
  <c r="U571" i="14" s="1"/>
  <c r="M572" i="14"/>
  <c r="R572" i="14" s="1"/>
  <c r="N572" i="14"/>
  <c r="S572" i="14" s="1"/>
  <c r="O572" i="14"/>
  <c r="T572" i="14" s="1"/>
  <c r="Q572" i="14"/>
  <c r="V572" i="14" s="1"/>
  <c r="P573" i="14"/>
  <c r="U573" i="14" s="1"/>
  <c r="M574" i="14"/>
  <c r="R574" i="14" s="1"/>
  <c r="N574" i="14"/>
  <c r="S574" i="14" s="1"/>
  <c r="O574" i="14"/>
  <c r="T574" i="14" s="1"/>
  <c r="Q574" i="14"/>
  <c r="V574" i="14" s="1"/>
  <c r="M575" i="14"/>
  <c r="R575" i="14" s="1"/>
  <c r="N575" i="14"/>
  <c r="S575" i="14" s="1"/>
  <c r="O575" i="14"/>
  <c r="T575" i="14" s="1"/>
  <c r="P575" i="14"/>
  <c r="U575" i="14" s="1"/>
  <c r="Q575" i="14"/>
  <c r="V575" i="14" s="1"/>
  <c r="M576" i="14"/>
  <c r="R576" i="14" s="1"/>
  <c r="N576" i="14"/>
  <c r="S576" i="14" s="1"/>
  <c r="O576" i="14"/>
  <c r="T576" i="14" s="1"/>
  <c r="P576" i="14"/>
  <c r="U576" i="14" s="1"/>
  <c r="Q576" i="14"/>
  <c r="V576" i="14" s="1"/>
  <c r="P577" i="14"/>
  <c r="U577" i="14" s="1"/>
  <c r="M578" i="14"/>
  <c r="R578" i="14" s="1"/>
  <c r="O578" i="14"/>
  <c r="T578" i="14" s="1"/>
  <c r="P583" i="14"/>
  <c r="U583" i="14" s="1"/>
  <c r="M584" i="14"/>
  <c r="R584" i="14" s="1"/>
  <c r="N584" i="14"/>
  <c r="S584" i="14" s="1"/>
  <c r="O584" i="14"/>
  <c r="T584" i="14" s="1"/>
  <c r="P584" i="14"/>
  <c r="U584" i="14" s="1"/>
  <c r="Q584" i="14"/>
  <c r="V584" i="14" s="1"/>
  <c r="M586" i="14"/>
  <c r="R586" i="14" s="1"/>
  <c r="N586" i="14"/>
  <c r="S586" i="14" s="1"/>
  <c r="O586" i="14"/>
  <c r="T586" i="14" s="1"/>
  <c r="P586" i="14"/>
  <c r="U586" i="14" s="1"/>
  <c r="Q586" i="14"/>
  <c r="V586" i="14" s="1"/>
  <c r="O587" i="14"/>
  <c r="T587" i="14" s="1"/>
  <c r="M588" i="14"/>
  <c r="R588" i="14" s="1"/>
  <c r="N588" i="14"/>
  <c r="S588" i="14" s="1"/>
  <c r="O588" i="14"/>
  <c r="T588" i="14" s="1"/>
  <c r="P588" i="14"/>
  <c r="U588" i="14" s="1"/>
  <c r="Q588" i="14"/>
  <c r="V588" i="14" s="1"/>
  <c r="M589" i="14"/>
  <c r="R589" i="14" s="1"/>
  <c r="N589" i="14"/>
  <c r="S589" i="14" s="1"/>
  <c r="P589" i="14"/>
  <c r="U589" i="14" s="1"/>
  <c r="Q589" i="14"/>
  <c r="V589" i="14" s="1"/>
  <c r="M590" i="14"/>
  <c r="R590" i="14" s="1"/>
  <c r="N590" i="14"/>
  <c r="S590" i="14" s="1"/>
  <c r="O590" i="14"/>
  <c r="T590" i="14" s="1"/>
  <c r="P590" i="14"/>
  <c r="U590" i="14" s="1"/>
  <c r="Q590" i="14"/>
  <c r="V590" i="14" s="1"/>
  <c r="N591" i="14"/>
  <c r="S591" i="14" s="1"/>
  <c r="M592" i="14"/>
  <c r="R592" i="14" s="1"/>
  <c r="N592" i="14"/>
  <c r="S592" i="14" s="1"/>
  <c r="O592" i="14"/>
  <c r="T592" i="14" s="1"/>
  <c r="P592" i="14"/>
  <c r="U592" i="14" s="1"/>
  <c r="Q592" i="14"/>
  <c r="V592" i="14" s="1"/>
  <c r="M593" i="14"/>
  <c r="R593" i="14" s="1"/>
  <c r="O593" i="14"/>
  <c r="T593" i="14" s="1"/>
  <c r="P593" i="14"/>
  <c r="U593" i="14" s="1"/>
  <c r="Q593" i="14"/>
  <c r="V593" i="14" s="1"/>
  <c r="M594" i="14"/>
  <c r="R594" i="14" s="1"/>
  <c r="N594" i="14"/>
  <c r="S594" i="14" s="1"/>
  <c r="O594" i="14"/>
  <c r="T594" i="14" s="1"/>
  <c r="P594" i="14"/>
  <c r="U594" i="14" s="1"/>
  <c r="Q594" i="14"/>
  <c r="V594" i="14" s="1"/>
  <c r="M595" i="14"/>
  <c r="R595" i="14" s="1"/>
  <c r="M596" i="14"/>
  <c r="R596" i="14" s="1"/>
  <c r="N596" i="14"/>
  <c r="S596" i="14" s="1"/>
  <c r="O596" i="14"/>
  <c r="T596" i="14" s="1"/>
  <c r="P596" i="14"/>
  <c r="U596" i="14" s="1"/>
  <c r="Q596" i="14"/>
  <c r="V596" i="14" s="1"/>
  <c r="N597" i="14"/>
  <c r="S597" i="14" s="1"/>
  <c r="O597" i="14"/>
  <c r="T597" i="14" s="1"/>
  <c r="P597" i="14"/>
  <c r="U597" i="14" s="1"/>
  <c r="M598" i="14"/>
  <c r="R598" i="14" s="1"/>
  <c r="N598" i="14"/>
  <c r="S598" i="14" s="1"/>
  <c r="O598" i="14"/>
  <c r="T598" i="14" s="1"/>
  <c r="P598" i="14"/>
  <c r="U598" i="14" s="1"/>
  <c r="Q598" i="14"/>
  <c r="V598" i="14" s="1"/>
  <c r="M599" i="14"/>
  <c r="R599" i="14" s="1"/>
  <c r="M600" i="14"/>
  <c r="R600" i="14" s="1"/>
  <c r="N600" i="14"/>
  <c r="S600" i="14" s="1"/>
  <c r="O600" i="14"/>
  <c r="T600" i="14" s="1"/>
  <c r="P600" i="14"/>
  <c r="U600" i="14" s="1"/>
  <c r="Q600" i="14"/>
  <c r="V600" i="14" s="1"/>
  <c r="N601" i="14"/>
  <c r="S601" i="14" s="1"/>
  <c r="O601" i="14"/>
  <c r="T601" i="14" s="1"/>
  <c r="P601" i="14"/>
  <c r="U601" i="14" s="1"/>
  <c r="M602" i="14"/>
  <c r="R602" i="14" s="1"/>
  <c r="N602" i="14"/>
  <c r="S602" i="14" s="1"/>
  <c r="O602" i="14"/>
  <c r="T602" i="14" s="1"/>
  <c r="P602" i="14"/>
  <c r="U602" i="14" s="1"/>
  <c r="Q602" i="14"/>
  <c r="V602" i="14" s="1"/>
  <c r="M603" i="14"/>
  <c r="R603" i="14" s="1"/>
  <c r="M604" i="14"/>
  <c r="R604" i="14" s="1"/>
  <c r="N604" i="14"/>
  <c r="S604" i="14" s="1"/>
  <c r="O604" i="14"/>
  <c r="T604" i="14" s="1"/>
  <c r="P604" i="14"/>
  <c r="U604" i="14" s="1"/>
  <c r="Q604" i="14"/>
  <c r="V604" i="14" s="1"/>
  <c r="N605" i="14"/>
  <c r="S605" i="14" s="1"/>
  <c r="O605" i="14"/>
  <c r="T605" i="14" s="1"/>
  <c r="P605" i="14"/>
  <c r="U605" i="14" s="1"/>
  <c r="M606" i="14"/>
  <c r="R606" i="14" s="1"/>
  <c r="N606" i="14"/>
  <c r="S606" i="14" s="1"/>
  <c r="O606" i="14"/>
  <c r="T606" i="14" s="1"/>
  <c r="P606" i="14"/>
  <c r="U606" i="14" s="1"/>
  <c r="Q606" i="14"/>
  <c r="V606" i="14" s="1"/>
  <c r="M607" i="14"/>
  <c r="R607" i="14" s="1"/>
  <c r="M608" i="14"/>
  <c r="R608" i="14" s="1"/>
  <c r="N608" i="14"/>
  <c r="S608" i="14" s="1"/>
  <c r="O608" i="14"/>
  <c r="T608" i="14" s="1"/>
  <c r="P608" i="14"/>
  <c r="U608" i="14" s="1"/>
  <c r="Q608" i="14"/>
  <c r="V608" i="14" s="1"/>
  <c r="M609" i="14"/>
  <c r="R609" i="14" s="1"/>
  <c r="N609" i="14"/>
  <c r="S609" i="14" s="1"/>
  <c r="O609" i="14"/>
  <c r="T609" i="14" s="1"/>
  <c r="Q609" i="14"/>
  <c r="V609" i="14" s="1"/>
  <c r="M610" i="14"/>
  <c r="R610" i="14" s="1"/>
  <c r="N610" i="14"/>
  <c r="S610" i="14" s="1"/>
  <c r="O610" i="14"/>
  <c r="T610" i="14" s="1"/>
  <c r="P610" i="14"/>
  <c r="U610" i="14" s="1"/>
  <c r="Q610" i="14"/>
  <c r="V610" i="14" s="1"/>
  <c r="M612" i="14"/>
  <c r="R612" i="14" s="1"/>
  <c r="N612" i="14"/>
  <c r="S612" i="14" s="1"/>
  <c r="O612" i="14"/>
  <c r="T612" i="14" s="1"/>
  <c r="P612" i="14"/>
  <c r="U612" i="14" s="1"/>
  <c r="Q612" i="14"/>
  <c r="V612" i="14" s="1"/>
  <c r="M613" i="14"/>
  <c r="R613" i="14" s="1"/>
  <c r="N613" i="14"/>
  <c r="S613" i="14" s="1"/>
  <c r="P613" i="14"/>
  <c r="U613" i="14" s="1"/>
  <c r="Q613" i="14"/>
  <c r="V613" i="14" s="1"/>
  <c r="M614" i="14"/>
  <c r="R614" i="14" s="1"/>
  <c r="N614" i="14"/>
  <c r="S614" i="14" s="1"/>
  <c r="O614" i="14"/>
  <c r="T614" i="14" s="1"/>
  <c r="P614" i="14"/>
  <c r="U614" i="14" s="1"/>
  <c r="Q614" i="14"/>
  <c r="V614" i="14" s="1"/>
  <c r="M616" i="14"/>
  <c r="R616" i="14" s="1"/>
  <c r="N616" i="14"/>
  <c r="S616" i="14" s="1"/>
  <c r="O616" i="14"/>
  <c r="T616" i="14" s="1"/>
  <c r="P616" i="14"/>
  <c r="U616" i="14" s="1"/>
  <c r="Q616" i="14"/>
  <c r="V616" i="14" s="1"/>
  <c r="M617" i="14"/>
  <c r="R617" i="14" s="1"/>
  <c r="N617" i="14"/>
  <c r="S617" i="14" s="1"/>
  <c r="P617" i="14"/>
  <c r="U617" i="14" s="1"/>
  <c r="Q617" i="14"/>
  <c r="V617" i="14" s="1"/>
  <c r="M618" i="14"/>
  <c r="R618" i="14" s="1"/>
  <c r="N618" i="14"/>
  <c r="S618" i="14" s="1"/>
  <c r="O618" i="14"/>
  <c r="T618" i="14" s="1"/>
  <c r="P618" i="14"/>
  <c r="U618" i="14" s="1"/>
  <c r="Q618" i="14"/>
  <c r="V618" i="14" s="1"/>
  <c r="M620" i="14"/>
  <c r="R620" i="14" s="1"/>
  <c r="N620" i="14"/>
  <c r="S620" i="14" s="1"/>
  <c r="O620" i="14"/>
  <c r="T620" i="14" s="1"/>
  <c r="P620" i="14"/>
  <c r="U620" i="14" s="1"/>
  <c r="Q620" i="14"/>
  <c r="V620" i="14" s="1"/>
  <c r="M621" i="14"/>
  <c r="R621" i="14" s="1"/>
  <c r="O621" i="14"/>
  <c r="T621" i="14" s="1"/>
  <c r="P621" i="14"/>
  <c r="U621" i="14" s="1"/>
  <c r="Q621" i="14"/>
  <c r="V621" i="14" s="1"/>
  <c r="M622" i="14"/>
  <c r="R622" i="14" s="1"/>
  <c r="N622" i="14"/>
  <c r="S622" i="14" s="1"/>
  <c r="O622" i="14"/>
  <c r="T622" i="14" s="1"/>
  <c r="P622" i="14"/>
  <c r="U622" i="14" s="1"/>
  <c r="Q622" i="14"/>
  <c r="V622" i="14" s="1"/>
  <c r="Q623" i="14"/>
  <c r="V623" i="14" s="1"/>
  <c r="M624" i="14"/>
  <c r="R624" i="14" s="1"/>
  <c r="N624" i="14"/>
  <c r="S624" i="14" s="1"/>
  <c r="O624" i="14"/>
  <c r="T624" i="14" s="1"/>
  <c r="P624" i="14"/>
  <c r="U624" i="14" s="1"/>
  <c r="Q624" i="14"/>
  <c r="V624" i="14" s="1"/>
  <c r="M625" i="14"/>
  <c r="R625" i="14" s="1"/>
  <c r="O625" i="14"/>
  <c r="T625" i="14" s="1"/>
  <c r="P625" i="14"/>
  <c r="U625" i="14" s="1"/>
  <c r="Q625" i="14"/>
  <c r="V625" i="14" s="1"/>
  <c r="M626" i="14"/>
  <c r="R626" i="14" s="1"/>
  <c r="N626" i="14"/>
  <c r="S626" i="14" s="1"/>
  <c r="O626" i="14"/>
  <c r="T626" i="14" s="1"/>
  <c r="P626" i="14"/>
  <c r="U626" i="14" s="1"/>
  <c r="Q626" i="14"/>
  <c r="V626" i="14" s="1"/>
  <c r="P627" i="14"/>
  <c r="U627" i="14" s="1"/>
  <c r="M628" i="14"/>
  <c r="R628" i="14" s="1"/>
  <c r="O628" i="14"/>
  <c r="T628" i="14" s="1"/>
  <c r="Q628" i="14"/>
  <c r="V628" i="14" s="1"/>
  <c r="X16" i="14"/>
  <c r="X15" i="14"/>
  <c r="N479" i="14"/>
  <c r="S479" i="14" s="1"/>
  <c r="O479" i="14"/>
  <c r="T479" i="14" s="1"/>
  <c r="P479" i="14"/>
  <c r="U479" i="14" s="1"/>
  <c r="M485" i="14"/>
  <c r="R485" i="14" s="1"/>
  <c r="N485" i="14"/>
  <c r="S485" i="14" s="1"/>
  <c r="P485" i="14"/>
  <c r="U485" i="14" s="1"/>
  <c r="Q485" i="14"/>
  <c r="V485" i="14" s="1"/>
  <c r="M529" i="14"/>
  <c r="R529" i="14" s="1"/>
  <c r="O529" i="14"/>
  <c r="T529" i="14" s="1"/>
  <c r="P529" i="14"/>
  <c r="U529" i="14" s="1"/>
  <c r="Q529" i="14"/>
  <c r="V529" i="14" s="1"/>
  <c r="M535" i="14"/>
  <c r="R535" i="14" s="1"/>
  <c r="N535" i="14"/>
  <c r="S535" i="14" s="1"/>
  <c r="O535" i="14"/>
  <c r="T535" i="14" s="1"/>
  <c r="P536" i="14"/>
  <c r="U536" i="14" s="1"/>
  <c r="M579" i="14"/>
  <c r="R579" i="14" s="1"/>
  <c r="N579" i="14"/>
  <c r="S579" i="14" s="1"/>
  <c r="P579" i="14"/>
  <c r="U579" i="14" s="1"/>
  <c r="Q579" i="14"/>
  <c r="V579" i="14" s="1"/>
  <c r="M585" i="14"/>
  <c r="R585" i="14" s="1"/>
  <c r="O585" i="14"/>
  <c r="T585" i="14" s="1"/>
  <c r="P585" i="14"/>
  <c r="U585" i="14" s="1"/>
  <c r="Q585" i="14"/>
  <c r="V585" i="14" s="1"/>
  <c r="N29" i="14"/>
  <c r="S29" i="14" s="1"/>
  <c r="O29" i="14"/>
  <c r="T29" i="14" s="1"/>
  <c r="P29" i="14"/>
  <c r="U29" i="14" s="1"/>
  <c r="M35" i="14"/>
  <c r="R35" i="14" s="1"/>
  <c r="N35" i="14"/>
  <c r="S35" i="14" s="1"/>
  <c r="O35" i="14"/>
  <c r="T35" i="14" s="1"/>
  <c r="Q35" i="14"/>
  <c r="V35" i="14" s="1"/>
  <c r="M79" i="14"/>
  <c r="R79" i="14" s="1"/>
  <c r="N79" i="14"/>
  <c r="S79" i="14" s="1"/>
  <c r="P79" i="14"/>
  <c r="U79" i="14" s="1"/>
  <c r="Q79" i="14"/>
  <c r="V79" i="14" s="1"/>
  <c r="M85" i="14"/>
  <c r="R85" i="14" s="1"/>
  <c r="O85" i="14"/>
  <c r="T85" i="14" s="1"/>
  <c r="P85" i="14"/>
  <c r="U85" i="14" s="1"/>
  <c r="Q85" i="14"/>
  <c r="V85" i="14" s="1"/>
  <c r="N129" i="14"/>
  <c r="S129" i="14" s="1"/>
  <c r="O129" i="14"/>
  <c r="T129" i="14" s="1"/>
  <c r="P129" i="14"/>
  <c r="U129" i="14" s="1"/>
  <c r="M135" i="14"/>
  <c r="R135" i="14" s="1"/>
  <c r="N135" i="14"/>
  <c r="S135" i="14" s="1"/>
  <c r="O135" i="14"/>
  <c r="T135" i="14" s="1"/>
  <c r="Q135" i="14"/>
  <c r="V135" i="14" s="1"/>
  <c r="Q23" i="11"/>
  <c r="Q22" i="11"/>
  <c r="O16" i="14"/>
  <c r="T16" i="14" s="1"/>
  <c r="O17" i="14"/>
  <c r="L12" i="35" s="1"/>
  <c r="K22" i="31"/>
  <c r="O18" i="14"/>
  <c r="T18" i="14" s="1"/>
  <c r="O5" i="14"/>
  <c r="K5" i="31" s="1"/>
  <c r="L16" i="14"/>
  <c r="Q16" i="14" s="1"/>
  <c r="H21" i="31"/>
  <c r="M16" i="14"/>
  <c r="I21" i="31" s="1"/>
  <c r="N16" i="14"/>
  <c r="J21" i="31" s="1"/>
  <c r="L17" i="14"/>
  <c r="Q17" i="14" s="1"/>
  <c r="M17" i="14"/>
  <c r="I22" i="31" s="1"/>
  <c r="N17" i="14"/>
  <c r="K12" i="35" s="1"/>
  <c r="L18" i="14"/>
  <c r="H23" i="31" s="1"/>
  <c r="M18" i="14"/>
  <c r="J13" i="35" s="1"/>
  <c r="N18" i="14"/>
  <c r="J23" i="31" s="1"/>
  <c r="K18" i="14"/>
  <c r="P18" i="14" s="1"/>
  <c r="K17" i="14"/>
  <c r="G22" i="31" s="1"/>
  <c r="K16" i="14"/>
  <c r="F22" i="31"/>
  <c r="F23" i="31"/>
  <c r="F21" i="31"/>
  <c r="K5" i="14"/>
  <c r="G5" i="31" s="1"/>
  <c r="F18" i="31"/>
  <c r="F14" i="31"/>
  <c r="F15" i="31"/>
  <c r="F16" i="31"/>
  <c r="F17" i="31"/>
  <c r="F13" i="31"/>
  <c r="Q13" i="11"/>
  <c r="Q14" i="11"/>
  <c r="Q17" i="11"/>
  <c r="Q18" i="11"/>
  <c r="C43" i="14"/>
  <c r="Q19" i="11"/>
  <c r="R16" i="11"/>
  <c r="K20" i="11" s="1"/>
  <c r="D23" i="31" s="1"/>
  <c r="Q21" i="11"/>
  <c r="Q24" i="11"/>
  <c r="R20" i="11"/>
  <c r="K21" i="11" s="1"/>
  <c r="D24" i="31" s="1"/>
  <c r="K8" i="11"/>
  <c r="C51" i="14"/>
  <c r="Q31" i="11"/>
  <c r="R28" i="11" s="1"/>
  <c r="K9" i="11" s="1"/>
  <c r="R32" i="11"/>
  <c r="K10" i="11"/>
  <c r="D12" i="31" s="1"/>
  <c r="K6" i="39"/>
  <c r="K7" i="39"/>
  <c r="K5" i="39"/>
  <c r="U21" i="14" s="1"/>
  <c r="R8" i="39" s="1"/>
  <c r="K8" i="39"/>
  <c r="K9" i="39"/>
  <c r="K10" i="39"/>
  <c r="K11" i="39"/>
  <c r="K12" i="39"/>
  <c r="K13" i="39"/>
  <c r="K14" i="39"/>
  <c r="K15" i="39"/>
  <c r="K16" i="39"/>
  <c r="K17" i="39"/>
  <c r="K18" i="39"/>
  <c r="K19" i="39"/>
  <c r="K20" i="39"/>
  <c r="K21" i="39"/>
  <c r="K22" i="39"/>
  <c r="K23" i="39"/>
  <c r="K24" i="39"/>
  <c r="K25" i="39"/>
  <c r="K26" i="39"/>
  <c r="K27" i="39"/>
  <c r="K28" i="39"/>
  <c r="K29" i="39"/>
  <c r="L6" i="39"/>
  <c r="L7" i="39"/>
  <c r="L5" i="39"/>
  <c r="L8" i="39"/>
  <c r="L9" i="39"/>
  <c r="L10" i="39"/>
  <c r="L11" i="39"/>
  <c r="L12" i="39"/>
  <c r="L13" i="39"/>
  <c r="L14" i="39"/>
  <c r="L15" i="39"/>
  <c r="L16" i="39"/>
  <c r="L17" i="39"/>
  <c r="L18" i="39"/>
  <c r="L19" i="39"/>
  <c r="L20" i="39"/>
  <c r="L21" i="39"/>
  <c r="L22" i="39"/>
  <c r="L23" i="39"/>
  <c r="L24" i="39"/>
  <c r="L25" i="39"/>
  <c r="L26" i="39"/>
  <c r="L27" i="39"/>
  <c r="L28" i="39"/>
  <c r="L29" i="39"/>
  <c r="H6" i="31"/>
  <c r="H5" i="31"/>
  <c r="I4" i="31"/>
  <c r="G26" i="31"/>
  <c r="U20" i="14"/>
  <c r="R5" i="39" s="1"/>
  <c r="G27" i="31"/>
  <c r="V20" i="14"/>
  <c r="G28" i="31"/>
  <c r="D6" i="31"/>
  <c r="D7" i="31"/>
  <c r="D8" i="31"/>
  <c r="D44" i="31"/>
  <c r="D40" i="31"/>
  <c r="X20" i="14"/>
  <c r="R20" i="39" s="1"/>
  <c r="P17" i="14"/>
  <c r="T17" i="14"/>
  <c r="S16" i="14"/>
  <c r="Q5" i="14"/>
  <c r="Q6" i="14"/>
  <c r="P7" i="14"/>
  <c r="Q7" i="14"/>
  <c r="R7" i="14"/>
  <c r="S7" i="14"/>
  <c r="T7" i="14"/>
  <c r="R4" i="14"/>
  <c r="AM6" i="14"/>
  <c r="AM7" i="14"/>
  <c r="AM8" i="14"/>
  <c r="AM9" i="14"/>
  <c r="AM10" i="14"/>
  <c r="AM11" i="14"/>
  <c r="AM12" i="14"/>
  <c r="AM13" i="14"/>
  <c r="AM14" i="14"/>
  <c r="AM15" i="14"/>
  <c r="AM16" i="14"/>
  <c r="AM17" i="14"/>
  <c r="AM18" i="14"/>
  <c r="AM19" i="14"/>
  <c r="AM5" i="14"/>
  <c r="AL6" i="14"/>
  <c r="AL7" i="14"/>
  <c r="AL8" i="14"/>
  <c r="AL9" i="14"/>
  <c r="AL10" i="14"/>
  <c r="AL11" i="14"/>
  <c r="AL12" i="14"/>
  <c r="AL13" i="14"/>
  <c r="AL14" i="14"/>
  <c r="AL15" i="14"/>
  <c r="AL16" i="14"/>
  <c r="AL17" i="14"/>
  <c r="AL18" i="14"/>
  <c r="AL19" i="14"/>
  <c r="AL5" i="14"/>
  <c r="AK6" i="14"/>
  <c r="AK7" i="14"/>
  <c r="AK8" i="14"/>
  <c r="AK9" i="14"/>
  <c r="AK10" i="14"/>
  <c r="AK11" i="14"/>
  <c r="AK12" i="14"/>
  <c r="AK13" i="14"/>
  <c r="AK14" i="14"/>
  <c r="AK15" i="14"/>
  <c r="AK16" i="14"/>
  <c r="AK17" i="14"/>
  <c r="AK18" i="14"/>
  <c r="AK19" i="14"/>
  <c r="AK5" i="14"/>
  <c r="AJ6" i="14"/>
  <c r="AJ7" i="14"/>
  <c r="AJ8" i="14"/>
  <c r="AJ9" i="14"/>
  <c r="AJ10" i="14"/>
  <c r="AJ11" i="14"/>
  <c r="AJ12" i="14"/>
  <c r="AJ13" i="14"/>
  <c r="AJ14" i="14"/>
  <c r="AJ15" i="14"/>
  <c r="AJ16" i="14"/>
  <c r="AJ17" i="14"/>
  <c r="AJ18" i="14"/>
  <c r="AJ19" i="14"/>
  <c r="AJ5" i="14"/>
  <c r="AI6" i="14"/>
  <c r="AI7" i="14"/>
  <c r="AI8" i="14"/>
  <c r="AI9" i="14"/>
  <c r="AI10" i="14"/>
  <c r="AI11" i="14"/>
  <c r="AI12" i="14"/>
  <c r="AI13" i="14"/>
  <c r="AI14" i="14"/>
  <c r="AI15" i="14"/>
  <c r="AI16" i="14"/>
  <c r="AI17" i="14"/>
  <c r="AI18" i="14"/>
  <c r="AI19" i="14"/>
  <c r="AI5" i="14"/>
  <c r="G10" i="31"/>
  <c r="G9" i="31"/>
  <c r="G8" i="31"/>
  <c r="L579" i="14"/>
  <c r="L529" i="14"/>
  <c r="L479" i="14"/>
  <c r="L429" i="14"/>
  <c r="L379" i="14"/>
  <c r="L329" i="14"/>
  <c r="L279" i="14"/>
  <c r="L229" i="14"/>
  <c r="L179" i="14"/>
  <c r="L129" i="14"/>
  <c r="L79" i="14"/>
  <c r="L29" i="14"/>
  <c r="I12" i="35"/>
  <c r="I13" i="35"/>
  <c r="I11" i="35"/>
  <c r="J4" i="35"/>
  <c r="J5" i="35"/>
  <c r="T21" i="14"/>
  <c r="G29" i="31" s="1"/>
  <c r="M18" i="13"/>
  <c r="M17" i="13"/>
  <c r="M16" i="13"/>
  <c r="M15" i="13"/>
  <c r="M18" i="35"/>
  <c r="M19" i="35"/>
  <c r="M17" i="35"/>
  <c r="M16" i="22"/>
  <c r="M17" i="22"/>
  <c r="M18" i="22"/>
  <c r="M19" i="22"/>
  <c r="M20" i="22"/>
  <c r="M21" i="22"/>
  <c r="G10" i="22"/>
  <c r="G21" i="22"/>
  <c r="Q33" i="11"/>
  <c r="Q34" i="11"/>
  <c r="Q35" i="11"/>
  <c r="Q36" i="11"/>
  <c r="F4" i="31"/>
  <c r="F5" i="31"/>
  <c r="F6" i="31"/>
  <c r="C60" i="31"/>
  <c r="C61" i="31"/>
  <c r="C62" i="31"/>
  <c r="C63" i="31"/>
  <c r="C59" i="31"/>
  <c r="C55" i="31"/>
  <c r="C56" i="31"/>
  <c r="C57" i="31"/>
  <c r="C54" i="31"/>
  <c r="G7" i="31"/>
  <c r="T20" i="14"/>
  <c r="R4" i="39"/>
  <c r="R6" i="39"/>
  <c r="I9" i="13"/>
  <c r="K9" i="13"/>
  <c r="G9" i="13"/>
  <c r="G8" i="13"/>
  <c r="G7" i="13"/>
  <c r="AB12" i="39"/>
  <c r="G8" i="22"/>
  <c r="G7" i="22"/>
  <c r="G5" i="22"/>
  <c r="G17" i="22"/>
  <c r="G18" i="22"/>
  <c r="G19" i="22"/>
  <c r="G20" i="22"/>
  <c r="G16" i="22"/>
  <c r="G17" i="13"/>
  <c r="G15" i="13"/>
  <c r="G16" i="13"/>
  <c r="G6" i="22"/>
  <c r="G9" i="22"/>
  <c r="I8" i="13"/>
  <c r="J7" i="13"/>
  <c r="L7" i="13"/>
  <c r="N185" i="14"/>
  <c r="S185" i="14" s="1"/>
  <c r="O185" i="14"/>
  <c r="T185" i="14" s="1"/>
  <c r="P185" i="14"/>
  <c r="U185" i="14" s="1"/>
  <c r="M235" i="14"/>
  <c r="R235" i="14" s="1"/>
  <c r="N235" i="14"/>
  <c r="S235" i="14" s="1"/>
  <c r="O235" i="14"/>
  <c r="T235" i="14" s="1"/>
  <c r="Q235" i="14"/>
  <c r="V235" i="14" s="1"/>
  <c r="M285" i="14"/>
  <c r="R285" i="14" s="1"/>
  <c r="N285" i="14"/>
  <c r="S285" i="14" s="1"/>
  <c r="P285" i="14"/>
  <c r="U285" i="14" s="1"/>
  <c r="Q285" i="14"/>
  <c r="V285" i="14" s="1"/>
  <c r="M335" i="14"/>
  <c r="R335" i="14" s="1"/>
  <c r="O335" i="14"/>
  <c r="T335" i="14" s="1"/>
  <c r="P335" i="14"/>
  <c r="U335" i="14" s="1"/>
  <c r="Q335" i="14"/>
  <c r="V335" i="14" s="1"/>
  <c r="N385" i="14"/>
  <c r="S385" i="14" s="1"/>
  <c r="O385" i="14"/>
  <c r="T385" i="14" s="1"/>
  <c r="P385" i="14"/>
  <c r="U385" i="14" s="1"/>
  <c r="M435" i="14"/>
  <c r="R435" i="14" s="1"/>
  <c r="N435" i="14"/>
  <c r="S435" i="14" s="1"/>
  <c r="O435" i="14"/>
  <c r="T435" i="14" s="1"/>
  <c r="Q435" i="14"/>
  <c r="V435" i="14" s="1"/>
  <c r="N229" i="14"/>
  <c r="S229" i="14" s="1"/>
  <c r="O229" i="14"/>
  <c r="T229" i="14" s="1"/>
  <c r="Q229" i="14"/>
  <c r="V229" i="14" s="1"/>
  <c r="M229" i="14"/>
  <c r="R229" i="14" s="1"/>
  <c r="N279" i="14"/>
  <c r="S279" i="14" s="1"/>
  <c r="P279" i="14"/>
  <c r="U279" i="14" s="1"/>
  <c r="Q279" i="14"/>
  <c r="V279" i="14" s="1"/>
  <c r="M279" i="14"/>
  <c r="R279" i="14" s="1"/>
  <c r="O329" i="14"/>
  <c r="T329" i="14" s="1"/>
  <c r="P329" i="14"/>
  <c r="U329" i="14" s="1"/>
  <c r="Q329" i="14"/>
  <c r="V329" i="14" s="1"/>
  <c r="N379" i="14"/>
  <c r="S379" i="14" s="1"/>
  <c r="O379" i="14"/>
  <c r="T379" i="14" s="1"/>
  <c r="P379" i="14"/>
  <c r="U379" i="14" s="1"/>
  <c r="M379" i="14"/>
  <c r="R379" i="14" s="1"/>
  <c r="N429" i="14"/>
  <c r="S429" i="14" s="1"/>
  <c r="O429" i="14"/>
  <c r="T429" i="14" s="1"/>
  <c r="Q429" i="14"/>
  <c r="V429" i="14" s="1"/>
  <c r="M429" i="14"/>
  <c r="R429" i="14" s="1"/>
  <c r="N179" i="14"/>
  <c r="S179" i="14" s="1"/>
  <c r="P179" i="14"/>
  <c r="U179" i="14" s="1"/>
  <c r="Q179" i="14"/>
  <c r="V179" i="14" s="1"/>
  <c r="M179" i="14"/>
  <c r="R179" i="14" s="1"/>
  <c r="J6" i="31" l="1"/>
  <c r="K13" i="35"/>
  <c r="R17" i="14"/>
  <c r="S18" i="14"/>
  <c r="V16" i="14"/>
  <c r="R7" i="39"/>
  <c r="U7" i="14"/>
  <c r="V21" i="14"/>
  <c r="K11" i="11"/>
  <c r="N628" i="14"/>
  <c r="S628" i="14" s="1"/>
  <c r="N578" i="14"/>
  <c r="S578" i="14" s="1"/>
  <c r="P528" i="14"/>
  <c r="U528" i="14" s="1"/>
  <c r="O178" i="14"/>
  <c r="T178" i="14" s="1"/>
  <c r="O128" i="14"/>
  <c r="T128" i="14" s="1"/>
  <c r="N78" i="14"/>
  <c r="S78" i="14" s="1"/>
  <c r="P228" i="14"/>
  <c r="U228" i="14" s="1"/>
  <c r="W228" i="14" s="1"/>
  <c r="X228" i="14" s="1"/>
  <c r="N478" i="14"/>
  <c r="S478" i="14" s="1"/>
  <c r="N428" i="14"/>
  <c r="S428" i="14" s="1"/>
  <c r="O378" i="14"/>
  <c r="T378" i="14" s="1"/>
  <c r="P328" i="14"/>
  <c r="U328" i="14" s="1"/>
  <c r="P278" i="14"/>
  <c r="U278" i="14" s="1"/>
  <c r="N278" i="14"/>
  <c r="S278" i="14" s="1"/>
  <c r="P628" i="14"/>
  <c r="U628" i="14" s="1"/>
  <c r="Q578" i="14"/>
  <c r="V578" i="14" s="1"/>
  <c r="N528" i="14"/>
  <c r="S528" i="14" s="1"/>
  <c r="Q178" i="14"/>
  <c r="V178" i="14" s="1"/>
  <c r="M178" i="14"/>
  <c r="R178" i="14" s="1"/>
  <c r="Q128" i="14"/>
  <c r="V128" i="14" s="1"/>
  <c r="M128" i="14"/>
  <c r="R128" i="14" s="1"/>
  <c r="P78" i="14"/>
  <c r="U78" i="14" s="1"/>
  <c r="N228" i="14"/>
  <c r="S228" i="14" s="1"/>
  <c r="P478" i="14"/>
  <c r="U478" i="14" s="1"/>
  <c r="P428" i="14"/>
  <c r="U428" i="14" s="1"/>
  <c r="Q378" i="14"/>
  <c r="V378" i="14" s="1"/>
  <c r="M378" i="14"/>
  <c r="R378" i="14" s="1"/>
  <c r="W378" i="14" s="1"/>
  <c r="X378" i="14" s="1"/>
  <c r="M328" i="14"/>
  <c r="R328" i="14" s="1"/>
  <c r="Q615" i="14"/>
  <c r="V615" i="14" s="1"/>
  <c r="N583" i="14"/>
  <c r="S583" i="14" s="1"/>
  <c r="Q145" i="14"/>
  <c r="V145" i="14" s="1"/>
  <c r="M141" i="14"/>
  <c r="R141" i="14" s="1"/>
  <c r="Q119" i="14"/>
  <c r="V119" i="14" s="1"/>
  <c r="Q103" i="14"/>
  <c r="V103" i="14" s="1"/>
  <c r="P95" i="14"/>
  <c r="U95" i="14" s="1"/>
  <c r="Q87" i="14"/>
  <c r="V87" i="14" s="1"/>
  <c r="N83" i="14"/>
  <c r="S83" i="14" s="1"/>
  <c r="M61" i="14"/>
  <c r="R61" i="14" s="1"/>
  <c r="Q57" i="14"/>
  <c r="V57" i="14" s="1"/>
  <c r="N227" i="14"/>
  <c r="S227" i="14" s="1"/>
  <c r="P207" i="14"/>
  <c r="U207" i="14" s="1"/>
  <c r="P183" i="14"/>
  <c r="U183" i="14" s="1"/>
  <c r="N477" i="14"/>
  <c r="S477" i="14" s="1"/>
  <c r="M461" i="14"/>
  <c r="R461" i="14" s="1"/>
  <c r="Q449" i="14"/>
  <c r="V449" i="14" s="1"/>
  <c r="Q441" i="14"/>
  <c r="V441" i="14" s="1"/>
  <c r="M251" i="14"/>
  <c r="R251" i="14" s="1"/>
  <c r="O623" i="14"/>
  <c r="T623" i="14" s="1"/>
  <c r="P538" i="14"/>
  <c r="U538" i="14" s="1"/>
  <c r="Q537" i="14"/>
  <c r="V537" i="14" s="1"/>
  <c r="M487" i="14"/>
  <c r="R487" i="14" s="1"/>
  <c r="M157" i="14"/>
  <c r="R157" i="14" s="1"/>
  <c r="O541" i="14"/>
  <c r="T541" i="14" s="1"/>
  <c r="Q149" i="14"/>
  <c r="V149" i="14" s="1"/>
  <c r="M145" i="14"/>
  <c r="R145" i="14" s="1"/>
  <c r="Q123" i="14"/>
  <c r="V123" i="14" s="1"/>
  <c r="M119" i="14"/>
  <c r="R119" i="14" s="1"/>
  <c r="Q107" i="14"/>
  <c r="V107" i="14" s="1"/>
  <c r="M57" i="14"/>
  <c r="R57" i="14" s="1"/>
  <c r="Q53" i="14"/>
  <c r="V53" i="14" s="1"/>
  <c r="N215" i="14"/>
  <c r="S215" i="14" s="1"/>
  <c r="P211" i="14"/>
  <c r="U211" i="14" s="1"/>
  <c r="P195" i="14"/>
  <c r="U195" i="14" s="1"/>
  <c r="N191" i="14"/>
  <c r="S191" i="14" s="1"/>
  <c r="P187" i="14"/>
  <c r="U187" i="14" s="1"/>
  <c r="N627" i="14"/>
  <c r="S627" i="14" s="1"/>
  <c r="P619" i="14"/>
  <c r="U619" i="14" s="1"/>
  <c r="M587" i="14"/>
  <c r="R587" i="14" s="1"/>
  <c r="P562" i="14"/>
  <c r="U562" i="14" s="1"/>
  <c r="Q561" i="14"/>
  <c r="V561" i="14" s="1"/>
  <c r="N545" i="14"/>
  <c r="S545" i="14" s="1"/>
  <c r="O519" i="14"/>
  <c r="T519" i="14" s="1"/>
  <c r="O511" i="14"/>
  <c r="T511" i="14" s="1"/>
  <c r="P491" i="14"/>
  <c r="U491" i="14" s="1"/>
  <c r="P161" i="14"/>
  <c r="U161" i="14" s="1"/>
  <c r="P127" i="14"/>
  <c r="U127" i="14" s="1"/>
  <c r="P111" i="14"/>
  <c r="U111" i="14" s="1"/>
  <c r="M623" i="14"/>
  <c r="R623" i="14" s="1"/>
  <c r="N619" i="14"/>
  <c r="S619" i="14" s="1"/>
  <c r="O615" i="14"/>
  <c r="T615" i="14" s="1"/>
  <c r="P611" i="14"/>
  <c r="U611" i="14" s="1"/>
  <c r="Q607" i="14"/>
  <c r="V607" i="14" s="1"/>
  <c r="Q603" i="14"/>
  <c r="V603" i="14" s="1"/>
  <c r="Q599" i="14"/>
  <c r="V599" i="14" s="1"/>
  <c r="Q595" i="14"/>
  <c r="V595" i="14" s="1"/>
  <c r="O569" i="14"/>
  <c r="T569" i="14" s="1"/>
  <c r="N565" i="14"/>
  <c r="S565" i="14" s="1"/>
  <c r="P554" i="14"/>
  <c r="U554" i="14" s="1"/>
  <c r="Q553" i="14"/>
  <c r="V553" i="14" s="1"/>
  <c r="O495" i="14"/>
  <c r="T495" i="14" s="1"/>
  <c r="O165" i="14"/>
  <c r="T165" i="14" s="1"/>
  <c r="M103" i="14"/>
  <c r="R103" i="14" s="1"/>
  <c r="Q91" i="14"/>
  <c r="V91" i="14" s="1"/>
  <c r="M87" i="14"/>
  <c r="R87" i="14" s="1"/>
  <c r="O77" i="14"/>
  <c r="T77" i="14" s="1"/>
  <c r="O73" i="14"/>
  <c r="T73" i="14" s="1"/>
  <c r="O69" i="14"/>
  <c r="T69" i="14" s="1"/>
  <c r="N33" i="14"/>
  <c r="S33" i="14" s="1"/>
  <c r="M615" i="14"/>
  <c r="R615" i="14" s="1"/>
  <c r="N611" i="14"/>
  <c r="S611" i="14" s="1"/>
  <c r="O607" i="14"/>
  <c r="T607" i="14" s="1"/>
  <c r="O603" i="14"/>
  <c r="T603" i="14" s="1"/>
  <c r="O599" i="14"/>
  <c r="T599" i="14" s="1"/>
  <c r="O595" i="14"/>
  <c r="T595" i="14" s="1"/>
  <c r="P591" i="14"/>
  <c r="U591" i="14" s="1"/>
  <c r="Q587" i="14"/>
  <c r="V587" i="14" s="1"/>
  <c r="N573" i="14"/>
  <c r="S573" i="14" s="1"/>
  <c r="M569" i="14"/>
  <c r="R569" i="14" s="1"/>
  <c r="N557" i="14"/>
  <c r="S557" i="14" s="1"/>
  <c r="O537" i="14"/>
  <c r="T537" i="14" s="1"/>
  <c r="O523" i="14"/>
  <c r="T523" i="14" s="1"/>
  <c r="O515" i="14"/>
  <c r="T515" i="14" s="1"/>
  <c r="Q503" i="14"/>
  <c r="V503" i="14" s="1"/>
  <c r="N499" i="14"/>
  <c r="S499" i="14" s="1"/>
  <c r="Q173" i="14"/>
  <c r="V173" i="14" s="1"/>
  <c r="N169" i="14"/>
  <c r="S169" i="14" s="1"/>
  <c r="Q153" i="14"/>
  <c r="V153" i="14" s="1"/>
  <c r="M149" i="14"/>
  <c r="R149" i="14" s="1"/>
  <c r="Q137" i="14"/>
  <c r="V137" i="14" s="1"/>
  <c r="M123" i="14"/>
  <c r="R123" i="14" s="1"/>
  <c r="N115" i="14"/>
  <c r="S115" i="14" s="1"/>
  <c r="N99" i="14"/>
  <c r="S99" i="14" s="1"/>
  <c r="M91" i="14"/>
  <c r="R91" i="14" s="1"/>
  <c r="P65" i="14"/>
  <c r="U65" i="14" s="1"/>
  <c r="Q49" i="14"/>
  <c r="V49" i="14" s="1"/>
  <c r="N219" i="14"/>
  <c r="S219" i="14" s="1"/>
  <c r="P427" i="14"/>
  <c r="U427" i="14" s="1"/>
  <c r="P377" i="14"/>
  <c r="U377" i="14" s="1"/>
  <c r="P477" i="14"/>
  <c r="U477" i="14" s="1"/>
  <c r="P227" i="14"/>
  <c r="U227" i="14" s="1"/>
  <c r="P77" i="14"/>
  <c r="U77" i="14" s="1"/>
  <c r="M127" i="14"/>
  <c r="R127" i="14" s="1"/>
  <c r="Q127" i="14"/>
  <c r="V127" i="14" s="1"/>
  <c r="O177" i="14"/>
  <c r="T177" i="14" s="1"/>
  <c r="M527" i="14"/>
  <c r="R527" i="14" s="1"/>
  <c r="Q527" i="14"/>
  <c r="V527" i="14" s="1"/>
  <c r="P327" i="14"/>
  <c r="U327" i="14" s="1"/>
  <c r="M427" i="14"/>
  <c r="R427" i="14" s="1"/>
  <c r="N427" i="14"/>
  <c r="S427" i="14" s="1"/>
  <c r="M477" i="14"/>
  <c r="R477" i="14" s="1"/>
  <c r="M227" i="14"/>
  <c r="R227" i="14" s="1"/>
  <c r="N77" i="14"/>
  <c r="S77" i="14" s="1"/>
  <c r="O127" i="14"/>
  <c r="T127" i="14" s="1"/>
  <c r="M177" i="14"/>
  <c r="R177" i="14" s="1"/>
  <c r="Q177" i="14"/>
  <c r="V177" i="14" s="1"/>
  <c r="O527" i="14"/>
  <c r="T527" i="14" s="1"/>
  <c r="N423" i="14"/>
  <c r="S423" i="14" s="1"/>
  <c r="M423" i="14"/>
  <c r="R423" i="14" s="1"/>
  <c r="M473" i="14"/>
  <c r="R473" i="14" s="1"/>
  <c r="M223" i="14"/>
  <c r="R223" i="14" s="1"/>
  <c r="P73" i="14"/>
  <c r="U73" i="14" s="1"/>
  <c r="N123" i="14"/>
  <c r="S123" i="14" s="1"/>
  <c r="N173" i="14"/>
  <c r="S173" i="14" s="1"/>
  <c r="P523" i="14"/>
  <c r="U523" i="14" s="1"/>
  <c r="P423" i="14"/>
  <c r="U423" i="14" s="1"/>
  <c r="Q423" i="14"/>
  <c r="V423" i="14" s="1"/>
  <c r="P473" i="14"/>
  <c r="U473" i="14" s="1"/>
  <c r="P223" i="14"/>
  <c r="U223" i="14" s="1"/>
  <c r="N73" i="14"/>
  <c r="S73" i="14" s="1"/>
  <c r="P123" i="14"/>
  <c r="U123" i="14" s="1"/>
  <c r="P173" i="14"/>
  <c r="U173" i="14" s="1"/>
  <c r="N523" i="14"/>
  <c r="S523" i="14" s="1"/>
  <c r="P319" i="14"/>
  <c r="U319" i="14" s="1"/>
  <c r="Q419" i="14"/>
  <c r="V419" i="14" s="1"/>
  <c r="M419" i="14"/>
  <c r="R419" i="14" s="1"/>
  <c r="Q469" i="14"/>
  <c r="V469" i="14" s="1"/>
  <c r="P219" i="14"/>
  <c r="U219" i="14" s="1"/>
  <c r="P69" i="14"/>
  <c r="U69" i="14" s="1"/>
  <c r="P119" i="14"/>
  <c r="U119" i="14" s="1"/>
  <c r="M169" i="14"/>
  <c r="R169" i="14" s="1"/>
  <c r="Q169" i="14"/>
  <c r="V169" i="14" s="1"/>
  <c r="N519" i="14"/>
  <c r="S519" i="14" s="1"/>
  <c r="N419" i="14"/>
  <c r="S419" i="14" s="1"/>
  <c r="P419" i="14"/>
  <c r="U419" i="14" s="1"/>
  <c r="N469" i="14"/>
  <c r="S469" i="14" s="1"/>
  <c r="M219" i="14"/>
  <c r="R219" i="14" s="1"/>
  <c r="N69" i="14"/>
  <c r="S69" i="14" s="1"/>
  <c r="N119" i="14"/>
  <c r="S119" i="14" s="1"/>
  <c r="O169" i="14"/>
  <c r="T169" i="14" s="1"/>
  <c r="P519" i="14"/>
  <c r="U519" i="14" s="1"/>
  <c r="P315" i="14"/>
  <c r="U315" i="14" s="1"/>
  <c r="P365" i="14"/>
  <c r="U365" i="14" s="1"/>
  <c r="N415" i="14"/>
  <c r="S415" i="14" s="1"/>
  <c r="N465" i="14"/>
  <c r="S465" i="14" s="1"/>
  <c r="M215" i="14"/>
  <c r="R215" i="14" s="1"/>
  <c r="M65" i="14"/>
  <c r="R65" i="14" s="1"/>
  <c r="Q65" i="14"/>
  <c r="V65" i="14" s="1"/>
  <c r="M115" i="14"/>
  <c r="R115" i="14" s="1"/>
  <c r="Q115" i="14"/>
  <c r="V115" i="14" s="1"/>
  <c r="P165" i="14"/>
  <c r="U165" i="14" s="1"/>
  <c r="P515" i="14"/>
  <c r="U515" i="14" s="1"/>
  <c r="P415" i="14"/>
  <c r="U415" i="14" s="1"/>
  <c r="Q465" i="14"/>
  <c r="V465" i="14" s="1"/>
  <c r="P215" i="14"/>
  <c r="U215" i="14" s="1"/>
  <c r="O65" i="14"/>
  <c r="T65" i="14" s="1"/>
  <c r="O115" i="14"/>
  <c r="T115" i="14" s="1"/>
  <c r="N165" i="14"/>
  <c r="S165" i="14" s="1"/>
  <c r="N515" i="14"/>
  <c r="S515" i="14" s="1"/>
  <c r="P311" i="14"/>
  <c r="U311" i="14" s="1"/>
  <c r="P361" i="14"/>
  <c r="U361" i="14" s="1"/>
  <c r="P411" i="14"/>
  <c r="U411" i="14" s="1"/>
  <c r="P461" i="14"/>
  <c r="U461" i="14" s="1"/>
  <c r="N461" i="14"/>
  <c r="S461" i="14" s="1"/>
  <c r="Q211" i="14"/>
  <c r="V211" i="14" s="1"/>
  <c r="N61" i="14"/>
  <c r="S61" i="14" s="1"/>
  <c r="O111" i="14"/>
  <c r="T111" i="14" s="1"/>
  <c r="O161" i="14"/>
  <c r="T161" i="14" s="1"/>
  <c r="N511" i="14"/>
  <c r="S511" i="14" s="1"/>
  <c r="N211" i="14"/>
  <c r="S211" i="14" s="1"/>
  <c r="P61" i="14"/>
  <c r="U61" i="14" s="1"/>
  <c r="M111" i="14"/>
  <c r="R111" i="14" s="1"/>
  <c r="Q111" i="14"/>
  <c r="V111" i="14" s="1"/>
  <c r="M161" i="14"/>
  <c r="R161" i="14" s="1"/>
  <c r="Q161" i="14"/>
  <c r="V161" i="14" s="1"/>
  <c r="P511" i="14"/>
  <c r="U511" i="14" s="1"/>
  <c r="P307" i="14"/>
  <c r="U307" i="14" s="1"/>
  <c r="P357" i="14"/>
  <c r="U357" i="14" s="1"/>
  <c r="P407" i="14"/>
  <c r="U407" i="14" s="1"/>
  <c r="N457" i="14"/>
  <c r="S457" i="14" s="1"/>
  <c r="Q457" i="14"/>
  <c r="V457" i="14" s="1"/>
  <c r="N207" i="14"/>
  <c r="S207" i="14" s="1"/>
  <c r="N57" i="14"/>
  <c r="S57" i="14" s="1"/>
  <c r="P107" i="14"/>
  <c r="U107" i="14" s="1"/>
  <c r="N157" i="14"/>
  <c r="S157" i="14" s="1"/>
  <c r="M507" i="14"/>
  <c r="R507" i="14" s="1"/>
  <c r="Q507" i="14"/>
  <c r="V507" i="14" s="1"/>
  <c r="N407" i="14"/>
  <c r="S407" i="14" s="1"/>
  <c r="M457" i="14"/>
  <c r="R457" i="14" s="1"/>
  <c r="Q207" i="14"/>
  <c r="V207" i="14" s="1"/>
  <c r="P57" i="14"/>
  <c r="U57" i="14" s="1"/>
  <c r="N107" i="14"/>
  <c r="S107" i="14" s="1"/>
  <c r="P157" i="14"/>
  <c r="U157" i="14" s="1"/>
  <c r="O507" i="14"/>
  <c r="T507" i="14" s="1"/>
  <c r="P303" i="14"/>
  <c r="U303" i="14" s="1"/>
  <c r="P353" i="14"/>
  <c r="U353" i="14" s="1"/>
  <c r="P403" i="14"/>
  <c r="U403" i="14" s="1"/>
  <c r="Q453" i="14"/>
  <c r="V453" i="14" s="1"/>
  <c r="P453" i="14"/>
  <c r="U453" i="14" s="1"/>
  <c r="Q203" i="14"/>
  <c r="V203" i="14" s="1"/>
  <c r="N53" i="14"/>
  <c r="S53" i="14" s="1"/>
  <c r="N103" i="14"/>
  <c r="S103" i="14" s="1"/>
  <c r="P153" i="14"/>
  <c r="U153" i="14" s="1"/>
  <c r="P503" i="14"/>
  <c r="U503" i="14" s="1"/>
  <c r="O553" i="14"/>
  <c r="T553" i="14" s="1"/>
  <c r="M453" i="14"/>
  <c r="R453" i="14" s="1"/>
  <c r="N203" i="14"/>
  <c r="S203" i="14" s="1"/>
  <c r="P53" i="14"/>
  <c r="U53" i="14" s="1"/>
  <c r="P103" i="14"/>
  <c r="U103" i="14" s="1"/>
  <c r="N153" i="14"/>
  <c r="S153" i="14" s="1"/>
  <c r="N503" i="14"/>
  <c r="S503" i="14" s="1"/>
  <c r="P299" i="14"/>
  <c r="U299" i="14" s="1"/>
  <c r="P349" i="14"/>
  <c r="U349" i="14" s="1"/>
  <c r="N449" i="14"/>
  <c r="S449" i="14" s="1"/>
  <c r="P449" i="14"/>
  <c r="U449" i="14" s="1"/>
  <c r="N199" i="14"/>
  <c r="S199" i="14" s="1"/>
  <c r="N49" i="14"/>
  <c r="S49" i="14" s="1"/>
  <c r="O99" i="14"/>
  <c r="T99" i="14" s="1"/>
  <c r="N149" i="14"/>
  <c r="S149" i="14" s="1"/>
  <c r="O499" i="14"/>
  <c r="T499" i="14" s="1"/>
  <c r="O549" i="14"/>
  <c r="T549" i="14" s="1"/>
  <c r="P399" i="14"/>
  <c r="U399" i="14" s="1"/>
  <c r="Q199" i="14"/>
  <c r="V199" i="14" s="1"/>
  <c r="P49" i="14"/>
  <c r="U49" i="14" s="1"/>
  <c r="M99" i="14"/>
  <c r="R99" i="14" s="1"/>
  <c r="Q99" i="14"/>
  <c r="V99" i="14" s="1"/>
  <c r="P149" i="14"/>
  <c r="U149" i="14" s="1"/>
  <c r="M499" i="14"/>
  <c r="R499" i="14" s="1"/>
  <c r="Q499" i="14"/>
  <c r="V499" i="14" s="1"/>
  <c r="P345" i="14"/>
  <c r="U345" i="14" s="1"/>
  <c r="P295" i="14"/>
  <c r="U295" i="14" s="1"/>
  <c r="Q445" i="14"/>
  <c r="V445" i="14" s="1"/>
  <c r="N445" i="14"/>
  <c r="S445" i="14" s="1"/>
  <c r="Q195" i="14"/>
  <c r="V195" i="14" s="1"/>
  <c r="M95" i="14"/>
  <c r="R95" i="14" s="1"/>
  <c r="Q95" i="14"/>
  <c r="V95" i="14" s="1"/>
  <c r="P145" i="14"/>
  <c r="U145" i="14" s="1"/>
  <c r="N495" i="14"/>
  <c r="S495" i="14" s="1"/>
  <c r="P395" i="14"/>
  <c r="U395" i="14" s="1"/>
  <c r="N195" i="14"/>
  <c r="S195" i="14" s="1"/>
  <c r="O45" i="14"/>
  <c r="T45" i="14" s="1"/>
  <c r="O95" i="14"/>
  <c r="T95" i="14" s="1"/>
  <c r="N145" i="14"/>
  <c r="S145" i="14" s="1"/>
  <c r="P495" i="14"/>
  <c r="U495" i="14" s="1"/>
  <c r="P291" i="14"/>
  <c r="U291" i="14" s="1"/>
  <c r="P441" i="14"/>
  <c r="U441" i="14" s="1"/>
  <c r="P341" i="14"/>
  <c r="U341" i="14" s="1"/>
  <c r="N441" i="14"/>
  <c r="S441" i="14" s="1"/>
  <c r="P191" i="14"/>
  <c r="U191" i="14" s="1"/>
  <c r="N41" i="14"/>
  <c r="S41" i="14" s="1"/>
  <c r="N91" i="14"/>
  <c r="S91" i="14" s="1"/>
  <c r="N141" i="14"/>
  <c r="S141" i="14" s="1"/>
  <c r="M491" i="14"/>
  <c r="R491" i="14" s="1"/>
  <c r="Q491" i="14"/>
  <c r="V491" i="14" s="1"/>
  <c r="M541" i="14"/>
  <c r="R541" i="14" s="1"/>
  <c r="Q541" i="14"/>
  <c r="V541" i="14" s="1"/>
  <c r="P542" i="14"/>
  <c r="U542" i="14" s="1"/>
  <c r="W542" i="14" s="1"/>
  <c r="X542" i="14" s="1"/>
  <c r="M191" i="14"/>
  <c r="R191" i="14" s="1"/>
  <c r="P41" i="14"/>
  <c r="U41" i="14" s="1"/>
  <c r="P91" i="14"/>
  <c r="U91" i="14" s="1"/>
  <c r="P141" i="14"/>
  <c r="U141" i="14" s="1"/>
  <c r="O491" i="14"/>
  <c r="T491" i="14" s="1"/>
  <c r="P287" i="14"/>
  <c r="U287" i="14" s="1"/>
  <c r="P387" i="14"/>
  <c r="U387" i="14" s="1"/>
  <c r="M437" i="14"/>
  <c r="R437" i="14" s="1"/>
  <c r="P437" i="14"/>
  <c r="U437" i="14" s="1"/>
  <c r="N187" i="14"/>
  <c r="S187" i="14" s="1"/>
  <c r="P37" i="14"/>
  <c r="U37" i="14" s="1"/>
  <c r="P87" i="14"/>
  <c r="U87" i="14" s="1"/>
  <c r="P137" i="14"/>
  <c r="U137" i="14" s="1"/>
  <c r="P487" i="14"/>
  <c r="U487" i="14" s="1"/>
  <c r="Q437" i="14"/>
  <c r="V437" i="14" s="1"/>
  <c r="P337" i="14"/>
  <c r="U337" i="14" s="1"/>
  <c r="Q187" i="14"/>
  <c r="V187" i="14" s="1"/>
  <c r="N37" i="14"/>
  <c r="S37" i="14" s="1"/>
  <c r="N87" i="14"/>
  <c r="S87" i="14" s="1"/>
  <c r="N137" i="14"/>
  <c r="S137" i="14" s="1"/>
  <c r="N487" i="14"/>
  <c r="S487" i="14" s="1"/>
  <c r="O283" i="14"/>
  <c r="T283" i="14" s="1"/>
  <c r="P433" i="14"/>
  <c r="U433" i="14" s="1"/>
  <c r="O333" i="14"/>
  <c r="T333" i="14" s="1"/>
  <c r="O383" i="14"/>
  <c r="T383" i="14" s="1"/>
  <c r="O433" i="14"/>
  <c r="T433" i="14" s="1"/>
  <c r="Q183" i="14"/>
  <c r="V183" i="14" s="1"/>
  <c r="M33" i="14"/>
  <c r="R33" i="14" s="1"/>
  <c r="O83" i="14"/>
  <c r="T83" i="14" s="1"/>
  <c r="O133" i="14"/>
  <c r="T133" i="14" s="1"/>
  <c r="O483" i="14"/>
  <c r="T483" i="14" s="1"/>
  <c r="O533" i="14"/>
  <c r="T533" i="14" s="1"/>
  <c r="Q433" i="14"/>
  <c r="V433" i="14" s="1"/>
  <c r="O183" i="14"/>
  <c r="T183" i="14" s="1"/>
  <c r="O33" i="14"/>
  <c r="T33" i="14" s="1"/>
  <c r="M83" i="14"/>
  <c r="R83" i="14" s="1"/>
  <c r="Q83" i="14"/>
  <c r="V83" i="14" s="1"/>
  <c r="M133" i="14"/>
  <c r="R133" i="14" s="1"/>
  <c r="Q133" i="14"/>
  <c r="V133" i="14" s="1"/>
  <c r="M483" i="14"/>
  <c r="R483" i="14" s="1"/>
  <c r="Q483" i="14"/>
  <c r="V483" i="14" s="1"/>
  <c r="M533" i="14"/>
  <c r="R533" i="14" s="1"/>
  <c r="Q627" i="14"/>
  <c r="V627" i="14" s="1"/>
  <c r="M627" i="14"/>
  <c r="R627" i="14" s="1"/>
  <c r="P623" i="14"/>
  <c r="U623" i="14" s="1"/>
  <c r="O619" i="14"/>
  <c r="T619" i="14" s="1"/>
  <c r="N615" i="14"/>
  <c r="S615" i="14" s="1"/>
  <c r="Q611" i="14"/>
  <c r="V611" i="14" s="1"/>
  <c r="M611" i="14"/>
  <c r="R611" i="14" s="1"/>
  <c r="P607" i="14"/>
  <c r="U607" i="14" s="1"/>
  <c r="N603" i="14"/>
  <c r="S603" i="14" s="1"/>
  <c r="P599" i="14"/>
  <c r="U599" i="14" s="1"/>
  <c r="N595" i="14"/>
  <c r="S595" i="14" s="1"/>
  <c r="Q591" i="14"/>
  <c r="V591" i="14" s="1"/>
  <c r="M591" i="14"/>
  <c r="R591" i="14" s="1"/>
  <c r="P587" i="14"/>
  <c r="U587" i="14" s="1"/>
  <c r="O583" i="14"/>
  <c r="T583" i="14" s="1"/>
  <c r="P578" i="14"/>
  <c r="U578" i="14" s="1"/>
  <c r="Q577" i="14"/>
  <c r="V577" i="14" s="1"/>
  <c r="M577" i="14"/>
  <c r="R577" i="14" s="1"/>
  <c r="P574" i="14"/>
  <c r="U574" i="14" s="1"/>
  <c r="Q573" i="14"/>
  <c r="V573" i="14" s="1"/>
  <c r="M573" i="14"/>
  <c r="R573" i="14" s="1"/>
  <c r="N569" i="14"/>
  <c r="S569" i="14" s="1"/>
  <c r="W569" i="14" s="1"/>
  <c r="X569" i="14" s="1"/>
  <c r="P566" i="14"/>
  <c r="U566" i="14" s="1"/>
  <c r="Q565" i="14"/>
  <c r="V565" i="14" s="1"/>
  <c r="M565" i="14"/>
  <c r="R565" i="14" s="1"/>
  <c r="O557" i="14"/>
  <c r="T557" i="14" s="1"/>
  <c r="M553" i="14"/>
  <c r="R553" i="14" s="1"/>
  <c r="P550" i="14"/>
  <c r="U550" i="14" s="1"/>
  <c r="W550" i="14" s="1"/>
  <c r="X550" i="14" s="1"/>
  <c r="Q549" i="14"/>
  <c r="V549" i="14" s="1"/>
  <c r="P546" i="14"/>
  <c r="U546" i="14" s="1"/>
  <c r="W546" i="14" s="1"/>
  <c r="X546" i="14" s="1"/>
  <c r="Q545" i="14"/>
  <c r="V545" i="14" s="1"/>
  <c r="M545" i="14"/>
  <c r="R545" i="14" s="1"/>
  <c r="N537" i="14"/>
  <c r="S537" i="14" s="1"/>
  <c r="P534" i="14"/>
  <c r="U534" i="14" s="1"/>
  <c r="W534" i="14" s="1"/>
  <c r="X534" i="14" s="1"/>
  <c r="H34" i="14" s="1"/>
  <c r="T10" i="40" s="1"/>
  <c r="Q533" i="14"/>
  <c r="V533" i="14" s="1"/>
  <c r="P527" i="14"/>
  <c r="U527" i="14" s="1"/>
  <c r="Q523" i="14"/>
  <c r="V523" i="14" s="1"/>
  <c r="Q519" i="14"/>
  <c r="V519" i="14" s="1"/>
  <c r="Q515" i="14"/>
  <c r="V515" i="14" s="1"/>
  <c r="Q511" i="14"/>
  <c r="V511" i="14" s="1"/>
  <c r="M495" i="14"/>
  <c r="R495" i="14" s="1"/>
  <c r="N491" i="14"/>
  <c r="S491" i="14" s="1"/>
  <c r="O487" i="14"/>
  <c r="T487" i="14" s="1"/>
  <c r="P483" i="14"/>
  <c r="U483" i="14" s="1"/>
  <c r="M165" i="14"/>
  <c r="R165" i="14" s="1"/>
  <c r="N161" i="14"/>
  <c r="S161" i="14" s="1"/>
  <c r="O157" i="14"/>
  <c r="T157" i="14" s="1"/>
  <c r="O153" i="14"/>
  <c r="T153" i="14" s="1"/>
  <c r="W153" i="14" s="1"/>
  <c r="X153" i="14" s="1"/>
  <c r="O149" i="14"/>
  <c r="T149" i="14" s="1"/>
  <c r="O145" i="14"/>
  <c r="T145" i="14" s="1"/>
  <c r="O141" i="14"/>
  <c r="T141" i="14" s="1"/>
  <c r="O137" i="14"/>
  <c r="T137" i="14" s="1"/>
  <c r="P133" i="14"/>
  <c r="U133" i="14" s="1"/>
  <c r="N127" i="14"/>
  <c r="S127" i="14" s="1"/>
  <c r="W127" i="14" s="1"/>
  <c r="X127" i="14" s="1"/>
  <c r="P115" i="14"/>
  <c r="U115" i="14" s="1"/>
  <c r="N111" i="14"/>
  <c r="S111" i="14" s="1"/>
  <c r="P99" i="14"/>
  <c r="U99" i="14" s="1"/>
  <c r="N95" i="14"/>
  <c r="S95" i="14" s="1"/>
  <c r="Q77" i="14"/>
  <c r="V77" i="14" s="1"/>
  <c r="M73" i="14"/>
  <c r="R73" i="14" s="1"/>
  <c r="Q69" i="14"/>
  <c r="V69" i="14" s="1"/>
  <c r="N65" i="14"/>
  <c r="S65" i="14" s="1"/>
  <c r="O57" i="14"/>
  <c r="T57" i="14" s="1"/>
  <c r="O49" i="14"/>
  <c r="T49" i="14" s="1"/>
  <c r="Q33" i="14"/>
  <c r="V33" i="14" s="1"/>
  <c r="Q227" i="14"/>
  <c r="V227" i="14" s="1"/>
  <c r="Q223" i="14"/>
  <c r="V223" i="14" s="1"/>
  <c r="Q219" i="14"/>
  <c r="V219" i="14" s="1"/>
  <c r="Q215" i="14"/>
  <c r="V215" i="14" s="1"/>
  <c r="M187" i="14"/>
  <c r="R187" i="14" s="1"/>
  <c r="M183" i="14"/>
  <c r="R183" i="14" s="1"/>
  <c r="Q477" i="14"/>
  <c r="V477" i="14" s="1"/>
  <c r="Q473" i="14"/>
  <c r="V473" i="14" s="1"/>
  <c r="Q461" i="14"/>
  <c r="V461" i="14" s="1"/>
  <c r="P457" i="14"/>
  <c r="U457" i="14" s="1"/>
  <c r="M449" i="14"/>
  <c r="R449" i="14" s="1"/>
  <c r="N437" i="14"/>
  <c r="S437" i="14" s="1"/>
  <c r="P323" i="14"/>
  <c r="U323" i="14" s="1"/>
  <c r="O627" i="14"/>
  <c r="T627" i="14" s="1"/>
  <c r="N623" i="14"/>
  <c r="S623" i="14" s="1"/>
  <c r="Q619" i="14"/>
  <c r="V619" i="14" s="1"/>
  <c r="M619" i="14"/>
  <c r="R619" i="14" s="1"/>
  <c r="P615" i="14"/>
  <c r="U615" i="14" s="1"/>
  <c r="O611" i="14"/>
  <c r="T611" i="14" s="1"/>
  <c r="N607" i="14"/>
  <c r="S607" i="14" s="1"/>
  <c r="P603" i="14"/>
  <c r="U603" i="14" s="1"/>
  <c r="N599" i="14"/>
  <c r="S599" i="14" s="1"/>
  <c r="P595" i="14"/>
  <c r="U595" i="14" s="1"/>
  <c r="O591" i="14"/>
  <c r="T591" i="14" s="1"/>
  <c r="N587" i="14"/>
  <c r="S587" i="14" s="1"/>
  <c r="Q583" i="14"/>
  <c r="V583" i="14" s="1"/>
  <c r="M583" i="14"/>
  <c r="R583" i="14" s="1"/>
  <c r="O577" i="14"/>
  <c r="T577" i="14" s="1"/>
  <c r="O573" i="14"/>
  <c r="T573" i="14" s="1"/>
  <c r="W573" i="14" s="1"/>
  <c r="X573" i="14" s="1"/>
  <c r="O565" i="14"/>
  <c r="T565" i="14" s="1"/>
  <c r="N561" i="14"/>
  <c r="S561" i="14" s="1"/>
  <c r="W561" i="14" s="1"/>
  <c r="X561" i="14" s="1"/>
  <c r="P558" i="14"/>
  <c r="U558" i="14" s="1"/>
  <c r="Q557" i="14"/>
  <c r="V557" i="14" s="1"/>
  <c r="M557" i="14"/>
  <c r="R557" i="14" s="1"/>
  <c r="N549" i="14"/>
  <c r="S549" i="14" s="1"/>
  <c r="O545" i="14"/>
  <c r="T545" i="14" s="1"/>
  <c r="N541" i="14"/>
  <c r="S541" i="14" s="1"/>
  <c r="N533" i="14"/>
  <c r="S533" i="14" s="1"/>
  <c r="M523" i="14"/>
  <c r="R523" i="14" s="1"/>
  <c r="M519" i="14"/>
  <c r="R519" i="14" s="1"/>
  <c r="M515" i="14"/>
  <c r="R515" i="14" s="1"/>
  <c r="M511" i="14"/>
  <c r="R511" i="14" s="1"/>
  <c r="N507" i="14"/>
  <c r="S507" i="14" s="1"/>
  <c r="W507" i="14" s="1"/>
  <c r="X507" i="14" s="1"/>
  <c r="O503" i="14"/>
  <c r="T503" i="14" s="1"/>
  <c r="P499" i="14"/>
  <c r="U499" i="14" s="1"/>
  <c r="W499" i="14" s="1"/>
  <c r="X499" i="14" s="1"/>
  <c r="Q495" i="14"/>
  <c r="V495" i="14" s="1"/>
  <c r="N177" i="14"/>
  <c r="S177" i="14" s="1"/>
  <c r="O173" i="14"/>
  <c r="T173" i="14" s="1"/>
  <c r="W173" i="14" s="1"/>
  <c r="X173" i="14" s="1"/>
  <c r="P169" i="14"/>
  <c r="U169" i="14" s="1"/>
  <c r="W169" i="14" s="1"/>
  <c r="X169" i="14" s="1"/>
  <c r="Q165" i="14"/>
  <c r="V165" i="14" s="1"/>
  <c r="O123" i="14"/>
  <c r="T123" i="14" s="1"/>
  <c r="O119" i="14"/>
  <c r="T119" i="14" s="1"/>
  <c r="O107" i="14"/>
  <c r="T107" i="14" s="1"/>
  <c r="W107" i="14" s="1"/>
  <c r="X107" i="14" s="1"/>
  <c r="O103" i="14"/>
  <c r="T103" i="14" s="1"/>
  <c r="O91" i="14"/>
  <c r="T91" i="14" s="1"/>
  <c r="O87" i="14"/>
  <c r="T87" i="14" s="1"/>
  <c r="W87" i="14" s="1"/>
  <c r="X87" i="14" s="1"/>
  <c r="P83" i="14"/>
  <c r="U83" i="14" s="1"/>
  <c r="W83" i="14" s="1"/>
  <c r="X83" i="14" s="1"/>
  <c r="M77" i="14"/>
  <c r="R77" i="14" s="1"/>
  <c r="Q73" i="14"/>
  <c r="V73" i="14" s="1"/>
  <c r="M69" i="14"/>
  <c r="R69" i="14" s="1"/>
  <c r="O61" i="14"/>
  <c r="T61" i="14" s="1"/>
  <c r="O53" i="14"/>
  <c r="T53" i="14" s="1"/>
  <c r="N45" i="14"/>
  <c r="S45" i="14" s="1"/>
  <c r="M211" i="14"/>
  <c r="R211" i="14" s="1"/>
  <c r="M207" i="14"/>
  <c r="R207" i="14" s="1"/>
  <c r="M203" i="14"/>
  <c r="R203" i="14" s="1"/>
  <c r="M199" i="14"/>
  <c r="R199" i="14" s="1"/>
  <c r="M195" i="14"/>
  <c r="R195" i="14" s="1"/>
  <c r="Q191" i="14"/>
  <c r="V191" i="14" s="1"/>
  <c r="M469" i="14"/>
  <c r="R469" i="14" s="1"/>
  <c r="M465" i="14"/>
  <c r="R465" i="14" s="1"/>
  <c r="N453" i="14"/>
  <c r="S453" i="14" s="1"/>
  <c r="P445" i="14"/>
  <c r="U445" i="14" s="1"/>
  <c r="M441" i="14"/>
  <c r="R441" i="14" s="1"/>
  <c r="M433" i="14"/>
  <c r="R433" i="14" s="1"/>
  <c r="Q427" i="14"/>
  <c r="V427" i="14" s="1"/>
  <c r="Q415" i="14"/>
  <c r="V415" i="14" s="1"/>
  <c r="P391" i="14"/>
  <c r="U391" i="14" s="1"/>
  <c r="P276" i="14"/>
  <c r="U276" i="14" s="1"/>
  <c r="P326" i="14"/>
  <c r="U326" i="14" s="1"/>
  <c r="O276" i="14"/>
  <c r="T276" i="14" s="1"/>
  <c r="O326" i="14"/>
  <c r="T326" i="14" s="1"/>
  <c r="M376" i="14"/>
  <c r="R376" i="14" s="1"/>
  <c r="Q376" i="14"/>
  <c r="V376" i="14" s="1"/>
  <c r="P426" i="14"/>
  <c r="U426" i="14" s="1"/>
  <c r="Q276" i="14"/>
  <c r="V276" i="14" s="1"/>
  <c r="Q326" i="14"/>
  <c r="V326" i="14" s="1"/>
  <c r="N376" i="14"/>
  <c r="S376" i="14" s="1"/>
  <c r="N272" i="14"/>
  <c r="S272" i="14" s="1"/>
  <c r="O322" i="14"/>
  <c r="T322" i="14" s="1"/>
  <c r="O272" i="14"/>
  <c r="T272" i="14" s="1"/>
  <c r="P322" i="14"/>
  <c r="U322" i="14" s="1"/>
  <c r="P372" i="14"/>
  <c r="U372" i="14" s="1"/>
  <c r="O422" i="14"/>
  <c r="T422" i="14" s="1"/>
  <c r="P272" i="14"/>
  <c r="U272" i="14" s="1"/>
  <c r="Q322" i="14"/>
  <c r="V322" i="14" s="1"/>
  <c r="M372" i="14"/>
  <c r="R372" i="14" s="1"/>
  <c r="Q372" i="14"/>
  <c r="V372" i="14" s="1"/>
  <c r="P268" i="14"/>
  <c r="U268" i="14" s="1"/>
  <c r="M318" i="14"/>
  <c r="R318" i="14" s="1"/>
  <c r="Q318" i="14"/>
  <c r="V318" i="14" s="1"/>
  <c r="N268" i="14"/>
  <c r="S268" i="14" s="1"/>
  <c r="O318" i="14"/>
  <c r="T318" i="14" s="1"/>
  <c r="O368" i="14"/>
  <c r="T368" i="14" s="1"/>
  <c r="M418" i="14"/>
  <c r="R418" i="14" s="1"/>
  <c r="Q418" i="14"/>
  <c r="V418" i="14" s="1"/>
  <c r="O268" i="14"/>
  <c r="T268" i="14" s="1"/>
  <c r="P318" i="14"/>
  <c r="U318" i="14" s="1"/>
  <c r="P368" i="14"/>
  <c r="U368" i="14" s="1"/>
  <c r="W368" i="14" s="1"/>
  <c r="X368" i="14" s="1"/>
  <c r="N264" i="14"/>
  <c r="S264" i="14" s="1"/>
  <c r="O314" i="14"/>
  <c r="T314" i="14" s="1"/>
  <c r="M264" i="14"/>
  <c r="R264" i="14" s="1"/>
  <c r="N314" i="14"/>
  <c r="S314" i="14" s="1"/>
  <c r="N364" i="14"/>
  <c r="S364" i="14" s="1"/>
  <c r="N414" i="14"/>
  <c r="S414" i="14" s="1"/>
  <c r="N464" i="14"/>
  <c r="S464" i="14" s="1"/>
  <c r="O264" i="14"/>
  <c r="T264" i="14" s="1"/>
  <c r="W264" i="14" s="1"/>
  <c r="X264" i="14" s="1"/>
  <c r="P314" i="14"/>
  <c r="U314" i="14" s="1"/>
  <c r="O364" i="14"/>
  <c r="T364" i="14" s="1"/>
  <c r="P260" i="14"/>
  <c r="U260" i="14" s="1"/>
  <c r="N310" i="14"/>
  <c r="S310" i="14" s="1"/>
  <c r="N360" i="14"/>
  <c r="S360" i="14" s="1"/>
  <c r="M260" i="14"/>
  <c r="R260" i="14" s="1"/>
  <c r="O310" i="14"/>
  <c r="T310" i="14" s="1"/>
  <c r="Q360" i="14"/>
  <c r="V360" i="14" s="1"/>
  <c r="O410" i="14"/>
  <c r="T410" i="14" s="1"/>
  <c r="P460" i="14"/>
  <c r="U460" i="14" s="1"/>
  <c r="N260" i="14"/>
  <c r="S260" i="14" s="1"/>
  <c r="P310" i="14"/>
  <c r="U310" i="14" s="1"/>
  <c r="M360" i="14"/>
  <c r="R360" i="14" s="1"/>
  <c r="N256" i="14"/>
  <c r="S256" i="14" s="1"/>
  <c r="P306" i="14"/>
  <c r="U306" i="14" s="1"/>
  <c r="M356" i="14"/>
  <c r="R356" i="14" s="1"/>
  <c r="Q356" i="14"/>
  <c r="V356" i="14" s="1"/>
  <c r="Q256" i="14"/>
  <c r="V256" i="14" s="1"/>
  <c r="N306" i="14"/>
  <c r="S306" i="14" s="1"/>
  <c r="O406" i="14"/>
  <c r="T406" i="14" s="1"/>
  <c r="O456" i="14"/>
  <c r="T456" i="14" s="1"/>
  <c r="M256" i="14"/>
  <c r="R256" i="14" s="1"/>
  <c r="O306" i="14"/>
  <c r="T306" i="14" s="1"/>
  <c r="N356" i="14"/>
  <c r="S356" i="14" s="1"/>
  <c r="P252" i="14"/>
  <c r="U252" i="14" s="1"/>
  <c r="N302" i="14"/>
  <c r="S302" i="14" s="1"/>
  <c r="P352" i="14"/>
  <c r="U352" i="14" s="1"/>
  <c r="Q252" i="14"/>
  <c r="V252" i="14" s="1"/>
  <c r="M302" i="14"/>
  <c r="R302" i="14" s="1"/>
  <c r="M352" i="14"/>
  <c r="R352" i="14" s="1"/>
  <c r="N402" i="14"/>
  <c r="S402" i="14" s="1"/>
  <c r="M452" i="14"/>
  <c r="R452" i="14" s="1"/>
  <c r="Q452" i="14"/>
  <c r="V452" i="14" s="1"/>
  <c r="M252" i="14"/>
  <c r="R252" i="14" s="1"/>
  <c r="O302" i="14"/>
  <c r="T302" i="14" s="1"/>
  <c r="N352" i="14"/>
  <c r="S352" i="14" s="1"/>
  <c r="O248" i="14"/>
  <c r="T248" i="14" s="1"/>
  <c r="P298" i="14"/>
  <c r="U298" i="14" s="1"/>
  <c r="O348" i="14"/>
  <c r="T348" i="14" s="1"/>
  <c r="M248" i="14"/>
  <c r="R248" i="14" s="1"/>
  <c r="M298" i="14"/>
  <c r="R298" i="14" s="1"/>
  <c r="M348" i="14"/>
  <c r="R348" i="14" s="1"/>
  <c r="M398" i="14"/>
  <c r="R398" i="14" s="1"/>
  <c r="Q398" i="14"/>
  <c r="V398" i="14" s="1"/>
  <c r="W398" i="14" s="1"/>
  <c r="X398" i="14" s="1"/>
  <c r="O448" i="14"/>
  <c r="T448" i="14" s="1"/>
  <c r="N248" i="14"/>
  <c r="S248" i="14" s="1"/>
  <c r="N298" i="14"/>
  <c r="S298" i="14" s="1"/>
  <c r="N348" i="14"/>
  <c r="S348" i="14" s="1"/>
  <c r="M244" i="14"/>
  <c r="R244" i="14" s="1"/>
  <c r="Q244" i="14"/>
  <c r="V244" i="14" s="1"/>
  <c r="O294" i="14"/>
  <c r="T294" i="14" s="1"/>
  <c r="N344" i="14"/>
  <c r="S344" i="14" s="1"/>
  <c r="M294" i="14"/>
  <c r="R294" i="14" s="1"/>
  <c r="M344" i="14"/>
  <c r="R344" i="14" s="1"/>
  <c r="P394" i="14"/>
  <c r="U394" i="14" s="1"/>
  <c r="M444" i="14"/>
  <c r="R444" i="14" s="1"/>
  <c r="Q444" i="14"/>
  <c r="V444" i="14" s="1"/>
  <c r="N244" i="14"/>
  <c r="S244" i="14" s="1"/>
  <c r="N294" i="14"/>
  <c r="S294" i="14" s="1"/>
  <c r="O344" i="14"/>
  <c r="T344" i="14" s="1"/>
  <c r="O240" i="14"/>
  <c r="T240" i="14" s="1"/>
  <c r="M290" i="14"/>
  <c r="R290" i="14" s="1"/>
  <c r="Q290" i="14"/>
  <c r="V290" i="14" s="1"/>
  <c r="M340" i="14"/>
  <c r="R340" i="14" s="1"/>
  <c r="Q340" i="14"/>
  <c r="V340" i="14" s="1"/>
  <c r="Q240" i="14"/>
  <c r="V240" i="14" s="1"/>
  <c r="N340" i="14"/>
  <c r="S340" i="14" s="1"/>
  <c r="O390" i="14"/>
  <c r="T390" i="14" s="1"/>
  <c r="P440" i="14"/>
  <c r="U440" i="14" s="1"/>
  <c r="M240" i="14"/>
  <c r="R240" i="14" s="1"/>
  <c r="N290" i="14"/>
  <c r="S290" i="14" s="1"/>
  <c r="O340" i="14"/>
  <c r="T340" i="14" s="1"/>
  <c r="M236" i="14"/>
  <c r="R236" i="14" s="1"/>
  <c r="Q236" i="14"/>
  <c r="V236" i="14" s="1"/>
  <c r="O286" i="14"/>
  <c r="T286" i="14" s="1"/>
  <c r="P336" i="14"/>
  <c r="U336" i="14" s="1"/>
  <c r="W336" i="14" s="1"/>
  <c r="X336" i="14" s="1"/>
  <c r="P236" i="14"/>
  <c r="U236" i="14" s="1"/>
  <c r="Q286" i="14"/>
  <c r="V286" i="14" s="1"/>
  <c r="N336" i="14"/>
  <c r="S336" i="14" s="1"/>
  <c r="N386" i="14"/>
  <c r="S386" i="14" s="1"/>
  <c r="W386" i="14" s="1"/>
  <c r="X386" i="14" s="1"/>
  <c r="N436" i="14"/>
  <c r="S436" i="14" s="1"/>
  <c r="M286" i="14"/>
  <c r="R286" i="14" s="1"/>
  <c r="O336" i="14"/>
  <c r="T336" i="14" s="1"/>
  <c r="O232" i="14"/>
  <c r="T232" i="14" s="1"/>
  <c r="M282" i="14"/>
  <c r="R282" i="14" s="1"/>
  <c r="Q282" i="14"/>
  <c r="V282" i="14" s="1"/>
  <c r="O332" i="14"/>
  <c r="T332" i="14" s="1"/>
  <c r="P232" i="14"/>
  <c r="U232" i="14" s="1"/>
  <c r="P282" i="14"/>
  <c r="U282" i="14" s="1"/>
  <c r="N332" i="14"/>
  <c r="S332" i="14" s="1"/>
  <c r="M382" i="14"/>
  <c r="R382" i="14" s="1"/>
  <c r="Q382" i="14"/>
  <c r="V382" i="14" s="1"/>
  <c r="P432" i="14"/>
  <c r="U432" i="14" s="1"/>
  <c r="Q232" i="14"/>
  <c r="V232" i="14" s="1"/>
  <c r="P332" i="14"/>
  <c r="U332" i="14" s="1"/>
  <c r="O244" i="14"/>
  <c r="T244" i="14" s="1"/>
  <c r="N236" i="14"/>
  <c r="S236" i="14" s="1"/>
  <c r="O278" i="14"/>
  <c r="T278" i="14" s="1"/>
  <c r="W278" i="14" s="1"/>
  <c r="X278" i="14" s="1"/>
  <c r="N328" i="14"/>
  <c r="S328" i="14" s="1"/>
  <c r="M274" i="14"/>
  <c r="R274" i="14" s="1"/>
  <c r="Q274" i="14"/>
  <c r="V274" i="14" s="1"/>
  <c r="M324" i="14"/>
  <c r="R324" i="14" s="1"/>
  <c r="Q324" i="14"/>
  <c r="V324" i="14" s="1"/>
  <c r="O270" i="14"/>
  <c r="T270" i="14" s="1"/>
  <c r="W270" i="14" s="1"/>
  <c r="X270" i="14" s="1"/>
  <c r="P320" i="14"/>
  <c r="U320" i="14" s="1"/>
  <c r="M266" i="14"/>
  <c r="R266" i="14" s="1"/>
  <c r="Q266" i="14"/>
  <c r="V266" i="14" s="1"/>
  <c r="N316" i="14"/>
  <c r="S316" i="14" s="1"/>
  <c r="W316" i="14" s="1"/>
  <c r="X316" i="14" s="1"/>
  <c r="O262" i="14"/>
  <c r="T262" i="14" s="1"/>
  <c r="W262" i="14" s="1"/>
  <c r="X262" i="14" s="1"/>
  <c r="P312" i="14"/>
  <c r="U312" i="14" s="1"/>
  <c r="W312" i="14" s="1"/>
  <c r="X312" i="14" s="1"/>
  <c r="M258" i="14"/>
  <c r="R258" i="14" s="1"/>
  <c r="Q258" i="14"/>
  <c r="V258" i="14" s="1"/>
  <c r="O308" i="14"/>
  <c r="T308" i="14" s="1"/>
  <c r="W308" i="14" s="1"/>
  <c r="X308" i="14" s="1"/>
  <c r="O358" i="14"/>
  <c r="T358" i="14" s="1"/>
  <c r="O254" i="14"/>
  <c r="T254" i="14" s="1"/>
  <c r="M304" i="14"/>
  <c r="R304" i="14" s="1"/>
  <c r="Q304" i="14"/>
  <c r="V304" i="14" s="1"/>
  <c r="N354" i="14"/>
  <c r="S354" i="14" s="1"/>
  <c r="W354" i="14" s="1"/>
  <c r="X354" i="14" s="1"/>
  <c r="N250" i="14"/>
  <c r="S250" i="14" s="1"/>
  <c r="O300" i="14"/>
  <c r="T300" i="14" s="1"/>
  <c r="W300" i="14" s="1"/>
  <c r="X300" i="14" s="1"/>
  <c r="M350" i="14"/>
  <c r="R350" i="14" s="1"/>
  <c r="Q350" i="14"/>
  <c r="V350" i="14" s="1"/>
  <c r="P246" i="14"/>
  <c r="U246" i="14" s="1"/>
  <c r="M296" i="14"/>
  <c r="R296" i="14" s="1"/>
  <c r="Q296" i="14"/>
  <c r="V296" i="14" s="1"/>
  <c r="P346" i="14"/>
  <c r="U346" i="14" s="1"/>
  <c r="W346" i="14" s="1"/>
  <c r="X346" i="14" s="1"/>
  <c r="N242" i="14"/>
  <c r="S242" i="14" s="1"/>
  <c r="P292" i="14"/>
  <c r="U292" i="14" s="1"/>
  <c r="O342" i="14"/>
  <c r="T342" i="14" s="1"/>
  <c r="W342" i="14" s="1"/>
  <c r="X342" i="14" s="1"/>
  <c r="P238" i="14"/>
  <c r="U238" i="14" s="1"/>
  <c r="W238" i="14" s="1"/>
  <c r="X238" i="14" s="1"/>
  <c r="N288" i="14"/>
  <c r="S288" i="14" s="1"/>
  <c r="W288" i="14" s="1"/>
  <c r="X288" i="14" s="1"/>
  <c r="N338" i="14"/>
  <c r="S338" i="14" s="1"/>
  <c r="W338" i="14" s="1"/>
  <c r="X338" i="14" s="1"/>
  <c r="N234" i="14"/>
  <c r="S234" i="14" s="1"/>
  <c r="P284" i="14"/>
  <c r="U284" i="14" s="1"/>
  <c r="W284" i="14" s="1"/>
  <c r="X284" i="14" s="1"/>
  <c r="M334" i="14"/>
  <c r="R334" i="14" s="1"/>
  <c r="Q334" i="14"/>
  <c r="V334" i="14" s="1"/>
  <c r="P230" i="14"/>
  <c r="U230" i="14" s="1"/>
  <c r="N280" i="14"/>
  <c r="S280" i="14" s="1"/>
  <c r="W280" i="14" s="1"/>
  <c r="X280" i="14" s="1"/>
  <c r="M330" i="14"/>
  <c r="R330" i="14" s="1"/>
  <c r="Q330" i="14"/>
  <c r="V330" i="14" s="1"/>
  <c r="V17" i="14"/>
  <c r="K11" i="35"/>
  <c r="P16" i="14"/>
  <c r="Q18" i="14"/>
  <c r="K16" i="31"/>
  <c r="L9" i="13"/>
  <c r="J5" i="31"/>
  <c r="T4" i="14"/>
  <c r="S5" i="14"/>
  <c r="N43" i="14"/>
  <c r="S43" i="14" s="1"/>
  <c r="N225" i="14"/>
  <c r="S225" i="14" s="1"/>
  <c r="M221" i="14"/>
  <c r="R221" i="14" s="1"/>
  <c r="Q205" i="14"/>
  <c r="V205" i="14" s="1"/>
  <c r="P201" i="14"/>
  <c r="U201" i="14" s="1"/>
  <c r="P451" i="14"/>
  <c r="U451" i="14" s="1"/>
  <c r="P417" i="14"/>
  <c r="U417" i="14" s="1"/>
  <c r="P405" i="14"/>
  <c r="U405" i="14" s="1"/>
  <c r="N401" i="14"/>
  <c r="S401" i="14" s="1"/>
  <c r="P397" i="14"/>
  <c r="U397" i="14" s="1"/>
  <c r="N393" i="14"/>
  <c r="S393" i="14" s="1"/>
  <c r="P389" i="14"/>
  <c r="U389" i="14" s="1"/>
  <c r="O275" i="14"/>
  <c r="T275" i="14" s="1"/>
  <c r="P155" i="14"/>
  <c r="U155" i="14" s="1"/>
  <c r="N151" i="14"/>
  <c r="S151" i="14" s="1"/>
  <c r="Q143" i="14"/>
  <c r="V143" i="14" s="1"/>
  <c r="P139" i="14"/>
  <c r="U139" i="14" s="1"/>
  <c r="O125" i="14"/>
  <c r="T125" i="14" s="1"/>
  <c r="O109" i="14"/>
  <c r="T109" i="14" s="1"/>
  <c r="P71" i="14"/>
  <c r="U71" i="14" s="1"/>
  <c r="N59" i="14"/>
  <c r="S59" i="14" s="1"/>
  <c r="P55" i="14"/>
  <c r="U55" i="14" s="1"/>
  <c r="M205" i="14"/>
  <c r="R205" i="14" s="1"/>
  <c r="Q189" i="14"/>
  <c r="V189" i="14" s="1"/>
  <c r="O455" i="14"/>
  <c r="T455" i="14" s="1"/>
  <c r="M479" i="14"/>
  <c r="R479" i="14" s="1"/>
  <c r="Q479" i="14"/>
  <c r="V479" i="14" s="1"/>
  <c r="W479" i="14" s="1"/>
  <c r="N529" i="14"/>
  <c r="S529" i="14" s="1"/>
  <c r="P530" i="14"/>
  <c r="U530" i="14" s="1"/>
  <c r="W530" i="14" s="1"/>
  <c r="X530" i="14" s="1"/>
  <c r="O579" i="14"/>
  <c r="T579" i="14" s="1"/>
  <c r="M29" i="14"/>
  <c r="R29" i="14" s="1"/>
  <c r="Q29" i="14"/>
  <c r="V29" i="14" s="1"/>
  <c r="O79" i="14"/>
  <c r="T79" i="14" s="1"/>
  <c r="W79" i="14" s="1"/>
  <c r="M129" i="14"/>
  <c r="R129" i="14" s="1"/>
  <c r="Q129" i="14"/>
  <c r="V129" i="14" s="1"/>
  <c r="P229" i="14"/>
  <c r="U229" i="14" s="1"/>
  <c r="O279" i="14"/>
  <c r="T279" i="14" s="1"/>
  <c r="N329" i="14"/>
  <c r="S329" i="14" s="1"/>
  <c r="M329" i="14"/>
  <c r="R329" i="14" s="1"/>
  <c r="W329" i="14" s="1"/>
  <c r="X329" i="14" s="1"/>
  <c r="Q379" i="14"/>
  <c r="V379" i="14" s="1"/>
  <c r="P429" i="14"/>
  <c r="U429" i="14" s="1"/>
  <c r="O179" i="14"/>
  <c r="T179" i="14" s="1"/>
  <c r="N275" i="14"/>
  <c r="S275" i="14" s="1"/>
  <c r="O325" i="14"/>
  <c r="T325" i="14" s="1"/>
  <c r="P275" i="14"/>
  <c r="U275" i="14" s="1"/>
  <c r="M325" i="14"/>
  <c r="R325" i="14" s="1"/>
  <c r="Q325" i="14"/>
  <c r="V325" i="14" s="1"/>
  <c r="M375" i="14"/>
  <c r="R375" i="14" s="1"/>
  <c r="Q375" i="14"/>
  <c r="V375" i="14" s="1"/>
  <c r="O425" i="14"/>
  <c r="T425" i="14" s="1"/>
  <c r="O475" i="14"/>
  <c r="T475" i="14" s="1"/>
  <c r="M275" i="14"/>
  <c r="R275" i="14" s="1"/>
  <c r="Q275" i="14"/>
  <c r="V275" i="14" s="1"/>
  <c r="N325" i="14"/>
  <c r="S325" i="14" s="1"/>
  <c r="P325" i="14"/>
  <c r="U325" i="14" s="1"/>
  <c r="P375" i="14"/>
  <c r="U375" i="14" s="1"/>
  <c r="P425" i="14"/>
  <c r="U425" i="14" s="1"/>
  <c r="Q475" i="14"/>
  <c r="V475" i="14" s="1"/>
  <c r="M225" i="14"/>
  <c r="R225" i="14" s="1"/>
  <c r="Q225" i="14"/>
  <c r="V225" i="14" s="1"/>
  <c r="O75" i="14"/>
  <c r="T75" i="14" s="1"/>
  <c r="P125" i="14"/>
  <c r="U125" i="14" s="1"/>
  <c r="N375" i="14"/>
  <c r="S375" i="14" s="1"/>
  <c r="M425" i="14"/>
  <c r="R425" i="14" s="1"/>
  <c r="N475" i="14"/>
  <c r="S475" i="14" s="1"/>
  <c r="O225" i="14"/>
  <c r="T225" i="14" s="1"/>
  <c r="M75" i="14"/>
  <c r="R75" i="14" s="1"/>
  <c r="Q75" i="14"/>
  <c r="V75" i="14" s="1"/>
  <c r="N125" i="14"/>
  <c r="S125" i="14" s="1"/>
  <c r="O175" i="14"/>
  <c r="T175" i="14" s="1"/>
  <c r="W175" i="14" s="1"/>
  <c r="X175" i="14" s="1"/>
  <c r="P525" i="14"/>
  <c r="U525" i="14" s="1"/>
  <c r="W525" i="14" s="1"/>
  <c r="X525" i="14" s="1"/>
  <c r="N625" i="14"/>
  <c r="S625" i="14" s="1"/>
  <c r="W625" i="14" s="1"/>
  <c r="X625" i="14" s="1"/>
  <c r="H75" i="14" s="1"/>
  <c r="T51" i="40" s="1"/>
  <c r="O375" i="14"/>
  <c r="T375" i="14" s="1"/>
  <c r="N425" i="14"/>
  <c r="S425" i="14" s="1"/>
  <c r="P475" i="14"/>
  <c r="U475" i="14" s="1"/>
  <c r="P225" i="14"/>
  <c r="U225" i="14" s="1"/>
  <c r="M271" i="14"/>
  <c r="R271" i="14" s="1"/>
  <c r="Q271" i="14"/>
  <c r="V271" i="14" s="1"/>
  <c r="O321" i="14"/>
  <c r="T321" i="14" s="1"/>
  <c r="O271" i="14"/>
  <c r="T271" i="14" s="1"/>
  <c r="M321" i="14"/>
  <c r="R321" i="14" s="1"/>
  <c r="Q321" i="14"/>
  <c r="V321" i="14" s="1"/>
  <c r="M371" i="14"/>
  <c r="R371" i="14" s="1"/>
  <c r="Q371" i="14"/>
  <c r="V371" i="14" s="1"/>
  <c r="N421" i="14"/>
  <c r="S421" i="14" s="1"/>
  <c r="N471" i="14"/>
  <c r="S471" i="14" s="1"/>
  <c r="P271" i="14"/>
  <c r="U271" i="14" s="1"/>
  <c r="N321" i="14"/>
  <c r="S321" i="14" s="1"/>
  <c r="P321" i="14"/>
  <c r="U321" i="14" s="1"/>
  <c r="N371" i="14"/>
  <c r="S371" i="14" s="1"/>
  <c r="M421" i="14"/>
  <c r="R421" i="14" s="1"/>
  <c r="O471" i="14"/>
  <c r="T471" i="14" s="1"/>
  <c r="P221" i="14"/>
  <c r="U221" i="14" s="1"/>
  <c r="O71" i="14"/>
  <c r="T71" i="14" s="1"/>
  <c r="P121" i="14"/>
  <c r="U121" i="14" s="1"/>
  <c r="N271" i="14"/>
  <c r="S271" i="14" s="1"/>
  <c r="P371" i="14"/>
  <c r="U371" i="14" s="1"/>
  <c r="P421" i="14"/>
  <c r="U421" i="14" s="1"/>
  <c r="Q471" i="14"/>
  <c r="V471" i="14" s="1"/>
  <c r="N221" i="14"/>
  <c r="S221" i="14" s="1"/>
  <c r="M71" i="14"/>
  <c r="R71" i="14" s="1"/>
  <c r="Q71" i="14"/>
  <c r="V71" i="14" s="1"/>
  <c r="N121" i="14"/>
  <c r="S121" i="14" s="1"/>
  <c r="W121" i="14" s="1"/>
  <c r="X121" i="14" s="1"/>
  <c r="O171" i="14"/>
  <c r="T171" i="14" s="1"/>
  <c r="W171" i="14" s="1"/>
  <c r="X171" i="14" s="1"/>
  <c r="M521" i="14"/>
  <c r="R521" i="14" s="1"/>
  <c r="Q521" i="14"/>
  <c r="V521" i="14" s="1"/>
  <c r="M571" i="14"/>
  <c r="R571" i="14" s="1"/>
  <c r="Q571" i="14"/>
  <c r="V571" i="14" s="1"/>
  <c r="P572" i="14"/>
  <c r="U572" i="14" s="1"/>
  <c r="W572" i="14" s="1"/>
  <c r="X572" i="14" s="1"/>
  <c r="N621" i="14"/>
  <c r="S621" i="14" s="1"/>
  <c r="W621" i="14" s="1"/>
  <c r="X621" i="14" s="1"/>
  <c r="H71" i="14" s="1"/>
  <c r="T47" i="40" s="1"/>
  <c r="Q421" i="14"/>
  <c r="V421" i="14" s="1"/>
  <c r="M471" i="14"/>
  <c r="R471" i="14" s="1"/>
  <c r="O221" i="14"/>
  <c r="T221" i="14" s="1"/>
  <c r="P267" i="14"/>
  <c r="U267" i="14" s="1"/>
  <c r="O317" i="14"/>
  <c r="T317" i="14" s="1"/>
  <c r="N267" i="14"/>
  <c r="S267" i="14" s="1"/>
  <c r="M317" i="14"/>
  <c r="R317" i="14" s="1"/>
  <c r="Q317" i="14"/>
  <c r="V317" i="14" s="1"/>
  <c r="M367" i="14"/>
  <c r="R367" i="14" s="1"/>
  <c r="Q367" i="14"/>
  <c r="V367" i="14" s="1"/>
  <c r="M417" i="14"/>
  <c r="R417" i="14" s="1"/>
  <c r="Q417" i="14"/>
  <c r="V417" i="14" s="1"/>
  <c r="M467" i="14"/>
  <c r="R467" i="14" s="1"/>
  <c r="Q467" i="14"/>
  <c r="V467" i="14" s="1"/>
  <c r="O267" i="14"/>
  <c r="T267" i="14" s="1"/>
  <c r="N317" i="14"/>
  <c r="S317" i="14" s="1"/>
  <c r="P317" i="14"/>
  <c r="U317" i="14" s="1"/>
  <c r="P367" i="14"/>
  <c r="U367" i="14" s="1"/>
  <c r="O417" i="14"/>
  <c r="T417" i="14" s="1"/>
  <c r="P467" i="14"/>
  <c r="U467" i="14" s="1"/>
  <c r="O217" i="14"/>
  <c r="T217" i="14" s="1"/>
  <c r="O67" i="14"/>
  <c r="T67" i="14" s="1"/>
  <c r="P117" i="14"/>
  <c r="U117" i="14" s="1"/>
  <c r="M267" i="14"/>
  <c r="R267" i="14" s="1"/>
  <c r="N367" i="14"/>
  <c r="S367" i="14" s="1"/>
  <c r="N467" i="14"/>
  <c r="S467" i="14" s="1"/>
  <c r="M217" i="14"/>
  <c r="R217" i="14" s="1"/>
  <c r="Q217" i="14"/>
  <c r="V217" i="14" s="1"/>
  <c r="M67" i="14"/>
  <c r="R67" i="14" s="1"/>
  <c r="Q67" i="14"/>
  <c r="V67" i="14" s="1"/>
  <c r="N117" i="14"/>
  <c r="S117" i="14" s="1"/>
  <c r="W117" i="14" s="1"/>
  <c r="X117" i="14" s="1"/>
  <c r="O167" i="14"/>
  <c r="T167" i="14" s="1"/>
  <c r="W167" i="14" s="1"/>
  <c r="X167" i="14" s="1"/>
  <c r="M517" i="14"/>
  <c r="R517" i="14" s="1"/>
  <c r="Q517" i="14"/>
  <c r="V517" i="14" s="1"/>
  <c r="N567" i="14"/>
  <c r="S567" i="14" s="1"/>
  <c r="W567" i="14" s="1"/>
  <c r="X567" i="14" s="1"/>
  <c r="O617" i="14"/>
  <c r="T617" i="14" s="1"/>
  <c r="Q267" i="14"/>
  <c r="V267" i="14" s="1"/>
  <c r="O367" i="14"/>
  <c r="T367" i="14" s="1"/>
  <c r="N417" i="14"/>
  <c r="S417" i="14" s="1"/>
  <c r="O467" i="14"/>
  <c r="T467" i="14" s="1"/>
  <c r="N217" i="14"/>
  <c r="S217" i="14" s="1"/>
  <c r="O263" i="14"/>
  <c r="T263" i="14" s="1"/>
  <c r="O313" i="14"/>
  <c r="T313" i="14" s="1"/>
  <c r="M263" i="14"/>
  <c r="R263" i="14" s="1"/>
  <c r="Q263" i="14"/>
  <c r="V263" i="14" s="1"/>
  <c r="M313" i="14"/>
  <c r="R313" i="14" s="1"/>
  <c r="Q313" i="14"/>
  <c r="V313" i="14" s="1"/>
  <c r="M363" i="14"/>
  <c r="R363" i="14" s="1"/>
  <c r="Q363" i="14"/>
  <c r="V363" i="14" s="1"/>
  <c r="O413" i="14"/>
  <c r="T413" i="14" s="1"/>
  <c r="P463" i="14"/>
  <c r="U463" i="14" s="1"/>
  <c r="N263" i="14"/>
  <c r="S263" i="14" s="1"/>
  <c r="N313" i="14"/>
  <c r="S313" i="14" s="1"/>
  <c r="P313" i="14"/>
  <c r="U313" i="14" s="1"/>
  <c r="N363" i="14"/>
  <c r="S363" i="14" s="1"/>
  <c r="P413" i="14"/>
  <c r="U413" i="14" s="1"/>
  <c r="M463" i="14"/>
  <c r="R463" i="14" s="1"/>
  <c r="N213" i="14"/>
  <c r="S213" i="14" s="1"/>
  <c r="O63" i="14"/>
  <c r="T63" i="14" s="1"/>
  <c r="P113" i="14"/>
  <c r="U113" i="14" s="1"/>
  <c r="P363" i="14"/>
  <c r="U363" i="14" s="1"/>
  <c r="M413" i="14"/>
  <c r="R413" i="14" s="1"/>
  <c r="O463" i="14"/>
  <c r="T463" i="14" s="1"/>
  <c r="P213" i="14"/>
  <c r="U213" i="14" s="1"/>
  <c r="M63" i="14"/>
  <c r="R63" i="14" s="1"/>
  <c r="Q63" i="14"/>
  <c r="V63" i="14" s="1"/>
  <c r="N113" i="14"/>
  <c r="S113" i="14" s="1"/>
  <c r="O163" i="14"/>
  <c r="T163" i="14" s="1"/>
  <c r="W163" i="14" s="1"/>
  <c r="X163" i="14" s="1"/>
  <c r="M513" i="14"/>
  <c r="R513" i="14" s="1"/>
  <c r="W513" i="14" s="1"/>
  <c r="X513" i="14" s="1"/>
  <c r="Q513" i="14"/>
  <c r="V513" i="14" s="1"/>
  <c r="O563" i="14"/>
  <c r="T563" i="14" s="1"/>
  <c r="W563" i="14" s="1"/>
  <c r="X563" i="14" s="1"/>
  <c r="O613" i="14"/>
  <c r="T613" i="14" s="1"/>
  <c r="P263" i="14"/>
  <c r="U263" i="14" s="1"/>
  <c r="N413" i="14"/>
  <c r="S413" i="14" s="1"/>
  <c r="Q463" i="14"/>
  <c r="V463" i="14" s="1"/>
  <c r="M213" i="14"/>
  <c r="R213" i="14" s="1"/>
  <c r="Q213" i="14"/>
  <c r="V213" i="14" s="1"/>
  <c r="N259" i="14"/>
  <c r="S259" i="14" s="1"/>
  <c r="O309" i="14"/>
  <c r="T309" i="14" s="1"/>
  <c r="P259" i="14"/>
  <c r="U259" i="14" s="1"/>
  <c r="M309" i="14"/>
  <c r="R309" i="14" s="1"/>
  <c r="Q309" i="14"/>
  <c r="V309" i="14" s="1"/>
  <c r="M359" i="14"/>
  <c r="R359" i="14" s="1"/>
  <c r="Q359" i="14"/>
  <c r="V359" i="14" s="1"/>
  <c r="P409" i="14"/>
  <c r="U409" i="14" s="1"/>
  <c r="O459" i="14"/>
  <c r="T459" i="14" s="1"/>
  <c r="M259" i="14"/>
  <c r="R259" i="14" s="1"/>
  <c r="Q259" i="14"/>
  <c r="V259" i="14" s="1"/>
  <c r="N309" i="14"/>
  <c r="S309" i="14" s="1"/>
  <c r="O259" i="14"/>
  <c r="T259" i="14" s="1"/>
  <c r="P309" i="14"/>
  <c r="U309" i="14" s="1"/>
  <c r="P359" i="14"/>
  <c r="U359" i="14" s="1"/>
  <c r="O409" i="14"/>
  <c r="T409" i="14" s="1"/>
  <c r="P459" i="14"/>
  <c r="U459" i="14" s="1"/>
  <c r="M209" i="14"/>
  <c r="R209" i="14" s="1"/>
  <c r="Q209" i="14"/>
  <c r="V209" i="14" s="1"/>
  <c r="O59" i="14"/>
  <c r="T59" i="14" s="1"/>
  <c r="P109" i="14"/>
  <c r="U109" i="14" s="1"/>
  <c r="N359" i="14"/>
  <c r="S359" i="14" s="1"/>
  <c r="M409" i="14"/>
  <c r="R409" i="14" s="1"/>
  <c r="M459" i="14"/>
  <c r="R459" i="14" s="1"/>
  <c r="O209" i="14"/>
  <c r="T209" i="14" s="1"/>
  <c r="M59" i="14"/>
  <c r="R59" i="14" s="1"/>
  <c r="Q59" i="14"/>
  <c r="V59" i="14" s="1"/>
  <c r="N109" i="14"/>
  <c r="S109" i="14" s="1"/>
  <c r="O159" i="14"/>
  <c r="T159" i="14" s="1"/>
  <c r="W159" i="14" s="1"/>
  <c r="X159" i="14" s="1"/>
  <c r="N509" i="14"/>
  <c r="S509" i="14" s="1"/>
  <c r="W509" i="14" s="1"/>
  <c r="X509" i="14" s="1"/>
  <c r="O559" i="14"/>
  <c r="T559" i="14" s="1"/>
  <c r="W559" i="14" s="1"/>
  <c r="X559" i="14" s="1"/>
  <c r="P609" i="14"/>
  <c r="U609" i="14" s="1"/>
  <c r="W609" i="14" s="1"/>
  <c r="X609" i="14" s="1"/>
  <c r="H59" i="14" s="1"/>
  <c r="T35" i="40" s="1"/>
  <c r="O359" i="14"/>
  <c r="T359" i="14" s="1"/>
  <c r="N409" i="14"/>
  <c r="S409" i="14" s="1"/>
  <c r="N459" i="14"/>
  <c r="S459" i="14" s="1"/>
  <c r="P209" i="14"/>
  <c r="U209" i="14" s="1"/>
  <c r="M255" i="14"/>
  <c r="R255" i="14" s="1"/>
  <c r="Q255" i="14"/>
  <c r="V255" i="14" s="1"/>
  <c r="O305" i="14"/>
  <c r="T305" i="14" s="1"/>
  <c r="O255" i="14"/>
  <c r="T255" i="14" s="1"/>
  <c r="M305" i="14"/>
  <c r="R305" i="14" s="1"/>
  <c r="Q305" i="14"/>
  <c r="V305" i="14" s="1"/>
  <c r="M355" i="14"/>
  <c r="R355" i="14" s="1"/>
  <c r="Q355" i="14"/>
  <c r="V355" i="14" s="1"/>
  <c r="M405" i="14"/>
  <c r="R405" i="14" s="1"/>
  <c r="Q405" i="14"/>
  <c r="V405" i="14" s="1"/>
  <c r="N455" i="14"/>
  <c r="S455" i="14" s="1"/>
  <c r="P255" i="14"/>
  <c r="U255" i="14" s="1"/>
  <c r="N305" i="14"/>
  <c r="S305" i="14" s="1"/>
  <c r="P305" i="14"/>
  <c r="U305" i="14" s="1"/>
  <c r="N355" i="14"/>
  <c r="S355" i="14" s="1"/>
  <c r="O405" i="14"/>
  <c r="T405" i="14" s="1"/>
  <c r="M455" i="14"/>
  <c r="R455" i="14" s="1"/>
  <c r="P205" i="14"/>
  <c r="U205" i="14" s="1"/>
  <c r="O55" i="14"/>
  <c r="T55" i="14" s="1"/>
  <c r="P105" i="14"/>
  <c r="U105" i="14" s="1"/>
  <c r="P355" i="14"/>
  <c r="U355" i="14" s="1"/>
  <c r="P455" i="14"/>
  <c r="U455" i="14" s="1"/>
  <c r="N205" i="14"/>
  <c r="S205" i="14" s="1"/>
  <c r="M55" i="14"/>
  <c r="R55" i="14" s="1"/>
  <c r="Q55" i="14"/>
  <c r="V55" i="14" s="1"/>
  <c r="N105" i="14"/>
  <c r="S105" i="14" s="1"/>
  <c r="O155" i="14"/>
  <c r="T155" i="14" s="1"/>
  <c r="W155" i="14" s="1"/>
  <c r="X155" i="14" s="1"/>
  <c r="O505" i="14"/>
  <c r="T505" i="14" s="1"/>
  <c r="W505" i="14" s="1"/>
  <c r="X505" i="14" s="1"/>
  <c r="O555" i="14"/>
  <c r="T555" i="14" s="1"/>
  <c r="M605" i="14"/>
  <c r="R605" i="14" s="1"/>
  <c r="Q605" i="14"/>
  <c r="V605" i="14" s="1"/>
  <c r="N405" i="14"/>
  <c r="S405" i="14" s="1"/>
  <c r="Q455" i="14"/>
  <c r="V455" i="14" s="1"/>
  <c r="O205" i="14"/>
  <c r="T205" i="14" s="1"/>
  <c r="P251" i="14"/>
  <c r="U251" i="14" s="1"/>
  <c r="O301" i="14"/>
  <c r="T301" i="14" s="1"/>
  <c r="O351" i="14"/>
  <c r="T351" i="14" s="1"/>
  <c r="N251" i="14"/>
  <c r="S251" i="14" s="1"/>
  <c r="M301" i="14"/>
  <c r="R301" i="14" s="1"/>
  <c r="Q301" i="14"/>
  <c r="V301" i="14" s="1"/>
  <c r="M351" i="14"/>
  <c r="R351" i="14" s="1"/>
  <c r="Q351" i="14"/>
  <c r="V351" i="14" s="1"/>
  <c r="M401" i="14"/>
  <c r="R401" i="14" s="1"/>
  <c r="Q401" i="14"/>
  <c r="V401" i="14" s="1"/>
  <c r="M451" i="14"/>
  <c r="R451" i="14" s="1"/>
  <c r="Q451" i="14"/>
  <c r="V451" i="14" s="1"/>
  <c r="O251" i="14"/>
  <c r="T251" i="14" s="1"/>
  <c r="N301" i="14"/>
  <c r="S301" i="14" s="1"/>
  <c r="P301" i="14"/>
  <c r="U301" i="14" s="1"/>
  <c r="P351" i="14"/>
  <c r="U351" i="14" s="1"/>
  <c r="O451" i="14"/>
  <c r="T451" i="14" s="1"/>
  <c r="O201" i="14"/>
  <c r="T201" i="14" s="1"/>
  <c r="O51" i="14"/>
  <c r="T51" i="14" s="1"/>
  <c r="P101" i="14"/>
  <c r="U101" i="14" s="1"/>
  <c r="Q251" i="14"/>
  <c r="V251" i="14" s="1"/>
  <c r="O401" i="14"/>
  <c r="T401" i="14" s="1"/>
  <c r="M201" i="14"/>
  <c r="R201" i="14" s="1"/>
  <c r="Q201" i="14"/>
  <c r="V201" i="14" s="1"/>
  <c r="M51" i="14"/>
  <c r="R51" i="14" s="1"/>
  <c r="Q51" i="14"/>
  <c r="V51" i="14" s="1"/>
  <c r="N101" i="14"/>
  <c r="S101" i="14" s="1"/>
  <c r="O151" i="14"/>
  <c r="T151" i="14" s="1"/>
  <c r="O501" i="14"/>
  <c r="T501" i="14" s="1"/>
  <c r="M601" i="14"/>
  <c r="R601" i="14" s="1"/>
  <c r="Q601" i="14"/>
  <c r="V601" i="14" s="1"/>
  <c r="N51" i="14"/>
  <c r="S51" i="14" s="1"/>
  <c r="N351" i="14"/>
  <c r="S351" i="14" s="1"/>
  <c r="P401" i="14"/>
  <c r="U401" i="14" s="1"/>
  <c r="N451" i="14"/>
  <c r="S451" i="14" s="1"/>
  <c r="N201" i="14"/>
  <c r="S201" i="14" s="1"/>
  <c r="O247" i="14"/>
  <c r="T247" i="14" s="1"/>
  <c r="O297" i="14"/>
  <c r="T297" i="14" s="1"/>
  <c r="O347" i="14"/>
  <c r="T347" i="14" s="1"/>
  <c r="M247" i="14"/>
  <c r="R247" i="14" s="1"/>
  <c r="Q247" i="14"/>
  <c r="V247" i="14" s="1"/>
  <c r="M297" i="14"/>
  <c r="R297" i="14" s="1"/>
  <c r="Q297" i="14"/>
  <c r="V297" i="14" s="1"/>
  <c r="M347" i="14"/>
  <c r="R347" i="14" s="1"/>
  <c r="Q347" i="14"/>
  <c r="V347" i="14" s="1"/>
  <c r="M397" i="14"/>
  <c r="R397" i="14" s="1"/>
  <c r="Q397" i="14"/>
  <c r="V397" i="14" s="1"/>
  <c r="P447" i="14"/>
  <c r="U447" i="14" s="1"/>
  <c r="N247" i="14"/>
  <c r="S247" i="14" s="1"/>
  <c r="N297" i="14"/>
  <c r="S297" i="14" s="1"/>
  <c r="P297" i="14"/>
  <c r="U297" i="14" s="1"/>
  <c r="O397" i="14"/>
  <c r="T397" i="14" s="1"/>
  <c r="Q447" i="14"/>
  <c r="V447" i="14" s="1"/>
  <c r="N197" i="14"/>
  <c r="S197" i="14" s="1"/>
  <c r="O47" i="14"/>
  <c r="T47" i="14" s="1"/>
  <c r="P97" i="14"/>
  <c r="U97" i="14" s="1"/>
  <c r="P247" i="14"/>
  <c r="U247" i="14" s="1"/>
  <c r="N347" i="14"/>
  <c r="S347" i="14" s="1"/>
  <c r="N447" i="14"/>
  <c r="S447" i="14" s="1"/>
  <c r="P197" i="14"/>
  <c r="U197" i="14" s="1"/>
  <c r="M47" i="14"/>
  <c r="R47" i="14" s="1"/>
  <c r="Q47" i="14"/>
  <c r="V47" i="14" s="1"/>
  <c r="N97" i="14"/>
  <c r="S97" i="14" s="1"/>
  <c r="O147" i="14"/>
  <c r="T147" i="14" s="1"/>
  <c r="W147" i="14" s="1"/>
  <c r="X147" i="14" s="1"/>
  <c r="O497" i="14"/>
  <c r="T497" i="14" s="1"/>
  <c r="M547" i="14"/>
  <c r="R547" i="14" s="1"/>
  <c r="Q547" i="14"/>
  <c r="V547" i="14" s="1"/>
  <c r="P548" i="14"/>
  <c r="U548" i="14" s="1"/>
  <c r="W548" i="14" s="1"/>
  <c r="X548" i="14" s="1"/>
  <c r="M597" i="14"/>
  <c r="R597" i="14" s="1"/>
  <c r="Q597" i="14"/>
  <c r="V597" i="14" s="1"/>
  <c r="W597" i="14" s="1"/>
  <c r="X597" i="14" s="1"/>
  <c r="H47" i="14" s="1"/>
  <c r="T23" i="40" s="1"/>
  <c r="N47" i="14"/>
  <c r="S47" i="14" s="1"/>
  <c r="P347" i="14"/>
  <c r="U347" i="14" s="1"/>
  <c r="N397" i="14"/>
  <c r="S397" i="14" s="1"/>
  <c r="O447" i="14"/>
  <c r="T447" i="14" s="1"/>
  <c r="M197" i="14"/>
  <c r="R197" i="14" s="1"/>
  <c r="Q197" i="14"/>
  <c r="V197" i="14" s="1"/>
  <c r="N243" i="14"/>
  <c r="S243" i="14" s="1"/>
  <c r="O293" i="14"/>
  <c r="T293" i="14" s="1"/>
  <c r="O343" i="14"/>
  <c r="T343" i="14" s="1"/>
  <c r="P243" i="14"/>
  <c r="U243" i="14" s="1"/>
  <c r="M293" i="14"/>
  <c r="R293" i="14" s="1"/>
  <c r="Q293" i="14"/>
  <c r="V293" i="14" s="1"/>
  <c r="M343" i="14"/>
  <c r="R343" i="14" s="1"/>
  <c r="Q343" i="14"/>
  <c r="V343" i="14" s="1"/>
  <c r="M393" i="14"/>
  <c r="R393" i="14" s="1"/>
  <c r="Q393" i="14"/>
  <c r="V393" i="14" s="1"/>
  <c r="O443" i="14"/>
  <c r="T443" i="14" s="1"/>
  <c r="M243" i="14"/>
  <c r="R243" i="14" s="1"/>
  <c r="Q243" i="14"/>
  <c r="V243" i="14" s="1"/>
  <c r="N293" i="14"/>
  <c r="S293" i="14" s="1"/>
  <c r="P293" i="14"/>
  <c r="U293" i="14" s="1"/>
  <c r="N443" i="14"/>
  <c r="S443" i="14" s="1"/>
  <c r="M193" i="14"/>
  <c r="R193" i="14" s="1"/>
  <c r="Q193" i="14"/>
  <c r="V193" i="14" s="1"/>
  <c r="M43" i="14"/>
  <c r="R43" i="14" s="1"/>
  <c r="Q43" i="14"/>
  <c r="V43" i="14" s="1"/>
  <c r="P93" i="14"/>
  <c r="U93" i="14" s="1"/>
  <c r="P343" i="14"/>
  <c r="U343" i="14" s="1"/>
  <c r="O393" i="14"/>
  <c r="T393" i="14" s="1"/>
  <c r="Q443" i="14"/>
  <c r="V443" i="14" s="1"/>
  <c r="O193" i="14"/>
  <c r="T193" i="14" s="1"/>
  <c r="O43" i="14"/>
  <c r="T43" i="14" s="1"/>
  <c r="N93" i="14"/>
  <c r="S93" i="14" s="1"/>
  <c r="O143" i="14"/>
  <c r="T143" i="14" s="1"/>
  <c r="W143" i="14" s="1"/>
  <c r="X143" i="14" s="1"/>
  <c r="O493" i="14"/>
  <c r="T493" i="14" s="1"/>
  <c r="M543" i="14"/>
  <c r="R543" i="14" s="1"/>
  <c r="Q543" i="14"/>
  <c r="V543" i="14" s="1"/>
  <c r="P544" i="14"/>
  <c r="U544" i="14" s="1"/>
  <c r="W544" i="14" s="1"/>
  <c r="X544" i="14" s="1"/>
  <c r="N593" i="14"/>
  <c r="S593" i="14" s="1"/>
  <c r="W593" i="14" s="1"/>
  <c r="X593" i="14" s="1"/>
  <c r="H43" i="14" s="1"/>
  <c r="T19" i="40" s="1"/>
  <c r="O243" i="14"/>
  <c r="T243" i="14" s="1"/>
  <c r="P393" i="14"/>
  <c r="U393" i="14" s="1"/>
  <c r="M443" i="14"/>
  <c r="R443" i="14" s="1"/>
  <c r="W443" i="14" s="1"/>
  <c r="X443" i="14" s="1"/>
  <c r="P193" i="14"/>
  <c r="U193" i="14" s="1"/>
  <c r="P43" i="14"/>
  <c r="U43" i="14" s="1"/>
  <c r="M239" i="14"/>
  <c r="R239" i="14" s="1"/>
  <c r="Q239" i="14"/>
  <c r="V239" i="14" s="1"/>
  <c r="O289" i="14"/>
  <c r="T289" i="14" s="1"/>
  <c r="O339" i="14"/>
  <c r="T339" i="14" s="1"/>
  <c r="O239" i="14"/>
  <c r="T239" i="14" s="1"/>
  <c r="M289" i="14"/>
  <c r="R289" i="14" s="1"/>
  <c r="Q289" i="14"/>
  <c r="V289" i="14" s="1"/>
  <c r="M339" i="14"/>
  <c r="R339" i="14" s="1"/>
  <c r="Q339" i="14"/>
  <c r="V339" i="14" s="1"/>
  <c r="M389" i="14"/>
  <c r="R389" i="14" s="1"/>
  <c r="Q389" i="14"/>
  <c r="V389" i="14" s="1"/>
  <c r="N439" i="14"/>
  <c r="S439" i="14" s="1"/>
  <c r="P239" i="14"/>
  <c r="U239" i="14" s="1"/>
  <c r="N289" i="14"/>
  <c r="S289" i="14" s="1"/>
  <c r="N239" i="14"/>
  <c r="S239" i="14" s="1"/>
  <c r="P289" i="14"/>
  <c r="U289" i="14" s="1"/>
  <c r="N339" i="14"/>
  <c r="S339" i="14" s="1"/>
  <c r="O389" i="14"/>
  <c r="T389" i="14" s="1"/>
  <c r="Q439" i="14"/>
  <c r="V439" i="14" s="1"/>
  <c r="P189" i="14"/>
  <c r="U189" i="14" s="1"/>
  <c r="O39" i="14"/>
  <c r="T39" i="14" s="1"/>
  <c r="P89" i="14"/>
  <c r="U89" i="14" s="1"/>
  <c r="O439" i="14"/>
  <c r="T439" i="14" s="1"/>
  <c r="N189" i="14"/>
  <c r="S189" i="14" s="1"/>
  <c r="M39" i="14"/>
  <c r="R39" i="14" s="1"/>
  <c r="Q39" i="14"/>
  <c r="V39" i="14" s="1"/>
  <c r="N89" i="14"/>
  <c r="S89" i="14" s="1"/>
  <c r="O139" i="14"/>
  <c r="T139" i="14" s="1"/>
  <c r="P489" i="14"/>
  <c r="U489" i="14" s="1"/>
  <c r="N539" i="14"/>
  <c r="S539" i="14" s="1"/>
  <c r="W539" i="14" s="1"/>
  <c r="X539" i="14" s="1"/>
  <c r="O589" i="14"/>
  <c r="T589" i="14" s="1"/>
  <c r="N389" i="14"/>
  <c r="S389" i="14" s="1"/>
  <c r="P439" i="14"/>
  <c r="U439" i="14" s="1"/>
  <c r="O189" i="14"/>
  <c r="T189" i="14" s="1"/>
  <c r="N39" i="14"/>
  <c r="S39" i="14" s="1"/>
  <c r="O485" i="14"/>
  <c r="T485" i="14" s="1"/>
  <c r="W485" i="14" s="1"/>
  <c r="X485" i="14" s="1"/>
  <c r="Q535" i="14"/>
  <c r="V535" i="14" s="1"/>
  <c r="N585" i="14"/>
  <c r="S585" i="14" s="1"/>
  <c r="W585" i="14" s="1"/>
  <c r="X585" i="14" s="1"/>
  <c r="P35" i="14"/>
  <c r="U35" i="14" s="1"/>
  <c r="W35" i="14" s="1"/>
  <c r="N85" i="14"/>
  <c r="S85" i="14" s="1"/>
  <c r="W85" i="14" s="1"/>
  <c r="X85" i="14" s="1"/>
  <c r="P135" i="14"/>
  <c r="U135" i="14" s="1"/>
  <c r="M185" i="14"/>
  <c r="R185" i="14" s="1"/>
  <c r="Q185" i="14"/>
  <c r="V185" i="14" s="1"/>
  <c r="P235" i="14"/>
  <c r="U235" i="14" s="1"/>
  <c r="W235" i="14" s="1"/>
  <c r="X235" i="14" s="1"/>
  <c r="O285" i="14"/>
  <c r="T285" i="14" s="1"/>
  <c r="W285" i="14" s="1"/>
  <c r="X285" i="14" s="1"/>
  <c r="N335" i="14"/>
  <c r="S335" i="14" s="1"/>
  <c r="W335" i="14" s="1"/>
  <c r="X335" i="14" s="1"/>
  <c r="M385" i="14"/>
  <c r="R385" i="14" s="1"/>
  <c r="Q385" i="14"/>
  <c r="V385" i="14" s="1"/>
  <c r="P435" i="14"/>
  <c r="U435" i="14" s="1"/>
  <c r="W435" i="14" s="1"/>
  <c r="X435" i="14" s="1"/>
  <c r="N231" i="14"/>
  <c r="S231" i="14" s="1"/>
  <c r="N281" i="14"/>
  <c r="S281" i="14" s="1"/>
  <c r="N331" i="14"/>
  <c r="S331" i="14" s="1"/>
  <c r="P231" i="14"/>
  <c r="U231" i="14" s="1"/>
  <c r="P281" i="14"/>
  <c r="U281" i="14" s="1"/>
  <c r="P331" i="14"/>
  <c r="U331" i="14" s="1"/>
  <c r="P381" i="14"/>
  <c r="U381" i="14" s="1"/>
  <c r="O431" i="14"/>
  <c r="T431" i="14" s="1"/>
  <c r="M231" i="14"/>
  <c r="R231" i="14" s="1"/>
  <c r="Q231" i="14"/>
  <c r="V231" i="14" s="1"/>
  <c r="M281" i="14"/>
  <c r="R281" i="14" s="1"/>
  <c r="Q281" i="14"/>
  <c r="V281" i="14" s="1"/>
  <c r="M331" i="14"/>
  <c r="R331" i="14" s="1"/>
  <c r="Q331" i="14"/>
  <c r="V331" i="14" s="1"/>
  <c r="Q381" i="14"/>
  <c r="V381" i="14" s="1"/>
  <c r="Q431" i="14"/>
  <c r="V431" i="14" s="1"/>
  <c r="M181" i="14"/>
  <c r="R181" i="14" s="1"/>
  <c r="Q181" i="14"/>
  <c r="V181" i="14" s="1"/>
  <c r="O31" i="14"/>
  <c r="T31" i="14" s="1"/>
  <c r="O81" i="14"/>
  <c r="T81" i="14" s="1"/>
  <c r="P131" i="14"/>
  <c r="U131" i="14" s="1"/>
  <c r="N381" i="14"/>
  <c r="S381" i="14" s="1"/>
  <c r="N431" i="14"/>
  <c r="S431" i="14" s="1"/>
  <c r="O181" i="14"/>
  <c r="T181" i="14" s="1"/>
  <c r="M31" i="14"/>
  <c r="R31" i="14" s="1"/>
  <c r="Q31" i="14"/>
  <c r="V31" i="14" s="1"/>
  <c r="M81" i="14"/>
  <c r="R81" i="14" s="1"/>
  <c r="Q81" i="14"/>
  <c r="V81" i="14" s="1"/>
  <c r="N131" i="14"/>
  <c r="S131" i="14" s="1"/>
  <c r="O481" i="14"/>
  <c r="T481" i="14" s="1"/>
  <c r="W481" i="14" s="1"/>
  <c r="N531" i="14"/>
  <c r="S531" i="14" s="1"/>
  <c r="W531" i="14" s="1"/>
  <c r="X531" i="14" s="1"/>
  <c r="M581" i="14"/>
  <c r="R581" i="14" s="1"/>
  <c r="Q581" i="14"/>
  <c r="V581" i="14" s="1"/>
  <c r="O231" i="14"/>
  <c r="T231" i="14" s="1"/>
  <c r="O381" i="14"/>
  <c r="T381" i="14" s="1"/>
  <c r="P431" i="14"/>
  <c r="U431" i="14" s="1"/>
  <c r="P181" i="14"/>
  <c r="U181" i="14" s="1"/>
  <c r="N31" i="14"/>
  <c r="S31" i="14" s="1"/>
  <c r="Q221" i="14"/>
  <c r="V221" i="14" s="1"/>
  <c r="P217" i="14"/>
  <c r="U217" i="14" s="1"/>
  <c r="O197" i="14"/>
  <c r="T197" i="14" s="1"/>
  <c r="N181" i="14"/>
  <c r="S181" i="14" s="1"/>
  <c r="M475" i="14"/>
  <c r="R475" i="14" s="1"/>
  <c r="W475" i="14" s="1"/>
  <c r="X475" i="14" s="1"/>
  <c r="N463" i="14"/>
  <c r="S463" i="14" s="1"/>
  <c r="M447" i="14"/>
  <c r="R447" i="14" s="1"/>
  <c r="Q409" i="14"/>
  <c r="V409" i="14" s="1"/>
  <c r="M381" i="14"/>
  <c r="R381" i="14" s="1"/>
  <c r="W381" i="14" s="1"/>
  <c r="X381" i="14" s="1"/>
  <c r="O371" i="14"/>
  <c r="T371" i="14" s="1"/>
  <c r="N343" i="14"/>
  <c r="S343" i="14" s="1"/>
  <c r="P339" i="14"/>
  <c r="U339" i="14" s="1"/>
  <c r="N255" i="14"/>
  <c r="S255" i="14" s="1"/>
  <c r="M277" i="14"/>
  <c r="R277" i="14" s="1"/>
  <c r="Q277" i="14"/>
  <c r="V277" i="14" s="1"/>
  <c r="M327" i="14"/>
  <c r="R327" i="14" s="1"/>
  <c r="Q327" i="14"/>
  <c r="V327" i="14" s="1"/>
  <c r="M377" i="14"/>
  <c r="R377" i="14" s="1"/>
  <c r="Q377" i="14"/>
  <c r="V377" i="14" s="1"/>
  <c r="N277" i="14"/>
  <c r="S277" i="14" s="1"/>
  <c r="N327" i="14"/>
  <c r="S327" i="14" s="1"/>
  <c r="N377" i="14"/>
  <c r="S377" i="14" s="1"/>
  <c r="O277" i="14"/>
  <c r="T277" i="14" s="1"/>
  <c r="O327" i="14"/>
  <c r="T327" i="14" s="1"/>
  <c r="O377" i="14"/>
  <c r="T377" i="14" s="1"/>
  <c r="O427" i="14"/>
  <c r="T427" i="14" s="1"/>
  <c r="O477" i="14"/>
  <c r="T477" i="14" s="1"/>
  <c r="O227" i="14"/>
  <c r="T227" i="14" s="1"/>
  <c r="M273" i="14"/>
  <c r="R273" i="14" s="1"/>
  <c r="Q273" i="14"/>
  <c r="V273" i="14" s="1"/>
  <c r="M323" i="14"/>
  <c r="R323" i="14" s="1"/>
  <c r="Q323" i="14"/>
  <c r="V323" i="14" s="1"/>
  <c r="M373" i="14"/>
  <c r="R373" i="14" s="1"/>
  <c r="Q373" i="14"/>
  <c r="V373" i="14" s="1"/>
  <c r="N273" i="14"/>
  <c r="S273" i="14" s="1"/>
  <c r="N323" i="14"/>
  <c r="S323" i="14" s="1"/>
  <c r="N373" i="14"/>
  <c r="S373" i="14" s="1"/>
  <c r="O273" i="14"/>
  <c r="T273" i="14" s="1"/>
  <c r="O323" i="14"/>
  <c r="T323" i="14" s="1"/>
  <c r="O373" i="14"/>
  <c r="T373" i="14" s="1"/>
  <c r="O423" i="14"/>
  <c r="T423" i="14" s="1"/>
  <c r="W423" i="14" s="1"/>
  <c r="X423" i="14" s="1"/>
  <c r="O473" i="14"/>
  <c r="T473" i="14" s="1"/>
  <c r="O223" i="14"/>
  <c r="T223" i="14" s="1"/>
  <c r="W223" i="14" s="1"/>
  <c r="X223" i="14" s="1"/>
  <c r="M269" i="14"/>
  <c r="R269" i="14" s="1"/>
  <c r="Q269" i="14"/>
  <c r="V269" i="14" s="1"/>
  <c r="M319" i="14"/>
  <c r="R319" i="14" s="1"/>
  <c r="Q319" i="14"/>
  <c r="V319" i="14" s="1"/>
  <c r="M369" i="14"/>
  <c r="R369" i="14" s="1"/>
  <c r="Q369" i="14"/>
  <c r="V369" i="14" s="1"/>
  <c r="N269" i="14"/>
  <c r="S269" i="14" s="1"/>
  <c r="N319" i="14"/>
  <c r="S319" i="14" s="1"/>
  <c r="N369" i="14"/>
  <c r="S369" i="14" s="1"/>
  <c r="O269" i="14"/>
  <c r="T269" i="14" s="1"/>
  <c r="O319" i="14"/>
  <c r="T319" i="14" s="1"/>
  <c r="O369" i="14"/>
  <c r="T369" i="14" s="1"/>
  <c r="O419" i="14"/>
  <c r="T419" i="14" s="1"/>
  <c r="O469" i="14"/>
  <c r="T469" i="14" s="1"/>
  <c r="O219" i="14"/>
  <c r="T219" i="14" s="1"/>
  <c r="M265" i="14"/>
  <c r="R265" i="14" s="1"/>
  <c r="Q265" i="14"/>
  <c r="V265" i="14" s="1"/>
  <c r="M315" i="14"/>
  <c r="R315" i="14" s="1"/>
  <c r="Q315" i="14"/>
  <c r="V315" i="14" s="1"/>
  <c r="M365" i="14"/>
  <c r="R365" i="14" s="1"/>
  <c r="Q365" i="14"/>
  <c r="V365" i="14" s="1"/>
  <c r="M415" i="14"/>
  <c r="R415" i="14" s="1"/>
  <c r="N265" i="14"/>
  <c r="S265" i="14" s="1"/>
  <c r="N315" i="14"/>
  <c r="S315" i="14" s="1"/>
  <c r="N365" i="14"/>
  <c r="S365" i="14" s="1"/>
  <c r="O265" i="14"/>
  <c r="T265" i="14" s="1"/>
  <c r="O315" i="14"/>
  <c r="T315" i="14" s="1"/>
  <c r="O365" i="14"/>
  <c r="T365" i="14" s="1"/>
  <c r="O415" i="14"/>
  <c r="T415" i="14" s="1"/>
  <c r="O465" i="14"/>
  <c r="T465" i="14" s="1"/>
  <c r="O215" i="14"/>
  <c r="T215" i="14" s="1"/>
  <c r="M261" i="14"/>
  <c r="R261" i="14" s="1"/>
  <c r="Q261" i="14"/>
  <c r="V261" i="14" s="1"/>
  <c r="M311" i="14"/>
  <c r="R311" i="14" s="1"/>
  <c r="Q311" i="14"/>
  <c r="V311" i="14" s="1"/>
  <c r="M361" i="14"/>
  <c r="R361" i="14" s="1"/>
  <c r="Q361" i="14"/>
  <c r="V361" i="14" s="1"/>
  <c r="M411" i="14"/>
  <c r="R411" i="14" s="1"/>
  <c r="Q411" i="14"/>
  <c r="V411" i="14" s="1"/>
  <c r="N261" i="14"/>
  <c r="S261" i="14" s="1"/>
  <c r="N311" i="14"/>
  <c r="S311" i="14" s="1"/>
  <c r="N361" i="14"/>
  <c r="S361" i="14" s="1"/>
  <c r="O261" i="14"/>
  <c r="T261" i="14" s="1"/>
  <c r="O311" i="14"/>
  <c r="T311" i="14" s="1"/>
  <c r="O361" i="14"/>
  <c r="T361" i="14" s="1"/>
  <c r="O411" i="14"/>
  <c r="T411" i="14" s="1"/>
  <c r="O461" i="14"/>
  <c r="T461" i="14" s="1"/>
  <c r="O211" i="14"/>
  <c r="T211" i="14" s="1"/>
  <c r="M257" i="14"/>
  <c r="R257" i="14" s="1"/>
  <c r="Q257" i="14"/>
  <c r="V257" i="14" s="1"/>
  <c r="M307" i="14"/>
  <c r="R307" i="14" s="1"/>
  <c r="Q307" i="14"/>
  <c r="V307" i="14" s="1"/>
  <c r="M357" i="14"/>
  <c r="R357" i="14" s="1"/>
  <c r="Q357" i="14"/>
  <c r="V357" i="14" s="1"/>
  <c r="M407" i="14"/>
  <c r="R407" i="14" s="1"/>
  <c r="Q407" i="14"/>
  <c r="V407" i="14" s="1"/>
  <c r="N257" i="14"/>
  <c r="S257" i="14" s="1"/>
  <c r="N307" i="14"/>
  <c r="S307" i="14" s="1"/>
  <c r="N357" i="14"/>
  <c r="S357" i="14" s="1"/>
  <c r="O257" i="14"/>
  <c r="T257" i="14" s="1"/>
  <c r="O307" i="14"/>
  <c r="T307" i="14" s="1"/>
  <c r="O357" i="14"/>
  <c r="T357" i="14" s="1"/>
  <c r="O407" i="14"/>
  <c r="T407" i="14" s="1"/>
  <c r="O457" i="14"/>
  <c r="T457" i="14" s="1"/>
  <c r="O207" i="14"/>
  <c r="T207" i="14" s="1"/>
  <c r="M253" i="14"/>
  <c r="R253" i="14" s="1"/>
  <c r="Q253" i="14"/>
  <c r="V253" i="14" s="1"/>
  <c r="M303" i="14"/>
  <c r="R303" i="14" s="1"/>
  <c r="Q303" i="14"/>
  <c r="V303" i="14" s="1"/>
  <c r="M353" i="14"/>
  <c r="R353" i="14" s="1"/>
  <c r="Q353" i="14"/>
  <c r="V353" i="14" s="1"/>
  <c r="M403" i="14"/>
  <c r="R403" i="14" s="1"/>
  <c r="Q403" i="14"/>
  <c r="V403" i="14" s="1"/>
  <c r="N253" i="14"/>
  <c r="S253" i="14" s="1"/>
  <c r="N303" i="14"/>
  <c r="S303" i="14" s="1"/>
  <c r="N353" i="14"/>
  <c r="S353" i="14" s="1"/>
  <c r="N403" i="14"/>
  <c r="S403" i="14" s="1"/>
  <c r="O253" i="14"/>
  <c r="T253" i="14" s="1"/>
  <c r="O303" i="14"/>
  <c r="T303" i="14" s="1"/>
  <c r="O353" i="14"/>
  <c r="T353" i="14" s="1"/>
  <c r="O403" i="14"/>
  <c r="T403" i="14" s="1"/>
  <c r="O453" i="14"/>
  <c r="T453" i="14" s="1"/>
  <c r="O203" i="14"/>
  <c r="T203" i="14" s="1"/>
  <c r="M249" i="14"/>
  <c r="R249" i="14" s="1"/>
  <c r="Q249" i="14"/>
  <c r="V249" i="14" s="1"/>
  <c r="M299" i="14"/>
  <c r="R299" i="14" s="1"/>
  <c r="Q299" i="14"/>
  <c r="V299" i="14" s="1"/>
  <c r="M349" i="14"/>
  <c r="R349" i="14" s="1"/>
  <c r="Q349" i="14"/>
  <c r="V349" i="14" s="1"/>
  <c r="M399" i="14"/>
  <c r="R399" i="14" s="1"/>
  <c r="Q399" i="14"/>
  <c r="V399" i="14" s="1"/>
  <c r="N249" i="14"/>
  <c r="S249" i="14" s="1"/>
  <c r="N299" i="14"/>
  <c r="S299" i="14" s="1"/>
  <c r="N349" i="14"/>
  <c r="S349" i="14" s="1"/>
  <c r="N399" i="14"/>
  <c r="S399" i="14" s="1"/>
  <c r="O249" i="14"/>
  <c r="T249" i="14" s="1"/>
  <c r="O299" i="14"/>
  <c r="T299" i="14" s="1"/>
  <c r="O349" i="14"/>
  <c r="T349" i="14" s="1"/>
  <c r="O399" i="14"/>
  <c r="T399" i="14" s="1"/>
  <c r="O449" i="14"/>
  <c r="T449" i="14" s="1"/>
  <c r="O199" i="14"/>
  <c r="T199" i="14" s="1"/>
  <c r="M245" i="14"/>
  <c r="R245" i="14" s="1"/>
  <c r="Q245" i="14"/>
  <c r="V245" i="14" s="1"/>
  <c r="M295" i="14"/>
  <c r="R295" i="14" s="1"/>
  <c r="Q295" i="14"/>
  <c r="V295" i="14" s="1"/>
  <c r="M345" i="14"/>
  <c r="R345" i="14" s="1"/>
  <c r="W345" i="14" s="1"/>
  <c r="X345" i="14" s="1"/>
  <c r="Q345" i="14"/>
  <c r="V345" i="14" s="1"/>
  <c r="M395" i="14"/>
  <c r="R395" i="14" s="1"/>
  <c r="Q395" i="14"/>
  <c r="V395" i="14" s="1"/>
  <c r="N245" i="14"/>
  <c r="S245" i="14" s="1"/>
  <c r="N295" i="14"/>
  <c r="S295" i="14" s="1"/>
  <c r="N345" i="14"/>
  <c r="S345" i="14" s="1"/>
  <c r="N395" i="14"/>
  <c r="S395" i="14" s="1"/>
  <c r="O245" i="14"/>
  <c r="T245" i="14" s="1"/>
  <c r="O295" i="14"/>
  <c r="T295" i="14" s="1"/>
  <c r="O345" i="14"/>
  <c r="T345" i="14" s="1"/>
  <c r="O395" i="14"/>
  <c r="T395" i="14" s="1"/>
  <c r="O445" i="14"/>
  <c r="T445" i="14" s="1"/>
  <c r="W445" i="14" s="1"/>
  <c r="X445" i="14" s="1"/>
  <c r="O195" i="14"/>
  <c r="T195" i="14" s="1"/>
  <c r="W195" i="14" s="1"/>
  <c r="X195" i="14" s="1"/>
  <c r="M45" i="14"/>
  <c r="R45" i="14" s="1"/>
  <c r="Q45" i="14"/>
  <c r="V45" i="14" s="1"/>
  <c r="M241" i="14"/>
  <c r="R241" i="14" s="1"/>
  <c r="Q241" i="14"/>
  <c r="V241" i="14" s="1"/>
  <c r="M291" i="14"/>
  <c r="R291" i="14" s="1"/>
  <c r="Q291" i="14"/>
  <c r="V291" i="14" s="1"/>
  <c r="M341" i="14"/>
  <c r="R341" i="14" s="1"/>
  <c r="Q341" i="14"/>
  <c r="V341" i="14" s="1"/>
  <c r="M391" i="14"/>
  <c r="R391" i="14" s="1"/>
  <c r="Q391" i="14"/>
  <c r="V391" i="14" s="1"/>
  <c r="N241" i="14"/>
  <c r="S241" i="14" s="1"/>
  <c r="N291" i="14"/>
  <c r="S291" i="14" s="1"/>
  <c r="N341" i="14"/>
  <c r="S341" i="14" s="1"/>
  <c r="N391" i="14"/>
  <c r="S391" i="14" s="1"/>
  <c r="O241" i="14"/>
  <c r="T241" i="14" s="1"/>
  <c r="O291" i="14"/>
  <c r="T291" i="14" s="1"/>
  <c r="O341" i="14"/>
  <c r="T341" i="14" s="1"/>
  <c r="O391" i="14"/>
  <c r="T391" i="14" s="1"/>
  <c r="O441" i="14"/>
  <c r="T441" i="14" s="1"/>
  <c r="W441" i="14" s="1"/>
  <c r="X441" i="14" s="1"/>
  <c r="O191" i="14"/>
  <c r="T191" i="14" s="1"/>
  <c r="M41" i="14"/>
  <c r="R41" i="14" s="1"/>
  <c r="Q41" i="14"/>
  <c r="V41" i="14" s="1"/>
  <c r="M237" i="14"/>
  <c r="R237" i="14" s="1"/>
  <c r="Q237" i="14"/>
  <c r="V237" i="14" s="1"/>
  <c r="M287" i="14"/>
  <c r="R287" i="14" s="1"/>
  <c r="Q287" i="14"/>
  <c r="V287" i="14" s="1"/>
  <c r="M337" i="14"/>
  <c r="R337" i="14" s="1"/>
  <c r="Q337" i="14"/>
  <c r="V337" i="14" s="1"/>
  <c r="M387" i="14"/>
  <c r="R387" i="14" s="1"/>
  <c r="Q387" i="14"/>
  <c r="V387" i="14" s="1"/>
  <c r="N237" i="14"/>
  <c r="S237" i="14" s="1"/>
  <c r="N287" i="14"/>
  <c r="S287" i="14" s="1"/>
  <c r="N337" i="14"/>
  <c r="S337" i="14" s="1"/>
  <c r="N387" i="14"/>
  <c r="S387" i="14" s="1"/>
  <c r="O237" i="14"/>
  <c r="T237" i="14" s="1"/>
  <c r="O287" i="14"/>
  <c r="T287" i="14" s="1"/>
  <c r="O337" i="14"/>
  <c r="T337" i="14" s="1"/>
  <c r="O387" i="14"/>
  <c r="T387" i="14" s="1"/>
  <c r="O437" i="14"/>
  <c r="T437" i="14" s="1"/>
  <c r="W437" i="14" s="1"/>
  <c r="X437" i="14" s="1"/>
  <c r="O187" i="14"/>
  <c r="T187" i="14" s="1"/>
  <c r="M37" i="14"/>
  <c r="R37" i="14" s="1"/>
  <c r="Q37" i="14"/>
  <c r="V37" i="14" s="1"/>
  <c r="P233" i="14"/>
  <c r="U233" i="14" s="1"/>
  <c r="P283" i="14"/>
  <c r="U283" i="14" s="1"/>
  <c r="P333" i="14"/>
  <c r="U333" i="14" s="1"/>
  <c r="P383" i="14"/>
  <c r="U383" i="14" s="1"/>
  <c r="M233" i="14"/>
  <c r="R233" i="14" s="1"/>
  <c r="Q233" i="14"/>
  <c r="V233" i="14" s="1"/>
  <c r="M283" i="14"/>
  <c r="R283" i="14" s="1"/>
  <c r="Q283" i="14"/>
  <c r="V283" i="14" s="1"/>
  <c r="M333" i="14"/>
  <c r="R333" i="14" s="1"/>
  <c r="Q333" i="14"/>
  <c r="V333" i="14" s="1"/>
  <c r="M383" i="14"/>
  <c r="R383" i="14" s="1"/>
  <c r="Q383" i="14"/>
  <c r="V383" i="14" s="1"/>
  <c r="N233" i="14"/>
  <c r="S233" i="14" s="1"/>
  <c r="N283" i="14"/>
  <c r="S283" i="14" s="1"/>
  <c r="N333" i="14"/>
  <c r="S333" i="14" s="1"/>
  <c r="N383" i="14"/>
  <c r="S383" i="14" s="1"/>
  <c r="N433" i="14"/>
  <c r="S433" i="14" s="1"/>
  <c r="N183" i="14"/>
  <c r="S183" i="14" s="1"/>
  <c r="P33" i="14"/>
  <c r="U33" i="14" s="1"/>
  <c r="O233" i="14"/>
  <c r="T233" i="14" s="1"/>
  <c r="P277" i="14"/>
  <c r="U277" i="14" s="1"/>
  <c r="P273" i="14"/>
  <c r="U273" i="14" s="1"/>
  <c r="P269" i="14"/>
  <c r="U269" i="14" s="1"/>
  <c r="P265" i="14"/>
  <c r="U265" i="14" s="1"/>
  <c r="P261" i="14"/>
  <c r="U261" i="14" s="1"/>
  <c r="P257" i="14"/>
  <c r="U257" i="14" s="1"/>
  <c r="P253" i="14"/>
  <c r="U253" i="14" s="1"/>
  <c r="P249" i="14"/>
  <c r="U249" i="14" s="1"/>
  <c r="P245" i="14"/>
  <c r="U245" i="14" s="1"/>
  <c r="P241" i="14"/>
  <c r="U241" i="14" s="1"/>
  <c r="P237" i="14"/>
  <c r="U237" i="14" s="1"/>
  <c r="W579" i="14"/>
  <c r="X579" i="14" s="1"/>
  <c r="W536" i="14"/>
  <c r="X536" i="14" s="1"/>
  <c r="W535" i="14"/>
  <c r="X535" i="14" s="1"/>
  <c r="W537" i="14"/>
  <c r="X537" i="14" s="1"/>
  <c r="W523" i="14"/>
  <c r="X523" i="14" s="1"/>
  <c r="W501" i="14"/>
  <c r="X501" i="14" s="1"/>
  <c r="W484" i="14"/>
  <c r="X484" i="14" s="1"/>
  <c r="W529" i="14"/>
  <c r="X529" i="14" s="1"/>
  <c r="W622" i="14"/>
  <c r="X622" i="14" s="1"/>
  <c r="W614" i="14"/>
  <c r="X614" i="14" s="1"/>
  <c r="W608" i="14"/>
  <c r="X608" i="14" s="1"/>
  <c r="W598" i="14"/>
  <c r="X598" i="14" s="1"/>
  <c r="W592" i="14"/>
  <c r="X592" i="14" s="1"/>
  <c r="W577" i="14"/>
  <c r="X577" i="14" s="1"/>
  <c r="W555" i="14"/>
  <c r="X555" i="14" s="1"/>
  <c r="W493" i="14"/>
  <c r="X493" i="14" s="1"/>
  <c r="W624" i="14"/>
  <c r="X624" i="14" s="1"/>
  <c r="W628" i="14"/>
  <c r="X628" i="14" s="1"/>
  <c r="W616" i="14"/>
  <c r="X616" i="14" s="1"/>
  <c r="W606" i="14"/>
  <c r="X606" i="14" s="1"/>
  <c r="W600" i="14"/>
  <c r="X600" i="14" s="1"/>
  <c r="W590" i="14"/>
  <c r="X590" i="14" s="1"/>
  <c r="W553" i="14"/>
  <c r="X553" i="14" s="1"/>
  <c r="W618" i="14"/>
  <c r="X618" i="14" s="1"/>
  <c r="W612" i="14"/>
  <c r="X612" i="14" s="1"/>
  <c r="W602" i="14"/>
  <c r="X602" i="14" s="1"/>
  <c r="W596" i="14"/>
  <c r="X596" i="14" s="1"/>
  <c r="W586" i="14"/>
  <c r="X586" i="14" s="1"/>
  <c r="W575" i="14"/>
  <c r="X575" i="14" s="1"/>
  <c r="W549" i="14"/>
  <c r="X549" i="14" s="1"/>
  <c r="W519" i="14"/>
  <c r="X519" i="14" s="1"/>
  <c r="W503" i="14"/>
  <c r="X503" i="14" s="1"/>
  <c r="W497" i="14"/>
  <c r="X497" i="14" s="1"/>
  <c r="W620" i="14"/>
  <c r="X620" i="14" s="1"/>
  <c r="W610" i="14"/>
  <c r="X610" i="14" s="1"/>
  <c r="W604" i="14"/>
  <c r="X604" i="14" s="1"/>
  <c r="W594" i="14"/>
  <c r="X594" i="14" s="1"/>
  <c r="W588" i="14"/>
  <c r="X588" i="14" s="1"/>
  <c r="W551" i="14"/>
  <c r="X551" i="14" s="1"/>
  <c r="W541" i="14"/>
  <c r="X541" i="14" s="1"/>
  <c r="W495" i="14"/>
  <c r="X495" i="14" s="1"/>
  <c r="W489" i="14"/>
  <c r="X489" i="14" s="1"/>
  <c r="W491" i="14"/>
  <c r="X491" i="14" s="1"/>
  <c r="W627" i="14"/>
  <c r="X627" i="14" s="1"/>
  <c r="H5" i="22"/>
  <c r="I17" i="31"/>
  <c r="L9" i="22"/>
  <c r="W468" i="14"/>
  <c r="X468" i="14" s="1"/>
  <c r="J18" i="31"/>
  <c r="K6" i="22"/>
  <c r="I15" i="31"/>
  <c r="T12" i="14"/>
  <c r="H15" i="31"/>
  <c r="H14" i="31"/>
  <c r="K9" i="22"/>
  <c r="Q9" i="14"/>
  <c r="I16" i="31"/>
  <c r="W460" i="14"/>
  <c r="X460" i="14" s="1"/>
  <c r="P11" i="14"/>
  <c r="J16" i="31"/>
  <c r="K8" i="22"/>
  <c r="R13" i="14"/>
  <c r="W476" i="14"/>
  <c r="X476" i="14" s="1"/>
  <c r="T10" i="14"/>
  <c r="S10" i="14"/>
  <c r="J10" i="22"/>
  <c r="K7" i="22"/>
  <c r="H9" i="22"/>
  <c r="S9" i="14"/>
  <c r="P12" i="14"/>
  <c r="P10" i="14"/>
  <c r="J13" i="31"/>
  <c r="I14" i="31"/>
  <c r="W416" i="14"/>
  <c r="X416" i="14" s="1"/>
  <c r="H7" i="13"/>
  <c r="P4" i="14"/>
  <c r="Q4" i="14"/>
  <c r="S4" i="14"/>
  <c r="J8" i="13"/>
  <c r="J9" i="13"/>
  <c r="M9" i="13" s="1"/>
  <c r="R6" i="14"/>
  <c r="R5" i="14"/>
  <c r="K7" i="13"/>
  <c r="M7" i="13" s="1"/>
  <c r="L8" i="13"/>
  <c r="T5" i="14"/>
  <c r="K28" i="22"/>
  <c r="W379" i="14"/>
  <c r="X379" i="14" s="1"/>
  <c r="J6" i="22"/>
  <c r="I7" i="22"/>
  <c r="P9" i="14"/>
  <c r="S13" i="14"/>
  <c r="R11" i="14"/>
  <c r="G16" i="31"/>
  <c r="K17" i="31"/>
  <c r="I10" i="22"/>
  <c r="Q14" i="14"/>
  <c r="R9" i="14"/>
  <c r="I13" i="31"/>
  <c r="W472" i="14"/>
  <c r="X472" i="14" s="1"/>
  <c r="W456" i="14"/>
  <c r="X456" i="14" s="1"/>
  <c r="W442" i="14"/>
  <c r="X442" i="14" s="1"/>
  <c r="W412" i="14"/>
  <c r="X412" i="14" s="1"/>
  <c r="W224" i="14"/>
  <c r="X224" i="14" s="1"/>
  <c r="Q12" i="14"/>
  <c r="H16" i="31"/>
  <c r="K13" i="31"/>
  <c r="T9" i="14"/>
  <c r="W404" i="14"/>
  <c r="X404" i="14" s="1"/>
  <c r="I8" i="22"/>
  <c r="R14" i="14"/>
  <c r="W200" i="14"/>
  <c r="X200" i="14" s="1"/>
  <c r="W464" i="14"/>
  <c r="X464" i="14" s="1"/>
  <c r="W254" i="14"/>
  <c r="X254" i="14" s="1"/>
  <c r="W302" i="14"/>
  <c r="X302" i="14" s="1"/>
  <c r="W294" i="14"/>
  <c r="X294" i="14" s="1"/>
  <c r="W258" i="14"/>
  <c r="X258" i="14" s="1"/>
  <c r="W306" i="14"/>
  <c r="X306" i="14" s="1"/>
  <c r="M9" i="22"/>
  <c r="W216" i="14"/>
  <c r="X216" i="14" s="1"/>
  <c r="W208" i="14"/>
  <c r="X208" i="14" s="1"/>
  <c r="W194" i="14"/>
  <c r="X194" i="14" s="1"/>
  <c r="W474" i="14"/>
  <c r="X474" i="14" s="1"/>
  <c r="W466" i="14"/>
  <c r="X466" i="14" s="1"/>
  <c r="W444" i="14"/>
  <c r="X444" i="14" s="1"/>
  <c r="W440" i="14"/>
  <c r="X440" i="14" s="1"/>
  <c r="J5" i="22"/>
  <c r="T11" i="14"/>
  <c r="W229" i="14"/>
  <c r="X229" i="14" s="1"/>
  <c r="L10" i="22"/>
  <c r="J8" i="22"/>
  <c r="I5" i="22"/>
  <c r="T14" i="14"/>
  <c r="P14" i="14"/>
  <c r="Q13" i="14"/>
  <c r="S11" i="14"/>
  <c r="H17" i="31"/>
  <c r="W220" i="14"/>
  <c r="X220" i="14" s="1"/>
  <c r="W279" i="14"/>
  <c r="X279" i="14" s="1"/>
  <c r="K10" i="22"/>
  <c r="L7" i="22"/>
  <c r="H10" i="22"/>
  <c r="H6" i="22"/>
  <c r="P13" i="14"/>
  <c r="Q10" i="14"/>
  <c r="V13" i="14"/>
  <c r="D31" i="31" s="1"/>
  <c r="V11" i="14"/>
  <c r="D29" i="31" s="1"/>
  <c r="W204" i="14"/>
  <c r="X204" i="14" s="1"/>
  <c r="W450" i="14"/>
  <c r="X450" i="14" s="1"/>
  <c r="W448" i="14"/>
  <c r="X448" i="14" s="1"/>
  <c r="W438" i="14"/>
  <c r="X438" i="14" s="1"/>
  <c r="W436" i="14"/>
  <c r="X436" i="14" s="1"/>
  <c r="W222" i="14"/>
  <c r="X222" i="14" s="1"/>
  <c r="W179" i="14"/>
  <c r="W226" i="14"/>
  <c r="X226" i="14" s="1"/>
  <c r="W426" i="14"/>
  <c r="X426" i="14" s="1"/>
  <c r="W429" i="14"/>
  <c r="X429" i="14" s="1"/>
  <c r="L6" i="22"/>
  <c r="H7" i="22"/>
  <c r="W190" i="14"/>
  <c r="X190" i="14" s="1"/>
  <c r="W186" i="14"/>
  <c r="X186" i="14" s="1"/>
  <c r="W478" i="14"/>
  <c r="X478" i="14" s="1"/>
  <c r="W470" i="14"/>
  <c r="X470" i="14" s="1"/>
  <c r="W462" i="14"/>
  <c r="X462" i="14" s="1"/>
  <c r="W446" i="14"/>
  <c r="X446" i="14" s="1"/>
  <c r="V9" i="14"/>
  <c r="D27" i="31" s="1"/>
  <c r="W212" i="14"/>
  <c r="X212" i="14" s="1"/>
  <c r="W420" i="14"/>
  <c r="X420" i="14" s="1"/>
  <c r="W320" i="14"/>
  <c r="X320" i="14" s="1"/>
  <c r="W286" i="14"/>
  <c r="X286" i="14" s="1"/>
  <c r="W428" i="14"/>
  <c r="X428" i="14" s="1"/>
  <c r="W364" i="14"/>
  <c r="X364" i="14" s="1"/>
  <c r="W274" i="14"/>
  <c r="X274" i="14" s="1"/>
  <c r="W260" i="14"/>
  <c r="X260" i="14" s="1"/>
  <c r="W250" i="14"/>
  <c r="X250" i="14" s="1"/>
  <c r="W424" i="14"/>
  <c r="X424" i="14" s="1"/>
  <c r="W410" i="14"/>
  <c r="X410" i="14" s="1"/>
  <c r="W268" i="14"/>
  <c r="X268" i="14" s="1"/>
  <c r="W242" i="14"/>
  <c r="X242" i="14" s="1"/>
  <c r="W408" i="14"/>
  <c r="X408" i="14" s="1"/>
  <c r="W322" i="14"/>
  <c r="X322" i="14" s="1"/>
  <c r="W148" i="14"/>
  <c r="X148" i="14" s="1"/>
  <c r="W70" i="14"/>
  <c r="X70" i="14" s="1"/>
  <c r="W54" i="14"/>
  <c r="X54" i="14" s="1"/>
  <c r="W52" i="14"/>
  <c r="X52" i="14" s="1"/>
  <c r="T6" i="14"/>
  <c r="P6" i="14"/>
  <c r="W110" i="14"/>
  <c r="X110" i="14" s="1"/>
  <c r="W38" i="14"/>
  <c r="X38" i="14" s="1"/>
  <c r="W36" i="14"/>
  <c r="H4" i="31"/>
  <c r="G6" i="31"/>
  <c r="W138" i="14"/>
  <c r="X138" i="14" s="1"/>
  <c r="W150" i="14"/>
  <c r="X150" i="14" s="1"/>
  <c r="W176" i="14"/>
  <c r="X176" i="14" s="1"/>
  <c r="W136" i="14"/>
  <c r="X136" i="14" s="1"/>
  <c r="W94" i="14"/>
  <c r="X94" i="14" s="1"/>
  <c r="W170" i="14"/>
  <c r="X170" i="14" s="1"/>
  <c r="W164" i="14"/>
  <c r="X164" i="14" s="1"/>
  <c r="W78" i="14"/>
  <c r="X78" i="14" s="1"/>
  <c r="W74" i="14"/>
  <c r="X74" i="14" s="1"/>
  <c r="W178" i="14"/>
  <c r="X178" i="14" s="1"/>
  <c r="W172" i="14"/>
  <c r="X172" i="14" s="1"/>
  <c r="W144" i="14"/>
  <c r="X144" i="14" s="1"/>
  <c r="W76" i="14"/>
  <c r="X76" i="14" s="1"/>
  <c r="W154" i="14"/>
  <c r="X154" i="14" s="1"/>
  <c r="W140" i="14"/>
  <c r="X140" i="14" s="1"/>
  <c r="W102" i="14"/>
  <c r="X102" i="14" s="1"/>
  <c r="W162" i="14"/>
  <c r="X162" i="14" s="1"/>
  <c r="W156" i="14"/>
  <c r="X156" i="14" s="1"/>
  <c r="W160" i="14"/>
  <c r="X160" i="14" s="1"/>
  <c r="W50" i="14"/>
  <c r="X50" i="14" s="1"/>
  <c r="W48" i="14"/>
  <c r="X48" i="14" s="1"/>
  <c r="W112" i="14"/>
  <c r="X112" i="14" s="1"/>
  <c r="W108" i="14"/>
  <c r="X108" i="14" s="1"/>
  <c r="W100" i="14"/>
  <c r="X100" i="14" s="1"/>
  <c r="W92" i="14"/>
  <c r="X92" i="14" s="1"/>
  <c r="W84" i="14"/>
  <c r="X84" i="14" s="1"/>
  <c r="W64" i="14"/>
  <c r="X64" i="14" s="1"/>
  <c r="W60" i="14"/>
  <c r="X60" i="14" s="1"/>
  <c r="W46" i="14"/>
  <c r="X46" i="14" s="1"/>
  <c r="V6" i="14"/>
  <c r="D20" i="31" s="1"/>
  <c r="W30" i="14"/>
  <c r="W98" i="14"/>
  <c r="X98" i="14" s="1"/>
  <c r="W90" i="14"/>
  <c r="X90" i="14" s="1"/>
  <c r="W86" i="14"/>
  <c r="X86" i="14" s="1"/>
  <c r="W72" i="14"/>
  <c r="X72" i="14" s="1"/>
  <c r="W68" i="14"/>
  <c r="X68" i="14" s="1"/>
  <c r="W62" i="14"/>
  <c r="X62" i="14" s="1"/>
  <c r="W58" i="14"/>
  <c r="X58" i="14" s="1"/>
  <c r="W56" i="14"/>
  <c r="X56" i="14" s="1"/>
  <c r="W44" i="14"/>
  <c r="X44" i="14" s="1"/>
  <c r="W42" i="14"/>
  <c r="X42" i="14" s="1"/>
  <c r="W40" i="14"/>
  <c r="X40" i="14" s="1"/>
  <c r="W168" i="14"/>
  <c r="X168" i="14" s="1"/>
  <c r="W152" i="14"/>
  <c r="X152" i="14" s="1"/>
  <c r="W118" i="14"/>
  <c r="X118" i="14" s="1"/>
  <c r="W96" i="14"/>
  <c r="X96" i="14" s="1"/>
  <c r="W82" i="14"/>
  <c r="X82" i="14" s="1"/>
  <c r="W66" i="14"/>
  <c r="X66" i="14" s="1"/>
  <c r="V4" i="14"/>
  <c r="D18" i="31" s="1"/>
  <c r="V19" i="14"/>
  <c r="D38" i="31"/>
  <c r="W135" i="14"/>
  <c r="X135" i="14" s="1"/>
  <c r="H8" i="13"/>
  <c r="J11" i="35"/>
  <c r="L13" i="35"/>
  <c r="H13" i="35"/>
  <c r="J12" i="35"/>
  <c r="R16" i="14"/>
  <c r="U16" i="14" s="1"/>
  <c r="R18" i="14"/>
  <c r="S17" i="14"/>
  <c r="U17" i="14" s="1"/>
  <c r="V5" i="14"/>
  <c r="V18" i="14"/>
  <c r="D39" i="31" s="1"/>
  <c r="G21" i="31"/>
  <c r="G23" i="31"/>
  <c r="I23" i="31"/>
  <c r="J22" i="31"/>
  <c r="H22" i="31"/>
  <c r="K23" i="31"/>
  <c r="K21" i="31"/>
  <c r="W626" i="14"/>
  <c r="X626" i="14" s="1"/>
  <c r="W613" i="14"/>
  <c r="X613" i="14" s="1"/>
  <c r="H63" i="14" s="1"/>
  <c r="T39" i="40" s="1"/>
  <c r="W589" i="14"/>
  <c r="X589" i="14" s="1"/>
  <c r="W576" i="14"/>
  <c r="X576" i="14" s="1"/>
  <c r="W568" i="14"/>
  <c r="X568" i="14" s="1"/>
  <c r="W560" i="14"/>
  <c r="X560" i="14" s="1"/>
  <c r="W552" i="14"/>
  <c r="X552" i="14" s="1"/>
  <c r="W526" i="14"/>
  <c r="X526" i="14" s="1"/>
  <c r="H76" i="14" s="1"/>
  <c r="T52" i="40" s="1"/>
  <c r="W518" i="14"/>
  <c r="X518" i="14" s="1"/>
  <c r="H68" i="14" s="1"/>
  <c r="T44" i="40" s="1"/>
  <c r="W510" i="14"/>
  <c r="X510" i="14" s="1"/>
  <c r="H60" i="14" s="1"/>
  <c r="T36" i="40" s="1"/>
  <c r="W502" i="14"/>
  <c r="X502" i="14" s="1"/>
  <c r="H52" i="14" s="1"/>
  <c r="T28" i="40" s="1"/>
  <c r="W494" i="14"/>
  <c r="X494" i="14" s="1"/>
  <c r="H44" i="14" s="1"/>
  <c r="T20" i="40" s="1"/>
  <c r="W486" i="14"/>
  <c r="X486" i="14" s="1"/>
  <c r="H36" i="14" s="1"/>
  <c r="T12" i="40" s="1"/>
  <c r="W174" i="14"/>
  <c r="X174" i="14" s="1"/>
  <c r="W158" i="14"/>
  <c r="X158" i="14" s="1"/>
  <c r="W142" i="14"/>
  <c r="X142" i="14" s="1"/>
  <c r="W141" i="14"/>
  <c r="X141" i="14" s="1"/>
  <c r="W134" i="14"/>
  <c r="X134" i="14" s="1"/>
  <c r="W122" i="14"/>
  <c r="X122" i="14" s="1"/>
  <c r="W116" i="14"/>
  <c r="X116" i="14" s="1"/>
  <c r="H39" i="14"/>
  <c r="T15" i="40" s="1"/>
  <c r="W623" i="14"/>
  <c r="X623" i="14" s="1"/>
  <c r="H73" i="14" s="1"/>
  <c r="T49" i="40" s="1"/>
  <c r="W615" i="14"/>
  <c r="X615" i="14" s="1"/>
  <c r="H65" i="14" s="1"/>
  <c r="W599" i="14"/>
  <c r="X599" i="14" s="1"/>
  <c r="H49" i="14" s="1"/>
  <c r="T25" i="40" s="1"/>
  <c r="W591" i="14"/>
  <c r="X591" i="14" s="1"/>
  <c r="H41" i="14" s="1"/>
  <c r="T17" i="40" s="1"/>
  <c r="W570" i="14"/>
  <c r="X570" i="14" s="1"/>
  <c r="W562" i="14"/>
  <c r="X562" i="14" s="1"/>
  <c r="W554" i="14"/>
  <c r="X554" i="14" s="1"/>
  <c r="W538" i="14"/>
  <c r="X538" i="14" s="1"/>
  <c r="W528" i="14"/>
  <c r="X528" i="14" s="1"/>
  <c r="W520" i="14"/>
  <c r="X520" i="14" s="1"/>
  <c r="H70" i="14" s="1"/>
  <c r="T46" i="40" s="1"/>
  <c r="W512" i="14"/>
  <c r="X512" i="14" s="1"/>
  <c r="H62" i="14" s="1"/>
  <c r="T38" i="40" s="1"/>
  <c r="W504" i="14"/>
  <c r="X504" i="14" s="1"/>
  <c r="H54" i="14" s="1"/>
  <c r="T30" i="40" s="1"/>
  <c r="W496" i="14"/>
  <c r="X496" i="14" s="1"/>
  <c r="W488" i="14"/>
  <c r="X488" i="14" s="1"/>
  <c r="H38" i="14" s="1"/>
  <c r="T14" i="40" s="1"/>
  <c r="W582" i="14"/>
  <c r="X582" i="14" s="1"/>
  <c r="L11" i="35"/>
  <c r="H11" i="35"/>
  <c r="H12" i="35"/>
  <c r="P5" i="14"/>
  <c r="D11" i="31"/>
  <c r="D10" i="31" s="1"/>
  <c r="W617" i="14"/>
  <c r="X617" i="14" s="1"/>
  <c r="H67" i="14" s="1"/>
  <c r="W584" i="14"/>
  <c r="X584" i="14" s="1"/>
  <c r="W564" i="14"/>
  <c r="X564" i="14" s="1"/>
  <c r="W556" i="14"/>
  <c r="X556" i="14" s="1"/>
  <c r="W540" i="14"/>
  <c r="X540" i="14" s="1"/>
  <c r="W522" i="14"/>
  <c r="X522" i="14" s="1"/>
  <c r="W514" i="14"/>
  <c r="X514" i="14" s="1"/>
  <c r="H64" i="14" s="1"/>
  <c r="T40" i="40" s="1"/>
  <c r="W506" i="14"/>
  <c r="X506" i="14" s="1"/>
  <c r="H56" i="14" s="1"/>
  <c r="T32" i="40" s="1"/>
  <c r="W498" i="14"/>
  <c r="X498" i="14" s="1"/>
  <c r="H48" i="14" s="1"/>
  <c r="T24" i="40" s="1"/>
  <c r="W490" i="14"/>
  <c r="X490" i="14" s="1"/>
  <c r="W532" i="14"/>
  <c r="X532" i="14" s="1"/>
  <c r="W166" i="14"/>
  <c r="X166" i="14" s="1"/>
  <c r="W132" i="14"/>
  <c r="X132" i="14" s="1"/>
  <c r="W124" i="14"/>
  <c r="X124" i="14" s="1"/>
  <c r="W114" i="14"/>
  <c r="X114" i="14" s="1"/>
  <c r="W611" i="14"/>
  <c r="X611" i="14" s="1"/>
  <c r="H61" i="14" s="1"/>
  <c r="T37" i="40" s="1"/>
  <c r="W603" i="14"/>
  <c r="X603" i="14" s="1"/>
  <c r="H53" i="14" s="1"/>
  <c r="T29" i="40" s="1"/>
  <c r="W574" i="14"/>
  <c r="X574" i="14" s="1"/>
  <c r="W566" i="14"/>
  <c r="X566" i="14" s="1"/>
  <c r="W558" i="14"/>
  <c r="X558" i="14" s="1"/>
  <c r="W524" i="14"/>
  <c r="X524" i="14" s="1"/>
  <c r="W516" i="14"/>
  <c r="X516" i="14" s="1"/>
  <c r="H66" i="14" s="1"/>
  <c r="T42" i="40" s="1"/>
  <c r="W508" i="14"/>
  <c r="X508" i="14" s="1"/>
  <c r="H58" i="14" s="1"/>
  <c r="T34" i="40" s="1"/>
  <c r="W500" i="14"/>
  <c r="X500" i="14" s="1"/>
  <c r="H50" i="14" s="1"/>
  <c r="T26" i="40" s="1"/>
  <c r="W492" i="14"/>
  <c r="X492" i="14" s="1"/>
  <c r="W482" i="14"/>
  <c r="X482" i="14" s="1"/>
  <c r="H32" i="14" s="1"/>
  <c r="T8" i="40" s="1"/>
  <c r="W177" i="14"/>
  <c r="X177" i="14" s="1"/>
  <c r="W146" i="14"/>
  <c r="X146" i="14" s="1"/>
  <c r="W126" i="14"/>
  <c r="X126" i="14" s="1"/>
  <c r="W120" i="14"/>
  <c r="X120" i="14" s="1"/>
  <c r="W106" i="14"/>
  <c r="X106" i="14" s="1"/>
  <c r="W104" i="14"/>
  <c r="X104" i="14" s="1"/>
  <c r="W57" i="14"/>
  <c r="X57" i="14" s="1"/>
  <c r="W32" i="14"/>
  <c r="W480" i="14"/>
  <c r="X480" i="14" s="1"/>
  <c r="W210" i="14"/>
  <c r="X210" i="14" s="1"/>
  <c r="W182" i="14"/>
  <c r="X182" i="14" s="1"/>
  <c r="W473" i="14"/>
  <c r="X473" i="14" s="1"/>
  <c r="W88" i="14"/>
  <c r="X88" i="14" s="1"/>
  <c r="W34" i="14"/>
  <c r="W130" i="14"/>
  <c r="X130" i="14" s="1"/>
  <c r="W198" i="14"/>
  <c r="X198" i="14" s="1"/>
  <c r="W196" i="14"/>
  <c r="X196" i="14" s="1"/>
  <c r="W77" i="14"/>
  <c r="X77" i="14" s="1"/>
  <c r="W80" i="14"/>
  <c r="W214" i="14"/>
  <c r="X214" i="14" s="1"/>
  <c r="W206" i="14"/>
  <c r="X206" i="14" s="1"/>
  <c r="W192" i="14"/>
  <c r="X192" i="14" s="1"/>
  <c r="W458" i="14"/>
  <c r="X458" i="14" s="1"/>
  <c r="W454" i="14"/>
  <c r="X454" i="14" s="1"/>
  <c r="W580" i="14"/>
  <c r="X580" i="14" s="1"/>
  <c r="W218" i="14"/>
  <c r="X218" i="14" s="1"/>
  <c r="W202" i="14"/>
  <c r="X202" i="14" s="1"/>
  <c r="W188" i="14"/>
  <c r="X188" i="14" s="1"/>
  <c r="V12" i="14"/>
  <c r="D30" i="31" s="1"/>
  <c r="W432" i="14"/>
  <c r="X432" i="14" s="1"/>
  <c r="W414" i="14"/>
  <c r="X414" i="14" s="1"/>
  <c r="W400" i="14"/>
  <c r="X400" i="14" s="1"/>
  <c r="W396" i="14"/>
  <c r="X396" i="14" s="1"/>
  <c r="W392" i="14"/>
  <c r="X392" i="14" s="1"/>
  <c r="W388" i="14"/>
  <c r="X388" i="14" s="1"/>
  <c r="W384" i="14"/>
  <c r="X384" i="14" s="1"/>
  <c r="V14" i="14"/>
  <c r="D32" i="31" s="1"/>
  <c r="W184" i="14"/>
  <c r="X184" i="14" s="1"/>
  <c r="W180" i="14"/>
  <c r="X180" i="14" s="1"/>
  <c r="W434" i="14"/>
  <c r="X434" i="14" s="1"/>
  <c r="W430" i="14"/>
  <c r="X430" i="14" s="1"/>
  <c r="W422" i="14"/>
  <c r="X422" i="14" s="1"/>
  <c r="W413" i="14"/>
  <c r="X413" i="14" s="1"/>
  <c r="W406" i="14"/>
  <c r="X406" i="14" s="1"/>
  <c r="W402" i="14"/>
  <c r="X402" i="14" s="1"/>
  <c r="W394" i="14"/>
  <c r="X394" i="14" s="1"/>
  <c r="W390" i="14"/>
  <c r="X390" i="14" s="1"/>
  <c r="W380" i="14"/>
  <c r="X380" i="14" s="1"/>
  <c r="V10" i="14"/>
  <c r="D28" i="31" s="1"/>
  <c r="W395" i="14"/>
  <c r="X395" i="14" s="1"/>
  <c r="W370" i="14"/>
  <c r="X370" i="14" s="1"/>
  <c r="W362" i="14"/>
  <c r="X362" i="14" s="1"/>
  <c r="W334" i="14"/>
  <c r="X334" i="14" s="1"/>
  <c r="W374" i="14"/>
  <c r="X374" i="14" s="1"/>
  <c r="W366" i="14"/>
  <c r="X366" i="14" s="1"/>
  <c r="W358" i="14"/>
  <c r="X358" i="14" s="1"/>
  <c r="W328" i="14"/>
  <c r="X328" i="14" s="1"/>
  <c r="W350" i="14"/>
  <c r="X350" i="14" s="1"/>
  <c r="W296" i="14"/>
  <c r="X296" i="14" s="1"/>
  <c r="W282" i="14"/>
  <c r="X282" i="14" s="1"/>
  <c r="W292" i="14"/>
  <c r="X292" i="14" s="1"/>
  <c r="W246" i="14"/>
  <c r="X246" i="14" s="1"/>
  <c r="W256" i="14"/>
  <c r="X256" i="14" s="1"/>
  <c r="W230" i="14"/>
  <c r="X230" i="14" s="1"/>
  <c r="W234" i="14"/>
  <c r="X234" i="14" s="1"/>
  <c r="M5" i="45"/>
  <c r="L6" i="45"/>
  <c r="H1" i="45" s="1"/>
  <c r="K14" i="11" s="1"/>
  <c r="M4" i="45"/>
  <c r="D5" i="31"/>
  <c r="W123" i="14" l="1"/>
  <c r="X123" i="14" s="1"/>
  <c r="W81" i="14"/>
  <c r="W29" i="14"/>
  <c r="W128" i="14"/>
  <c r="X128" i="14" s="1"/>
  <c r="W151" i="14"/>
  <c r="X151" i="14" s="1"/>
  <c r="W340" i="14"/>
  <c r="X340" i="14" s="1"/>
  <c r="W452" i="14"/>
  <c r="X452" i="14" s="1"/>
  <c r="W356" i="14"/>
  <c r="X356" i="14" s="1"/>
  <c r="W360" i="14"/>
  <c r="X360" i="14" s="1"/>
  <c r="W310" i="14"/>
  <c r="X310" i="14" s="1"/>
  <c r="W418" i="14"/>
  <c r="X418" i="14" s="1"/>
  <c r="W372" i="14"/>
  <c r="X372" i="14" s="1"/>
  <c r="W557" i="14"/>
  <c r="X557" i="14" s="1"/>
  <c r="W33" i="14"/>
  <c r="W99" i="14"/>
  <c r="X99" i="14" s="1"/>
  <c r="W53" i="14"/>
  <c r="X53" i="14" s="1"/>
  <c r="W115" i="14"/>
  <c r="X115" i="14" s="1"/>
  <c r="W69" i="14"/>
  <c r="X69" i="14" s="1"/>
  <c r="W103" i="14"/>
  <c r="X103" i="14" s="1"/>
  <c r="W587" i="14"/>
  <c r="X587" i="14" s="1"/>
  <c r="H37" i="14" s="1"/>
  <c r="T13" i="40" s="1"/>
  <c r="W157" i="14"/>
  <c r="X157" i="14" s="1"/>
  <c r="F57" i="14" s="1"/>
  <c r="N33" i="40" s="1"/>
  <c r="D45" i="31"/>
  <c r="D43" i="31" s="1"/>
  <c r="R9" i="39"/>
  <c r="M12" i="35"/>
  <c r="D37" i="31"/>
  <c r="W330" i="14"/>
  <c r="X330" i="14" s="1"/>
  <c r="W382" i="14"/>
  <c r="X382" i="14" s="1"/>
  <c r="W259" i="14"/>
  <c r="X259" i="14" s="1"/>
  <c r="W240" i="14"/>
  <c r="X240" i="14" s="1"/>
  <c r="W583" i="14"/>
  <c r="W487" i="14"/>
  <c r="X487" i="14" s="1"/>
  <c r="W578" i="14"/>
  <c r="X578" i="14" s="1"/>
  <c r="W207" i="14"/>
  <c r="X207" i="14" s="1"/>
  <c r="W41" i="14"/>
  <c r="X41" i="14" s="1"/>
  <c r="W457" i="14"/>
  <c r="X457" i="14" s="1"/>
  <c r="W211" i="14"/>
  <c r="X211" i="14" s="1"/>
  <c r="W243" i="14"/>
  <c r="X243" i="14" s="1"/>
  <c r="W305" i="14"/>
  <c r="X305" i="14" s="1"/>
  <c r="W309" i="14"/>
  <c r="X309" i="14" s="1"/>
  <c r="W113" i="14"/>
  <c r="X113" i="14" s="1"/>
  <c r="W125" i="14"/>
  <c r="X125" i="14" s="1"/>
  <c r="W401" i="14"/>
  <c r="X401" i="14" s="1"/>
  <c r="W266" i="14"/>
  <c r="X266" i="14" s="1"/>
  <c r="W324" i="14"/>
  <c r="X324" i="14" s="1"/>
  <c r="W232" i="14"/>
  <c r="X232" i="14" s="1"/>
  <c r="W332" i="14"/>
  <c r="X332" i="14" s="1"/>
  <c r="W290" i="14"/>
  <c r="X290" i="14" s="1"/>
  <c r="W244" i="14"/>
  <c r="X244" i="14" s="1"/>
  <c r="W344" i="14"/>
  <c r="X344" i="14" s="1"/>
  <c r="W248" i="14"/>
  <c r="X248" i="14" s="1"/>
  <c r="W348" i="14"/>
  <c r="X348" i="14" s="1"/>
  <c r="W298" i="14"/>
  <c r="X298" i="14" s="1"/>
  <c r="W252" i="14"/>
  <c r="X252" i="14" s="1"/>
  <c r="W352" i="14"/>
  <c r="X352" i="14" s="1"/>
  <c r="W314" i="14"/>
  <c r="X314" i="14" s="1"/>
  <c r="W318" i="14"/>
  <c r="X318" i="14" s="1"/>
  <c r="W272" i="14"/>
  <c r="X272" i="14" s="1"/>
  <c r="W326" i="14"/>
  <c r="X326" i="14" s="1"/>
  <c r="W376" i="14"/>
  <c r="X376" i="14" s="1"/>
  <c r="W276" i="14"/>
  <c r="X276" i="14" s="1"/>
  <c r="W595" i="14"/>
  <c r="X595" i="14" s="1"/>
  <c r="H45" i="14" s="1"/>
  <c r="T21" i="40" s="1"/>
  <c r="W449" i="14"/>
  <c r="X449" i="14" s="1"/>
  <c r="W49" i="14"/>
  <c r="X49" i="14" s="1"/>
  <c r="W73" i="14"/>
  <c r="X73" i="14" s="1"/>
  <c r="W111" i="14"/>
  <c r="X111" i="14" s="1"/>
  <c r="W137" i="14"/>
  <c r="X137" i="14" s="1"/>
  <c r="W483" i="14"/>
  <c r="W511" i="14"/>
  <c r="X511" i="14" s="1"/>
  <c r="W545" i="14"/>
  <c r="X545" i="14" s="1"/>
  <c r="W565" i="14"/>
  <c r="X565" i="14" s="1"/>
  <c r="W607" i="14"/>
  <c r="X607" i="14" s="1"/>
  <c r="H57" i="14" s="1"/>
  <c r="T33" i="40" s="1"/>
  <c r="W619" i="14"/>
  <c r="X619" i="14" s="1"/>
  <c r="H69" i="14" s="1"/>
  <c r="T45" i="40" s="1"/>
  <c r="W533" i="14"/>
  <c r="W133" i="14"/>
  <c r="X133" i="14" s="1"/>
  <c r="W183" i="14"/>
  <c r="X183" i="14" s="1"/>
  <c r="W91" i="14"/>
  <c r="X91" i="14" s="1"/>
  <c r="W145" i="14"/>
  <c r="X145" i="14" s="1"/>
  <c r="W95" i="14"/>
  <c r="X95" i="14" s="1"/>
  <c r="W149" i="14"/>
  <c r="X149" i="14" s="1"/>
  <c r="W161" i="14"/>
  <c r="X161" i="14" s="1"/>
  <c r="W61" i="14"/>
  <c r="X61" i="14" s="1"/>
  <c r="F61" i="14" s="1"/>
  <c r="N37" i="40" s="1"/>
  <c r="W515" i="14"/>
  <c r="X515" i="14" s="1"/>
  <c r="W165" i="14"/>
  <c r="X165" i="14" s="1"/>
  <c r="W65" i="14"/>
  <c r="X65" i="14" s="1"/>
  <c r="W119" i="14"/>
  <c r="X119" i="14" s="1"/>
  <c r="F69" i="14" s="1"/>
  <c r="N45" i="40" s="1"/>
  <c r="W527" i="14"/>
  <c r="X527" i="14" s="1"/>
  <c r="H77" i="14" s="1"/>
  <c r="T53" i="40" s="1"/>
  <c r="W427" i="14"/>
  <c r="X427" i="14" s="1"/>
  <c r="W391" i="14"/>
  <c r="X391" i="14" s="1"/>
  <c r="W477" i="14"/>
  <c r="X477" i="14" s="1"/>
  <c r="W331" i="14"/>
  <c r="X331" i="14" s="1"/>
  <c r="W247" i="14"/>
  <c r="X247" i="14" s="1"/>
  <c r="W359" i="14"/>
  <c r="X359" i="14" s="1"/>
  <c r="W191" i="14"/>
  <c r="X191" i="14" s="1"/>
  <c r="W461" i="14"/>
  <c r="X461" i="14" s="1"/>
  <c r="W219" i="14"/>
  <c r="X219" i="14" s="1"/>
  <c r="W581" i="14"/>
  <c r="X581" i="14" s="1"/>
  <c r="W451" i="14"/>
  <c r="X451" i="14" s="1"/>
  <c r="W351" i="14"/>
  <c r="X351" i="14" s="1"/>
  <c r="W455" i="14"/>
  <c r="X455" i="14" s="1"/>
  <c r="W405" i="14"/>
  <c r="X405" i="14" s="1"/>
  <c r="W263" i="14"/>
  <c r="X263" i="14" s="1"/>
  <c r="W425" i="14"/>
  <c r="X425" i="14" s="1"/>
  <c r="W304" i="14"/>
  <c r="X304" i="14" s="1"/>
  <c r="W236" i="14"/>
  <c r="X236" i="14" s="1"/>
  <c r="W203" i="14"/>
  <c r="X203" i="14" s="1"/>
  <c r="W469" i="14"/>
  <c r="X469" i="14" s="1"/>
  <c r="W139" i="14"/>
  <c r="X139" i="14" s="1"/>
  <c r="W543" i="14"/>
  <c r="X543" i="14" s="1"/>
  <c r="W51" i="14"/>
  <c r="X51" i="14" s="1"/>
  <c r="W355" i="14"/>
  <c r="X355" i="14" s="1"/>
  <c r="W67" i="14"/>
  <c r="X67" i="14" s="1"/>
  <c r="F67" i="14" s="1"/>
  <c r="N43" i="40" s="1"/>
  <c r="W321" i="14"/>
  <c r="X321" i="14" s="1"/>
  <c r="W375" i="14"/>
  <c r="X375" i="14" s="1"/>
  <c r="W131" i="14"/>
  <c r="X131" i="14" s="1"/>
  <c r="W187" i="14"/>
  <c r="X187" i="14" s="1"/>
  <c r="W215" i="14"/>
  <c r="X215" i="14" s="1"/>
  <c r="W277" i="14"/>
  <c r="X277" i="14" s="1"/>
  <c r="W433" i="14"/>
  <c r="X433" i="14" s="1"/>
  <c r="W333" i="14"/>
  <c r="X333" i="14" s="1"/>
  <c r="W453" i="14"/>
  <c r="X453" i="14" s="1"/>
  <c r="W465" i="14"/>
  <c r="X465" i="14" s="1"/>
  <c r="W377" i="14"/>
  <c r="X377" i="14" s="1"/>
  <c r="W255" i="14"/>
  <c r="X255" i="14" s="1"/>
  <c r="W431" i="14"/>
  <c r="X431" i="14" s="1"/>
  <c r="W281" i="14"/>
  <c r="X281" i="14" s="1"/>
  <c r="W389" i="14"/>
  <c r="X389" i="14" s="1"/>
  <c r="W293" i="14"/>
  <c r="X293" i="14" s="1"/>
  <c r="W547" i="14"/>
  <c r="X547" i="14" s="1"/>
  <c r="W47" i="14"/>
  <c r="X47" i="14" s="1"/>
  <c r="W601" i="14"/>
  <c r="X601" i="14" s="1"/>
  <c r="H51" i="14" s="1"/>
  <c r="T27" i="40" s="1"/>
  <c r="W201" i="14"/>
  <c r="X201" i="14" s="1"/>
  <c r="W105" i="14"/>
  <c r="X105" i="14" s="1"/>
  <c r="W209" i="14"/>
  <c r="X209" i="14" s="1"/>
  <c r="W109" i="14"/>
  <c r="X109" i="14" s="1"/>
  <c r="W459" i="14"/>
  <c r="X459" i="14" s="1"/>
  <c r="W213" i="14"/>
  <c r="X213" i="14" s="1"/>
  <c r="W63" i="14"/>
  <c r="X63" i="14" s="1"/>
  <c r="F63" i="14" s="1"/>
  <c r="N39" i="40" s="1"/>
  <c r="W363" i="14"/>
  <c r="X363" i="14" s="1"/>
  <c r="W313" i="14"/>
  <c r="X313" i="14" s="1"/>
  <c r="W267" i="14"/>
  <c r="X267" i="14" s="1"/>
  <c r="W517" i="14"/>
  <c r="X517" i="14" s="1"/>
  <c r="W367" i="14"/>
  <c r="X367" i="14" s="1"/>
  <c r="W571" i="14"/>
  <c r="X571" i="14" s="1"/>
  <c r="W471" i="14"/>
  <c r="X471" i="14" s="1"/>
  <c r="W271" i="14"/>
  <c r="X271" i="14" s="1"/>
  <c r="W75" i="14"/>
  <c r="X75" i="14" s="1"/>
  <c r="W225" i="14"/>
  <c r="X225" i="14" s="1"/>
  <c r="W325" i="14"/>
  <c r="X325" i="14" s="1"/>
  <c r="W275" i="14"/>
  <c r="X275" i="14" s="1"/>
  <c r="W249" i="14"/>
  <c r="X249" i="14" s="1"/>
  <c r="W37" i="14"/>
  <c r="X37" i="14" s="1"/>
  <c r="F37" i="14" s="1"/>
  <c r="N13" i="40" s="1"/>
  <c r="W287" i="14"/>
  <c r="X287" i="14" s="1"/>
  <c r="W199" i="14"/>
  <c r="X199" i="14" s="1"/>
  <c r="W419" i="14"/>
  <c r="X419" i="14" s="1"/>
  <c r="W227" i="14"/>
  <c r="X227" i="14" s="1"/>
  <c r="W399" i="14"/>
  <c r="X399" i="14" s="1"/>
  <c r="W307" i="14"/>
  <c r="X307" i="14" s="1"/>
  <c r="W311" i="14"/>
  <c r="X311" i="14" s="1"/>
  <c r="W415" i="14"/>
  <c r="X415" i="14" s="1"/>
  <c r="W373" i="14"/>
  <c r="X373" i="14" s="1"/>
  <c r="W439" i="14"/>
  <c r="X439" i="14" s="1"/>
  <c r="W339" i="14"/>
  <c r="X339" i="14" s="1"/>
  <c r="W343" i="14"/>
  <c r="X343" i="14" s="1"/>
  <c r="W193" i="14"/>
  <c r="X193" i="14" s="1"/>
  <c r="W447" i="14"/>
  <c r="X447" i="14" s="1"/>
  <c r="W197" i="14"/>
  <c r="X197" i="14" s="1"/>
  <c r="W397" i="14"/>
  <c r="X397" i="14" s="1"/>
  <c r="W463" i="14"/>
  <c r="X463" i="14" s="1"/>
  <c r="W217" i="14"/>
  <c r="X217" i="14" s="1"/>
  <c r="W467" i="14"/>
  <c r="X467" i="14" s="1"/>
  <c r="W371" i="14"/>
  <c r="X371" i="14" s="1"/>
  <c r="W205" i="14"/>
  <c r="X205" i="14" s="1"/>
  <c r="W417" i="14"/>
  <c r="X417" i="14" s="1"/>
  <c r="W403" i="14"/>
  <c r="X403" i="14" s="1"/>
  <c r="W347" i="14"/>
  <c r="X347" i="14" s="1"/>
  <c r="W251" i="14"/>
  <c r="X251" i="14" s="1"/>
  <c r="W605" i="14"/>
  <c r="X605" i="14" s="1"/>
  <c r="H55" i="14" s="1"/>
  <c r="T31" i="40" s="1"/>
  <c r="W409" i="14"/>
  <c r="X409" i="14" s="1"/>
  <c r="W521" i="14"/>
  <c r="X521" i="14" s="1"/>
  <c r="W297" i="14"/>
  <c r="X297" i="14" s="1"/>
  <c r="W317" i="14"/>
  <c r="X317" i="14" s="1"/>
  <c r="W421" i="14"/>
  <c r="X421" i="14" s="1"/>
  <c r="W221" i="14"/>
  <c r="X221" i="14" s="1"/>
  <c r="W369" i="14"/>
  <c r="X369" i="14" s="1"/>
  <c r="W323" i="14"/>
  <c r="X323" i="14" s="1"/>
  <c r="W327" i="14"/>
  <c r="X327" i="14" s="1"/>
  <c r="G77" i="14" s="1"/>
  <c r="W181" i="14"/>
  <c r="X181" i="14" s="1"/>
  <c r="W31" i="14"/>
  <c r="W231" i="14"/>
  <c r="X231" i="14" s="1"/>
  <c r="W385" i="14"/>
  <c r="X385" i="14" s="1"/>
  <c r="G35" i="14" s="1"/>
  <c r="Q11" i="40" s="1"/>
  <c r="W185" i="14"/>
  <c r="X185" i="14" s="1"/>
  <c r="W89" i="14"/>
  <c r="X89" i="14" s="1"/>
  <c r="W239" i="14"/>
  <c r="X239" i="14" s="1"/>
  <c r="W393" i="14"/>
  <c r="X393" i="14" s="1"/>
  <c r="W301" i="14"/>
  <c r="X301" i="14" s="1"/>
  <c r="W55" i="14"/>
  <c r="X55" i="14" s="1"/>
  <c r="F55" i="14" s="1"/>
  <c r="N31" i="40" s="1"/>
  <c r="W59" i="14"/>
  <c r="X59" i="14" s="1"/>
  <c r="W71" i="14"/>
  <c r="X71" i="14" s="1"/>
  <c r="F71" i="14" s="1"/>
  <c r="N47" i="40" s="1"/>
  <c r="W129" i="14"/>
  <c r="X129" i="14" s="1"/>
  <c r="W411" i="14"/>
  <c r="X411" i="14" s="1"/>
  <c r="W189" i="14"/>
  <c r="X189" i="14" s="1"/>
  <c r="W387" i="14"/>
  <c r="X387" i="14" s="1"/>
  <c r="W45" i="14"/>
  <c r="X45" i="14" s="1"/>
  <c r="W349" i="14"/>
  <c r="X349" i="14" s="1"/>
  <c r="W361" i="14"/>
  <c r="X361" i="14" s="1"/>
  <c r="W365" i="14"/>
  <c r="X365" i="14" s="1"/>
  <c r="W289" i="14"/>
  <c r="X289" i="14" s="1"/>
  <c r="W39" i="14"/>
  <c r="X39" i="14" s="1"/>
  <c r="W93" i="14"/>
  <c r="X93" i="14" s="1"/>
  <c r="W43" i="14"/>
  <c r="X43" i="14" s="1"/>
  <c r="W97" i="14"/>
  <c r="X97" i="14" s="1"/>
  <c r="W101" i="14"/>
  <c r="X101" i="14" s="1"/>
  <c r="M11" i="35"/>
  <c r="U18" i="14"/>
  <c r="W283" i="14"/>
  <c r="X283" i="14" s="1"/>
  <c r="W269" i="14"/>
  <c r="X269" i="14" s="1"/>
  <c r="W383" i="14"/>
  <c r="X383" i="14" s="1"/>
  <c r="W241" i="14"/>
  <c r="X241" i="14" s="1"/>
  <c r="W257" i="14"/>
  <c r="X257" i="14" s="1"/>
  <c r="W273" i="14"/>
  <c r="X273" i="14" s="1"/>
  <c r="W337" i="14"/>
  <c r="X337" i="14" s="1"/>
  <c r="W291" i="14"/>
  <c r="X291" i="14" s="1"/>
  <c r="W341" i="14"/>
  <c r="X341" i="14" s="1"/>
  <c r="W295" i="14"/>
  <c r="X295" i="14" s="1"/>
  <c r="W299" i="14"/>
  <c r="X299" i="14" s="1"/>
  <c r="W303" i="14"/>
  <c r="X303" i="14" s="1"/>
  <c r="W353" i="14"/>
  <c r="X353" i="14" s="1"/>
  <c r="W253" i="14"/>
  <c r="X253" i="14" s="1"/>
  <c r="W357" i="14"/>
  <c r="X357" i="14" s="1"/>
  <c r="W407" i="14"/>
  <c r="X407" i="14" s="1"/>
  <c r="W315" i="14"/>
  <c r="X315" i="14" s="1"/>
  <c r="W265" i="14"/>
  <c r="X265" i="14" s="1"/>
  <c r="W319" i="14"/>
  <c r="X319" i="14" s="1"/>
  <c r="W261" i="14"/>
  <c r="X261" i="14" s="1"/>
  <c r="W245" i="14"/>
  <c r="X245" i="14" s="1"/>
  <c r="W233" i="14"/>
  <c r="X233" i="14" s="1"/>
  <c r="W237" i="14"/>
  <c r="X237" i="14" s="1"/>
  <c r="G62" i="14"/>
  <c r="Q38" i="40" s="1"/>
  <c r="G50" i="14"/>
  <c r="Q26" i="40" s="1"/>
  <c r="M5" i="22"/>
  <c r="U13" i="14"/>
  <c r="M8" i="22"/>
  <c r="U14" i="14"/>
  <c r="U10" i="14"/>
  <c r="G66" i="14"/>
  <c r="Q42" i="40" s="1"/>
  <c r="U9" i="14"/>
  <c r="G60" i="14"/>
  <c r="Q36" i="40" s="1"/>
  <c r="G63" i="14"/>
  <c r="Q39" i="40" s="1"/>
  <c r="U12" i="14"/>
  <c r="U5" i="14"/>
  <c r="U4" i="14"/>
  <c r="F38" i="14"/>
  <c r="N14" i="40" s="1"/>
  <c r="M8" i="13"/>
  <c r="U6" i="14"/>
  <c r="D34" i="31"/>
  <c r="K26" i="11"/>
  <c r="G78" i="14"/>
  <c r="Q54" i="40" s="1"/>
  <c r="G54" i="14"/>
  <c r="Q30" i="40" s="1"/>
  <c r="G36" i="14"/>
  <c r="Q12" i="40" s="1"/>
  <c r="G72" i="14"/>
  <c r="Q48" i="40" s="1"/>
  <c r="G68" i="14"/>
  <c r="Q44" i="40" s="1"/>
  <c r="M7" i="22"/>
  <c r="M10" i="22"/>
  <c r="G44" i="14"/>
  <c r="Q20" i="40" s="1"/>
  <c r="U11" i="14"/>
  <c r="G40" i="14"/>
  <c r="Q16" i="40" s="1"/>
  <c r="G70" i="14"/>
  <c r="Q46" i="40" s="1"/>
  <c r="X179" i="14"/>
  <c r="G29" i="14" s="1"/>
  <c r="Q5" i="40" s="1"/>
  <c r="G76" i="14"/>
  <c r="Q52" i="40" s="1"/>
  <c r="M6" i="22"/>
  <c r="F40" i="14"/>
  <c r="N16" i="40" s="1"/>
  <c r="F52" i="14"/>
  <c r="N28" i="40" s="1"/>
  <c r="F48" i="14"/>
  <c r="N24" i="40" s="1"/>
  <c r="F54" i="14"/>
  <c r="F56" i="14"/>
  <c r="N32" i="40" s="1"/>
  <c r="F64" i="14"/>
  <c r="N40" i="40" s="1"/>
  <c r="F73" i="14"/>
  <c r="N49" i="40" s="1"/>
  <c r="F72" i="14"/>
  <c r="N48" i="40" s="1"/>
  <c r="F68" i="14"/>
  <c r="X6" i="14"/>
  <c r="K10" i="13" s="1"/>
  <c r="F74" i="14"/>
  <c r="N50" i="40" s="1"/>
  <c r="F78" i="14"/>
  <c r="N54" i="40" s="1"/>
  <c r="F77" i="14"/>
  <c r="N53" i="40" s="1"/>
  <c r="F70" i="14"/>
  <c r="N46" i="40" s="1"/>
  <c r="F42" i="14"/>
  <c r="N18" i="40" s="1"/>
  <c r="F44" i="14"/>
  <c r="F60" i="14"/>
  <c r="F50" i="14"/>
  <c r="F58" i="14"/>
  <c r="N34" i="40" s="1"/>
  <c r="F62" i="14"/>
  <c r="F76" i="14"/>
  <c r="F46" i="14"/>
  <c r="N22" i="40" s="1"/>
  <c r="T41" i="40"/>
  <c r="T43" i="40"/>
  <c r="G74" i="14"/>
  <c r="Q50" i="40" s="1"/>
  <c r="G30" i="14"/>
  <c r="G42" i="14"/>
  <c r="F41" i="14"/>
  <c r="H40" i="14"/>
  <c r="H72" i="14"/>
  <c r="H46" i="14"/>
  <c r="T22" i="40" s="1"/>
  <c r="H78" i="14"/>
  <c r="T54" i="40" s="1"/>
  <c r="M13" i="35"/>
  <c r="X17" i="14"/>
  <c r="AA30" i="14"/>
  <c r="Y479" i="14" s="1"/>
  <c r="D42" i="31"/>
  <c r="D41" i="31" s="1"/>
  <c r="G37" i="14"/>
  <c r="G58" i="14"/>
  <c r="G34" i="14"/>
  <c r="G56" i="14"/>
  <c r="F53" i="14"/>
  <c r="G32" i="14"/>
  <c r="X9" i="14"/>
  <c r="Q26" i="11" s="1"/>
  <c r="R25" i="11" s="1"/>
  <c r="K22" i="11" s="1"/>
  <c r="D51" i="31" s="1"/>
  <c r="H42" i="14"/>
  <c r="T18" i="40" s="1"/>
  <c r="H74" i="14"/>
  <c r="T50" i="40" s="1"/>
  <c r="H35" i="14"/>
  <c r="T11" i="40" s="1"/>
  <c r="F66" i="14"/>
  <c r="K16" i="11"/>
  <c r="R10" i="39"/>
  <c r="Q1" i="39"/>
  <c r="G52" i="14"/>
  <c r="G46" i="14"/>
  <c r="H30" i="14"/>
  <c r="T6" i="40" s="1"/>
  <c r="G38" i="14"/>
  <c r="G59" i="14"/>
  <c r="G64" i="14"/>
  <c r="G48" i="14"/>
  <c r="G55" i="14"/>
  <c r="X5" i="14"/>
  <c r="D19" i="31"/>
  <c r="F51" i="14" l="1"/>
  <c r="F47" i="14"/>
  <c r="F45" i="14"/>
  <c r="N21" i="40" s="1"/>
  <c r="F65" i="14"/>
  <c r="N41" i="40" s="1"/>
  <c r="F75" i="14"/>
  <c r="N51" i="40" s="1"/>
  <c r="G49" i="14"/>
  <c r="Q25" i="40" s="1"/>
  <c r="G47" i="14"/>
  <c r="Q23" i="40" s="1"/>
  <c r="G75" i="14"/>
  <c r="Q51" i="40" s="1"/>
  <c r="F49" i="14"/>
  <c r="N25" i="40" s="1"/>
  <c r="F39" i="14"/>
  <c r="I39" i="14" s="1"/>
  <c r="AA28" i="14"/>
  <c r="Y29" i="14" s="1"/>
  <c r="G43" i="14"/>
  <c r="Q19" i="40" s="1"/>
  <c r="G67" i="14"/>
  <c r="Q43" i="40" s="1"/>
  <c r="G31" i="14"/>
  <c r="Q7" i="40" s="1"/>
  <c r="G39" i="14"/>
  <c r="Q15" i="40" s="1"/>
  <c r="G45" i="14"/>
  <c r="G65" i="14"/>
  <c r="Q41" i="40" s="1"/>
  <c r="G33" i="14"/>
  <c r="Q9" i="40" s="1"/>
  <c r="G51" i="14"/>
  <c r="Q27" i="40" s="1"/>
  <c r="G71" i="14"/>
  <c r="Q47" i="40" s="1"/>
  <c r="G69" i="14"/>
  <c r="Q45" i="40" s="1"/>
  <c r="F43" i="14"/>
  <c r="N19" i="40" s="1"/>
  <c r="F59" i="14"/>
  <c r="N35" i="40" s="1"/>
  <c r="G73" i="14"/>
  <c r="G61" i="14"/>
  <c r="I61" i="14" s="1"/>
  <c r="G57" i="14"/>
  <c r="Q33" i="40" s="1"/>
  <c r="G53" i="14"/>
  <c r="Q29" i="40" s="1"/>
  <c r="G41" i="14"/>
  <c r="Q17" i="40" s="1"/>
  <c r="AA29" i="14"/>
  <c r="Y179" i="14" s="1"/>
  <c r="X483" i="14"/>
  <c r="X479" i="14"/>
  <c r="H29" i="14" s="1"/>
  <c r="T5" i="40" s="1"/>
  <c r="X481" i="14"/>
  <c r="H31" i="14" s="1"/>
  <c r="T7" i="40" s="1"/>
  <c r="X81" i="14"/>
  <c r="X80" i="14"/>
  <c r="X36" i="14"/>
  <c r="F36" i="14" s="1"/>
  <c r="N12" i="40" s="1"/>
  <c r="X35" i="14"/>
  <c r="F35" i="14" s="1"/>
  <c r="N11" i="40" s="1"/>
  <c r="X34" i="14"/>
  <c r="F34" i="14" s="1"/>
  <c r="N10" i="40" s="1"/>
  <c r="X33" i="14"/>
  <c r="F33" i="14" s="1"/>
  <c r="N9" i="40" s="1"/>
  <c r="X32" i="14"/>
  <c r="F32" i="14" s="1"/>
  <c r="N8" i="40" s="1"/>
  <c r="X31" i="14"/>
  <c r="X29" i="14"/>
  <c r="X30" i="14"/>
  <c r="I63" i="14"/>
  <c r="I57" i="14"/>
  <c r="I67" i="14"/>
  <c r="N44" i="40"/>
  <c r="I68" i="14"/>
  <c r="N30" i="40"/>
  <c r="I54" i="14"/>
  <c r="N26" i="40"/>
  <c r="I50" i="14"/>
  <c r="N38" i="40"/>
  <c r="I62" i="14"/>
  <c r="N36" i="40"/>
  <c r="I60" i="14"/>
  <c r="D21" i="31"/>
  <c r="D17" i="31" s="1"/>
  <c r="I70" i="14"/>
  <c r="N52" i="40"/>
  <c r="I76" i="14"/>
  <c r="N20" i="40"/>
  <c r="I44" i="14"/>
  <c r="I71" i="14"/>
  <c r="Q22" i="40"/>
  <c r="I46" i="14"/>
  <c r="N29" i="40"/>
  <c r="I53" i="14"/>
  <c r="Q13" i="40"/>
  <c r="I37" i="14"/>
  <c r="Q18" i="40"/>
  <c r="I42" i="14"/>
  <c r="Q6" i="40"/>
  <c r="Q37" i="40"/>
  <c r="N42" i="40"/>
  <c r="I66" i="14"/>
  <c r="Q32" i="40"/>
  <c r="I56" i="14"/>
  <c r="Q10" i="40"/>
  <c r="X533" i="14"/>
  <c r="H33" i="14" s="1"/>
  <c r="X583" i="14"/>
  <c r="N17" i="40"/>
  <c r="I41" i="14"/>
  <c r="X7" i="14"/>
  <c r="H1" i="13"/>
  <c r="H10" i="13"/>
  <c r="Q31" i="40"/>
  <c r="I55" i="14"/>
  <c r="Q24" i="40"/>
  <c r="I48" i="14"/>
  <c r="Q35" i="40"/>
  <c r="Q28" i="40"/>
  <c r="I52" i="14"/>
  <c r="J26" i="22"/>
  <c r="J33" i="22"/>
  <c r="J27" i="22"/>
  <c r="K13" i="11"/>
  <c r="H11" i="22"/>
  <c r="N23" i="40"/>
  <c r="I47" i="14"/>
  <c r="Q34" i="40"/>
  <c r="I58" i="14"/>
  <c r="J6" i="35"/>
  <c r="X18" i="14"/>
  <c r="T48" i="40"/>
  <c r="I72" i="14"/>
  <c r="N27" i="40"/>
  <c r="I51" i="14"/>
  <c r="Q21" i="40"/>
  <c r="I45" i="14"/>
  <c r="I74" i="14"/>
  <c r="Q40" i="40"/>
  <c r="I64" i="14"/>
  <c r="Q14" i="40"/>
  <c r="I38" i="14"/>
  <c r="Q8" i="40"/>
  <c r="Q49" i="40"/>
  <c r="I73" i="14"/>
  <c r="I69" i="14"/>
  <c r="I78" i="14"/>
  <c r="T16" i="40"/>
  <c r="I40" i="14"/>
  <c r="Q53" i="40"/>
  <c r="I77" i="14"/>
  <c r="X79" i="14" l="1"/>
  <c r="N15" i="40"/>
  <c r="I75" i="14"/>
  <c r="I49" i="14"/>
  <c r="I43" i="14"/>
  <c r="I65" i="14"/>
  <c r="I59" i="14"/>
  <c r="K24" i="22"/>
  <c r="Q5" i="11"/>
  <c r="Q8" i="11"/>
  <c r="Q7" i="11"/>
  <c r="Q6" i="11"/>
  <c r="F31" i="14"/>
  <c r="N7" i="40" s="1"/>
  <c r="F30" i="14"/>
  <c r="N6" i="40" s="1"/>
  <c r="F29" i="14"/>
  <c r="N5" i="40" s="1"/>
  <c r="I32" i="14"/>
  <c r="I36" i="14"/>
  <c r="I35" i="14"/>
  <c r="I34" i="14"/>
  <c r="I33" i="14"/>
  <c r="T9" i="40"/>
  <c r="D14" i="31"/>
  <c r="D13" i="31" s="1"/>
  <c r="K31" i="22"/>
  <c r="K24" i="11" s="1"/>
  <c r="M10" i="13"/>
  <c r="Q11" i="11"/>
  <c r="K12" i="11"/>
  <c r="Q12" i="11"/>
  <c r="K15" i="11"/>
  <c r="H1" i="35"/>
  <c r="J7" i="35"/>
  <c r="K25" i="11"/>
  <c r="D36" i="31"/>
  <c r="D25" i="31" s="1"/>
  <c r="I31" i="14" l="1"/>
  <c r="V79" i="40"/>
  <c r="I30" i="14"/>
  <c r="N57" i="40"/>
  <c r="I29" i="14"/>
  <c r="X10" i="14"/>
  <c r="H12" i="22" s="1"/>
  <c r="R10" i="11"/>
  <c r="K19" i="11" s="1"/>
  <c r="D49" i="31" s="1"/>
  <c r="K27" i="11"/>
  <c r="K17" i="11"/>
  <c r="R5" i="11"/>
  <c r="K18" i="11" s="1"/>
  <c r="X11" i="14" l="1"/>
  <c r="L11" i="22" s="1"/>
  <c r="H1" i="22"/>
  <c r="K23" i="11"/>
  <c r="W34" i="40" s="1"/>
  <c r="D48" i="31"/>
  <c r="D47" i="31" s="1"/>
  <c r="K37" i="11"/>
  <c r="D63" i="31" s="1"/>
  <c r="H44" i="40"/>
  <c r="K25" i="40"/>
  <c r="E52" i="40"/>
  <c r="H8" i="40"/>
  <c r="K13" i="40"/>
  <c r="H12" i="40"/>
  <c r="H19" i="40"/>
  <c r="K26" i="40"/>
  <c r="H27" i="40"/>
  <c r="K35" i="40"/>
  <c r="H52" i="40"/>
  <c r="K14" i="40"/>
  <c r="E30" i="40"/>
  <c r="K40" i="40"/>
  <c r="H50" i="40"/>
  <c r="K8" i="40"/>
  <c r="K17" i="40"/>
  <c r="E33" i="40"/>
  <c r="K45" i="40"/>
  <c r="E47" i="40"/>
  <c r="K7" i="40"/>
  <c r="E29" i="40"/>
  <c r="H48" i="40"/>
  <c r="H16" i="40"/>
  <c r="K30" i="11"/>
  <c r="D56" i="31" s="1"/>
  <c r="K23" i="40"/>
  <c r="H35" i="40"/>
  <c r="K51" i="40"/>
  <c r="H49" i="40"/>
  <c r="K15" i="40"/>
  <c r="H31" i="40"/>
  <c r="H46" i="40"/>
  <c r="H14" i="40"/>
  <c r="K36" i="11"/>
  <c r="D62" i="31" s="1"/>
  <c r="K21" i="40"/>
  <c r="E35" i="40"/>
  <c r="E40" i="40"/>
  <c r="K16" i="40"/>
  <c r="E48" i="40"/>
  <c r="H29" i="40"/>
  <c r="K37" i="40"/>
  <c r="K5" i="40"/>
  <c r="H7" i="40"/>
  <c r="H41" i="40"/>
  <c r="K10" i="40"/>
  <c r="E26" i="40"/>
  <c r="H9" i="40"/>
  <c r="H25" i="40"/>
  <c r="E50" i="40"/>
  <c r="E8" i="40"/>
  <c r="K34" i="40"/>
  <c r="K32" i="40"/>
  <c r="E32" i="40"/>
  <c r="E12" i="40"/>
  <c r="K34" i="11"/>
  <c r="D60" i="31" s="1"/>
  <c r="E38" i="40"/>
  <c r="H42" i="40"/>
  <c r="E34" i="40"/>
  <c r="E31" i="40"/>
  <c r="H28" i="40"/>
  <c r="K6" i="40"/>
  <c r="H15" i="40"/>
  <c r="E49" i="40"/>
  <c r="E20" i="40"/>
  <c r="K41" i="40"/>
  <c r="H36" i="40"/>
  <c r="H51" i="40"/>
  <c r="E23" i="40"/>
  <c r="K47" i="40"/>
  <c r="H34" i="40"/>
  <c r="K39" i="40"/>
  <c r="H43" i="40"/>
  <c r="E15" i="40"/>
  <c r="K29" i="11"/>
  <c r="D55" i="31" s="1"/>
  <c r="K31" i="40"/>
  <c r="H39" i="40"/>
  <c r="H40" i="40"/>
  <c r="K54" i="40"/>
  <c r="K44" i="40"/>
  <c r="E46" i="40"/>
  <c r="H17" i="40"/>
  <c r="K36" i="40"/>
  <c r="E42" i="40"/>
  <c r="H38" i="40"/>
  <c r="K50" i="40"/>
  <c r="K43" i="40"/>
  <c r="H45" i="40"/>
  <c r="E5" i="40"/>
  <c r="E9" i="40"/>
  <c r="E16" i="40"/>
  <c r="H11" i="40"/>
  <c r="E51" i="40"/>
  <c r="H21" i="40"/>
  <c r="K28" i="40"/>
  <c r="E17" i="40"/>
  <c r="K30" i="40"/>
  <c r="H23" i="40"/>
  <c r="H18" i="40"/>
  <c r="E54" i="40"/>
  <c r="H32" i="40"/>
  <c r="E11" i="40"/>
  <c r="H30" i="40"/>
  <c r="H13" i="40"/>
  <c r="E27" i="40"/>
  <c r="K11" i="40"/>
  <c r="K35" i="11"/>
  <c r="D61" i="31" s="1"/>
  <c r="K20" i="40"/>
  <c r="E10" i="40"/>
  <c r="E37" i="40"/>
  <c r="K12" i="40"/>
  <c r="E13" i="40"/>
  <c r="H33" i="40"/>
  <c r="H26" i="40"/>
  <c r="K49" i="40"/>
  <c r="E45" i="40"/>
  <c r="K46" i="40"/>
  <c r="E7" i="40"/>
  <c r="H47" i="40"/>
  <c r="K42" i="40"/>
  <c r="E22" i="40"/>
  <c r="K33" i="11"/>
  <c r="K24" i="40"/>
  <c r="E36" i="40"/>
  <c r="E18" i="40"/>
  <c r="H6" i="40"/>
  <c r="H24" i="40"/>
  <c r="K22" i="40"/>
  <c r="E25" i="40"/>
  <c r="K28" i="11"/>
  <c r="K29" i="40"/>
  <c r="E39" i="40"/>
  <c r="E21" i="40"/>
  <c r="H54" i="40"/>
  <c r="H22" i="40"/>
  <c r="K18" i="40"/>
  <c r="E24" i="40"/>
  <c r="H5" i="40"/>
  <c r="E19" i="40"/>
  <c r="H53" i="40"/>
  <c r="K27" i="40"/>
  <c r="H37" i="40"/>
  <c r="E6" i="40"/>
  <c r="K53" i="40"/>
  <c r="K48" i="40"/>
  <c r="K31" i="11"/>
  <c r="D57" i="31" s="1"/>
  <c r="K33" i="40"/>
  <c r="E41" i="40"/>
  <c r="H10" i="40"/>
  <c r="K19" i="40"/>
  <c r="H20" i="40"/>
  <c r="E44" i="40"/>
  <c r="K52" i="40"/>
  <c r="K38" i="40"/>
  <c r="E14" i="40"/>
  <c r="E28" i="40"/>
  <c r="E53" i="40"/>
  <c r="K9" i="40"/>
  <c r="E43" i="40"/>
  <c r="W45" i="40" l="1"/>
  <c r="W48" i="40"/>
  <c r="W53" i="40"/>
  <c r="W8" i="40"/>
  <c r="W19" i="40"/>
  <c r="W30" i="40"/>
  <c r="W26" i="40"/>
  <c r="W33" i="40"/>
  <c r="W17" i="40"/>
  <c r="W22" i="40"/>
  <c r="W5" i="40"/>
  <c r="W42" i="40"/>
  <c r="W44" i="40"/>
  <c r="W15" i="40"/>
  <c r="W28" i="40"/>
  <c r="W13" i="40"/>
  <c r="W24" i="40"/>
  <c r="W6" i="40"/>
  <c r="W49" i="40"/>
  <c r="W7" i="40"/>
  <c r="W11" i="40"/>
  <c r="W46" i="40"/>
  <c r="W41" i="40"/>
  <c r="W43" i="40"/>
  <c r="W25" i="40"/>
  <c r="W54" i="40"/>
  <c r="W37" i="40"/>
  <c r="W27" i="40"/>
  <c r="W9" i="40"/>
  <c r="W52" i="40"/>
  <c r="W12" i="40"/>
  <c r="W31" i="40"/>
  <c r="W29" i="40"/>
  <c r="W51" i="40"/>
  <c r="W32" i="40"/>
  <c r="W10" i="40"/>
  <c r="W40" i="40"/>
  <c r="W36" i="40"/>
  <c r="W38" i="40"/>
  <c r="W35" i="40"/>
  <c r="W50" i="40"/>
  <c r="W39" i="40"/>
  <c r="W18" i="40"/>
  <c r="W23" i="40"/>
  <c r="W16" i="40"/>
  <c r="W14" i="40"/>
  <c r="W21" i="40"/>
  <c r="W20" i="40"/>
  <c r="W47" i="40"/>
  <c r="D54" i="31"/>
  <c r="D53" i="31" s="1"/>
  <c r="K32" i="11"/>
  <c r="D59" i="31"/>
  <c r="D58" i="31" s="1"/>
  <c r="K38" i="11"/>
  <c r="E57" i="40"/>
  <c r="V77" i="40"/>
  <c r="K57" i="40"/>
  <c r="V78" i="40"/>
  <c r="D64" i="31" l="1"/>
  <c r="Z20" i="40"/>
  <c r="Z37" i="40"/>
  <c r="Z29" i="40"/>
  <c r="Z12" i="40"/>
  <c r="Z7" i="40"/>
  <c r="K39" i="11"/>
  <c r="Z13" i="40"/>
  <c r="Z19" i="40"/>
  <c r="Z40" i="40"/>
  <c r="Z48" i="40"/>
  <c r="Z51" i="40"/>
  <c r="Z21" i="40"/>
  <c r="Z43" i="40"/>
  <c r="Z5" i="40"/>
  <c r="Z52" i="40"/>
  <c r="Z15" i="40"/>
  <c r="Z24" i="40"/>
  <c r="Z32" i="40"/>
  <c r="Z6" i="40"/>
  <c r="Z41" i="40"/>
  <c r="Z54" i="40"/>
  <c r="Z53" i="40"/>
  <c r="Z47" i="40"/>
  <c r="Z8" i="40"/>
  <c r="Z36" i="40"/>
  <c r="Z14" i="40"/>
  <c r="Z16" i="40"/>
  <c r="Z45" i="40"/>
  <c r="Z39" i="40"/>
  <c r="Z50" i="40"/>
  <c r="Z28" i="40"/>
  <c r="Z26" i="40"/>
  <c r="Z18" i="40"/>
  <c r="Z31" i="40"/>
  <c r="Z11" i="40"/>
  <c r="Z49" i="40"/>
  <c r="Z30" i="40"/>
  <c r="Z23" i="40"/>
  <c r="Z10" i="40"/>
  <c r="Z44" i="40"/>
  <c r="Z25" i="40"/>
  <c r="Z22" i="40"/>
  <c r="Z27" i="40"/>
  <c r="Z17" i="40"/>
  <c r="Z34" i="40"/>
  <c r="Z9" i="40"/>
  <c r="Z38" i="40"/>
  <c r="Z35" i="40"/>
  <c r="Z46" i="40"/>
  <c r="Z33" i="40"/>
  <c r="Z42" i="40"/>
  <c r="AC6" i="40"/>
  <c r="AC15" i="40"/>
  <c r="AC25" i="40"/>
  <c r="AC37" i="40"/>
  <c r="AC5" i="40"/>
  <c r="AC24" i="40"/>
  <c r="AC19" i="40"/>
  <c r="AC39" i="40"/>
  <c r="AC18" i="40"/>
  <c r="AC9" i="40"/>
  <c r="AC42" i="40"/>
  <c r="AC16" i="40"/>
  <c r="AC49" i="40"/>
  <c r="AC8" i="40"/>
  <c r="AC45" i="40"/>
  <c r="AC7" i="40"/>
  <c r="AC32" i="40"/>
  <c r="AC27" i="40"/>
  <c r="AC54" i="40"/>
  <c r="AC10" i="40"/>
  <c r="AC34" i="40"/>
  <c r="AC28" i="40"/>
  <c r="AC29" i="40"/>
  <c r="AC52" i="40"/>
  <c r="AC12" i="40"/>
  <c r="AC30" i="40"/>
  <c r="AC38" i="40"/>
  <c r="AC53" i="40"/>
  <c r="AC51" i="40"/>
  <c r="AC41" i="40"/>
  <c r="AC22" i="40"/>
  <c r="AF22" i="40" s="1"/>
  <c r="AC47" i="40"/>
  <c r="AC46" i="40"/>
  <c r="AC50" i="40"/>
  <c r="AC36" i="40"/>
  <c r="AC11" i="40"/>
  <c r="AC40" i="40"/>
  <c r="AC20" i="40"/>
  <c r="AC26" i="40"/>
  <c r="AC35" i="40"/>
  <c r="AC44" i="40"/>
  <c r="AC17" i="40"/>
  <c r="AC13" i="40"/>
  <c r="AC43" i="40"/>
  <c r="AC21" i="40"/>
  <c r="AC14" i="40"/>
  <c r="AC31" i="40"/>
  <c r="AC33" i="40"/>
  <c r="AC48" i="40"/>
  <c r="AC23" i="40"/>
  <c r="AG22" i="40" l="1"/>
  <c r="AH22" i="40"/>
  <c r="AI22" i="40" s="1"/>
  <c r="AF40" i="40"/>
  <c r="AF18" i="40"/>
  <c r="AF27" i="40"/>
  <c r="AF44" i="40"/>
  <c r="AF42" i="40"/>
  <c r="AF38" i="40"/>
  <c r="AF49" i="40"/>
  <c r="AF26" i="40"/>
  <c r="AF45" i="40"/>
  <c r="AF8" i="40"/>
  <c r="AF41" i="40"/>
  <c r="AF15" i="40"/>
  <c r="AF21" i="40"/>
  <c r="AF19" i="40"/>
  <c r="AF12" i="40"/>
  <c r="AF33" i="40"/>
  <c r="AF9" i="40"/>
  <c r="AF10" i="40"/>
  <c r="AF11" i="40"/>
  <c r="AF28" i="40"/>
  <c r="AF16" i="40"/>
  <c r="AF47" i="40"/>
  <c r="AF6" i="40"/>
  <c r="AF52" i="40"/>
  <c r="AF51" i="40"/>
  <c r="AF13" i="40"/>
  <c r="AF29" i="40"/>
  <c r="AF46" i="40"/>
  <c r="AF34" i="40"/>
  <c r="D65" i="31"/>
  <c r="D66" i="31"/>
  <c r="D67" i="31" s="1"/>
  <c r="AF23" i="40"/>
  <c r="AF31" i="40"/>
  <c r="AF50" i="40"/>
  <c r="AF14" i="40"/>
  <c r="AF53" i="40"/>
  <c r="AF32" i="40"/>
  <c r="AF5" i="40"/>
  <c r="V80" i="40"/>
  <c r="W57" i="40"/>
  <c r="AF48" i="40"/>
  <c r="K41" i="11"/>
  <c r="K42" i="11" s="1"/>
  <c r="J1" i="11"/>
  <c r="K40" i="11"/>
  <c r="AF37" i="40"/>
  <c r="V81" i="40"/>
  <c r="AC57" i="40"/>
  <c r="AF35" i="40"/>
  <c r="AF17" i="40"/>
  <c r="AF25" i="40"/>
  <c r="AF30" i="40"/>
  <c r="AF39" i="40"/>
  <c r="AF36" i="40"/>
  <c r="AF54" i="40"/>
  <c r="AF24" i="40"/>
  <c r="AF43" i="40"/>
  <c r="AF7" i="40"/>
  <c r="AF20" i="40"/>
  <c r="AG43" i="40" l="1"/>
  <c r="AH43" i="40"/>
  <c r="AI43" i="40" s="1"/>
  <c r="AG35" i="40"/>
  <c r="AH35" i="40"/>
  <c r="AI35" i="40" s="1"/>
  <c r="AH23" i="40"/>
  <c r="AI23" i="40" s="1"/>
  <c r="AG23" i="40"/>
  <c r="AG28" i="40"/>
  <c r="AH28" i="40"/>
  <c r="AI28" i="40" s="1"/>
  <c r="AH15" i="40"/>
  <c r="AI15" i="40" s="1"/>
  <c r="AG15" i="40"/>
  <c r="AG44" i="40"/>
  <c r="AH44" i="40"/>
  <c r="AI44" i="40" s="1"/>
  <c r="AF57" i="40"/>
  <c r="AH5" i="40"/>
  <c r="AG5" i="40"/>
  <c r="AH50" i="40"/>
  <c r="AI50" i="40" s="1"/>
  <c r="AG50" i="40"/>
  <c r="AG13" i="40"/>
  <c r="AH13" i="40"/>
  <c r="AI13" i="40" s="1"/>
  <c r="AH47" i="40"/>
  <c r="AI47" i="40" s="1"/>
  <c r="AG47" i="40"/>
  <c r="AH10" i="40"/>
  <c r="AI10" i="40" s="1"/>
  <c r="AG10" i="40"/>
  <c r="AG19" i="40"/>
  <c r="AH19" i="40"/>
  <c r="AI19" i="40" s="1"/>
  <c r="AG8" i="40"/>
  <c r="AH8" i="40"/>
  <c r="AI8" i="40" s="1"/>
  <c r="AG38" i="40"/>
  <c r="AH38" i="40"/>
  <c r="AI38" i="40" s="1"/>
  <c r="AH18" i="40"/>
  <c r="AI18" i="40" s="1"/>
  <c r="AG18" i="40"/>
  <c r="AG46" i="40"/>
  <c r="AH46" i="40"/>
  <c r="AI46" i="40" s="1"/>
  <c r="AG24" i="40"/>
  <c r="AH24" i="40"/>
  <c r="AI24" i="40" s="1"/>
  <c r="AG30" i="40"/>
  <c r="AH30" i="40"/>
  <c r="AI30" i="40" s="1"/>
  <c r="AG20" i="40"/>
  <c r="AH20" i="40"/>
  <c r="AI20" i="40" s="1"/>
  <c r="AG54" i="40"/>
  <c r="AH54" i="40"/>
  <c r="AI54" i="40" s="1"/>
  <c r="AG25" i="40"/>
  <c r="AH25" i="40"/>
  <c r="AI25" i="40" s="1"/>
  <c r="AG7" i="40"/>
  <c r="AH7" i="40"/>
  <c r="AI7" i="40" s="1"/>
  <c r="AG36" i="40"/>
  <c r="AH36" i="40"/>
  <c r="AI36" i="40" s="1"/>
  <c r="AG17" i="40"/>
  <c r="AH17" i="40"/>
  <c r="AI17" i="40" s="1"/>
  <c r="AG37" i="40"/>
  <c r="AH37" i="40"/>
  <c r="AI37" i="40" s="1"/>
  <c r="AH48" i="40"/>
  <c r="AI48" i="40" s="1"/>
  <c r="AG48" i="40"/>
  <c r="AG32" i="40"/>
  <c r="AH32" i="40"/>
  <c r="AI32" i="40" s="1"/>
  <c r="AH31" i="40"/>
  <c r="AI31" i="40" s="1"/>
  <c r="AG31" i="40"/>
  <c r="AH34" i="40"/>
  <c r="AI34" i="40" s="1"/>
  <c r="AG34" i="40"/>
  <c r="AG51" i="40"/>
  <c r="AH51" i="40"/>
  <c r="AI51" i="40" s="1"/>
  <c r="AG16" i="40"/>
  <c r="AH16" i="40"/>
  <c r="AI16" i="40" s="1"/>
  <c r="AG9" i="40"/>
  <c r="AH9" i="40"/>
  <c r="AI9" i="40" s="1"/>
  <c r="AG21" i="40"/>
  <c r="AH21" i="40"/>
  <c r="AI21" i="40" s="1"/>
  <c r="AH45" i="40"/>
  <c r="AI45" i="40" s="1"/>
  <c r="AG45" i="40"/>
  <c r="AH42" i="40"/>
  <c r="AI42" i="40" s="1"/>
  <c r="AG42" i="40"/>
  <c r="AG40" i="40"/>
  <c r="AH40" i="40"/>
  <c r="AI40" i="40" s="1"/>
  <c r="AH39" i="40"/>
  <c r="AI39" i="40" s="1"/>
  <c r="AG39" i="40"/>
  <c r="AH53" i="40"/>
  <c r="AI53" i="40" s="1"/>
  <c r="AG53" i="40"/>
  <c r="AG52" i="40"/>
  <c r="AH52" i="40"/>
  <c r="AI52" i="40" s="1"/>
  <c r="AG33" i="40"/>
  <c r="AH33" i="40"/>
  <c r="AI33" i="40" s="1"/>
  <c r="AH26" i="40"/>
  <c r="AI26" i="40" s="1"/>
  <c r="AG26" i="40"/>
  <c r="AG14" i="40"/>
  <c r="AH14" i="40"/>
  <c r="AI14" i="40" s="1"/>
  <c r="AG29" i="40"/>
  <c r="AH29" i="40"/>
  <c r="AI29" i="40" s="1"/>
  <c r="AH6" i="40"/>
  <c r="AI6" i="40" s="1"/>
  <c r="AG6" i="40"/>
  <c r="AG11" i="40"/>
  <c r="AH11" i="40"/>
  <c r="AI11" i="40" s="1"/>
  <c r="AG12" i="40"/>
  <c r="AH12" i="40"/>
  <c r="AI12" i="40" s="1"/>
  <c r="AG41" i="40"/>
  <c r="AH41" i="40"/>
  <c r="AI41" i="40" s="1"/>
  <c r="AG49" i="40"/>
  <c r="AH49" i="40"/>
  <c r="AI49" i="40" s="1"/>
  <c r="AG27" i="40"/>
  <c r="AH27" i="40"/>
  <c r="AI27" i="40" s="1"/>
  <c r="AI5" i="40" l="1"/>
  <c r="AI57" i="40" s="1"/>
  <c r="AH57" i="40"/>
  <c r="AG57" i="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Ramappa, Abhilash (Cognizant)</author>
  </authors>
  <commentList>
    <comment ref="H3" authorId="0" shapeId="0" xr:uid="{00000000-0006-0000-0100-000001000000}">
      <text>
        <r>
          <rPr>
            <b/>
            <sz val="9"/>
            <color indexed="81"/>
            <rFont val="Tahoma"/>
            <family val="2"/>
          </rPr>
          <t>Ramappa, Abhilash (Cognizant):</t>
        </r>
        <r>
          <rPr>
            <sz val="9"/>
            <color indexed="81"/>
            <rFont val="Tahoma"/>
            <family val="2"/>
          </rPr>
          <t xml:space="preserve">
Enter the number of actual pages being developed based on the given templates. </t>
        </r>
      </text>
    </comment>
    <comment ref="K4" authorId="0" shapeId="0" xr:uid="{00000000-0006-0000-0100-000002000000}">
      <text>
        <r>
          <rPr>
            <b/>
            <sz val="9"/>
            <color indexed="81"/>
            <rFont val="Tahoma"/>
            <family val="2"/>
          </rPr>
          <t>Ramappa, Abhilash (Cognizant):</t>
        </r>
        <r>
          <rPr>
            <sz val="9"/>
            <color indexed="81"/>
            <rFont val="Tahoma"/>
            <family val="2"/>
          </rPr>
          <t xml:space="preserve">
Assimilation Effort will automatically optimize based on the Page Count entered.</t>
        </r>
      </text>
    </comment>
    <comment ref="I13" authorId="0" shapeId="0" xr:uid="{00000000-0006-0000-0100-000003000000}">
      <text>
        <r>
          <rPr>
            <b/>
            <sz val="9"/>
            <color indexed="81"/>
            <rFont val="Tahoma"/>
            <family val="2"/>
          </rPr>
          <t>Ramappa, Abhilash (Cognizant):</t>
        </r>
        <r>
          <rPr>
            <sz val="9"/>
            <color indexed="81"/>
            <rFont val="Tahoma"/>
            <family val="2"/>
          </rPr>
          <t xml:space="preserve">
This selection by default will be "No".
Select "No" to - 
1. Populate Scope Effort automatically based on Asset Scope Breakdown to the left of the screen.
Select "Yes" to -
1. Populate Scope Effort manually by entering values below this selection. 
Manual override may be used for - 
1. A ROM estimate
2. An estimate with items too many to list in Asset Scope Breakdown. 
</t>
        </r>
        <r>
          <rPr>
            <b/>
            <sz val="9"/>
            <color indexed="81"/>
            <rFont val="Tahoma"/>
            <family val="2"/>
          </rPr>
          <t>Note:</t>
        </r>
        <r>
          <rPr>
            <sz val="9"/>
            <color indexed="81"/>
            <rFont val="Tahoma"/>
            <family val="2"/>
          </rPr>
          <t xml:space="preserve">
It is advisable to enter Asset Scope Breakdown to derive a pattern beforing using the manual override to fill the overall pattern.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Ramappa, Abhilash (Cognizant)</author>
  </authors>
  <commentList>
    <comment ref="H14" authorId="0" shapeId="0" xr:uid="{00000000-0006-0000-0200-000001000000}">
      <text>
        <r>
          <rPr>
            <b/>
            <sz val="9"/>
            <color indexed="81"/>
            <rFont val="Tahoma"/>
            <family val="2"/>
          </rPr>
          <t>Ramappa, Abhilash (Cognizant):</t>
        </r>
        <r>
          <rPr>
            <sz val="9"/>
            <color indexed="81"/>
            <rFont val="Tahoma"/>
            <family val="2"/>
          </rPr>
          <t xml:space="preserve">
This selection by default will be "No".
Select "No" to - 
1. Populate Scope Effort automatically based on Asset Scope Breakdown.
Select "Yes" to -
1. Populate Scope Effort by entering values below this selection manually. 
Manual override may be used for - 
1. A ROM estimate
2. An estimate with items too many to list in Asset Scope Breakdown. 
It is advisable to enter Asset Scope Breakdown to derive a pattern which can be used to enter the manual numbers. </t>
        </r>
      </text>
    </comment>
    <comment ref="I32" authorId="0" shapeId="0" xr:uid="{00000000-0006-0000-0200-000002000000}">
      <text>
        <r>
          <rPr>
            <b/>
            <sz val="9"/>
            <color indexed="81"/>
            <rFont val="Tahoma"/>
            <family val="2"/>
          </rPr>
          <t xml:space="preserve">Ramappa, Abhilash (Cognizant):
</t>
        </r>
        <r>
          <rPr>
            <sz val="9"/>
            <color indexed="81"/>
            <rFont val="Tahoma"/>
            <family val="2"/>
          </rPr>
          <t xml:space="preserve">
Enter the number of REST services being simulated.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Ramappa, Abhilash (Cognizant)</author>
  </authors>
  <commentList>
    <comment ref="I4" authorId="0" shapeId="0" xr:uid="{00000000-0006-0000-0300-000001000000}">
      <text>
        <r>
          <rPr>
            <b/>
            <sz val="9"/>
            <color indexed="81"/>
            <rFont val="Tahoma"/>
            <family val="2"/>
          </rPr>
          <t>Ramappa, Abhilash (Cognizant):</t>
        </r>
        <r>
          <rPr>
            <sz val="9"/>
            <color indexed="81"/>
            <rFont val="Tahoma"/>
            <family val="2"/>
          </rPr>
          <t xml:space="preserve">
Enter no. of devices being tested.
</t>
        </r>
      </text>
    </comment>
    <comment ref="H15" authorId="0" shapeId="0" xr:uid="{00000000-0006-0000-0300-000002000000}">
      <text>
        <r>
          <rPr>
            <b/>
            <sz val="9"/>
            <color indexed="81"/>
            <rFont val="Tahoma"/>
            <family val="2"/>
          </rPr>
          <t>Ramappa, Abhilash (Cognizant):</t>
        </r>
        <r>
          <rPr>
            <sz val="9"/>
            <color indexed="81"/>
            <rFont val="Tahoma"/>
            <family val="2"/>
          </rPr>
          <t xml:space="preserve">
This selection by default will be "No".
Select "No" to - 
1. Populate Scope Effort automatically based on Asset Scope Breakdown.
Select "Yes" to -
1. Populate Scope Effort by entering values below this selection manually. 
Manual override may be used for - 
1. A ROM estimate
2. An estimate with items too many to list in Asset Scope Breakdown. 
It is advisable to enter Asset Scope Breakdown to derive a pattern which can be used to enter the manual numbers.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Ramappa, Abhilash (Cognizant)</author>
  </authors>
  <commentList>
    <comment ref="P11" authorId="0" shapeId="0" xr:uid="{00000000-0006-0000-0600-000001000000}">
      <text>
        <r>
          <rPr>
            <b/>
            <sz val="9"/>
            <color indexed="81"/>
            <rFont val="Tahoma"/>
            <family val="2"/>
          </rPr>
          <t>Ramappa, Abhilash (Cognizant):</t>
        </r>
        <r>
          <rPr>
            <sz val="9"/>
            <color indexed="81"/>
            <rFont val="Tahoma"/>
            <family val="2"/>
          </rPr>
          <t xml:space="preserve">
Enter no. of devices being tested.</t>
        </r>
      </text>
    </comment>
    <comment ref="N17" authorId="0" shapeId="0" xr:uid="{00000000-0006-0000-0600-000002000000}">
      <text>
        <r>
          <rPr>
            <b/>
            <sz val="9"/>
            <color indexed="81"/>
            <rFont val="Tahoma"/>
            <family val="2"/>
          </rPr>
          <t>Ramappa, Abhilash (Cognizant):</t>
        </r>
        <r>
          <rPr>
            <sz val="9"/>
            <color indexed="81"/>
            <rFont val="Tahoma"/>
            <family val="2"/>
          </rPr>
          <t xml:space="preserve">
Use for the following - 
- CSS updates to support IE8
- Testing overhead for IE8</t>
        </r>
      </text>
    </comment>
    <comment ref="P18" authorId="0" shapeId="0" xr:uid="{00000000-0006-0000-0600-000003000000}">
      <text>
        <r>
          <rPr>
            <b/>
            <sz val="9"/>
            <color indexed="81"/>
            <rFont val="Tahoma"/>
            <family val="2"/>
          </rPr>
          <t>Ramappa, Abhilash (Cognizant):</t>
        </r>
        <r>
          <rPr>
            <sz val="9"/>
            <color indexed="81"/>
            <rFont val="Tahoma"/>
            <family val="2"/>
          </rPr>
          <t xml:space="preserve">
Enter no. of languages being tested or supported.</t>
        </r>
      </text>
    </comment>
    <comment ref="N19" authorId="0" shapeId="0" xr:uid="{00000000-0006-0000-0600-000004000000}">
      <text>
        <r>
          <rPr>
            <b/>
            <sz val="9"/>
            <color indexed="81"/>
            <rFont val="Tahoma"/>
            <family val="2"/>
          </rPr>
          <t>Ramappa, Abhilash (Cognizant):</t>
        </r>
        <r>
          <rPr>
            <sz val="9"/>
            <color indexed="81"/>
            <rFont val="Tahoma"/>
            <family val="2"/>
          </rPr>
          <t xml:space="preserve">
Use for the following - 
- Creating new CSS to support Right-to-left design, such as for Arabic.
- Testing overhead after R2L transformation.</t>
        </r>
      </text>
    </comment>
    <comment ref="P19" authorId="0" shapeId="0" xr:uid="{00000000-0006-0000-0600-000005000000}">
      <text>
        <r>
          <rPr>
            <b/>
            <sz val="9"/>
            <color indexed="81"/>
            <rFont val="Tahoma"/>
            <family val="2"/>
          </rPr>
          <t>Ramappa, Abhilash (Cognizant):</t>
        </r>
        <r>
          <rPr>
            <sz val="9"/>
            <color indexed="81"/>
            <rFont val="Tahoma"/>
            <family val="2"/>
          </rPr>
          <t xml:space="preserve">
Enter no. of languages being tested or supported.</t>
        </r>
      </text>
    </comment>
    <comment ref="P22" authorId="0" shapeId="0" xr:uid="{00000000-0006-0000-0600-000006000000}">
      <text>
        <r>
          <rPr>
            <b/>
            <sz val="9"/>
            <color indexed="81"/>
            <rFont val="Tahoma"/>
            <family val="2"/>
          </rPr>
          <t>Ramappa, Abhilash (Cognizant):</t>
        </r>
        <r>
          <rPr>
            <sz val="9"/>
            <color indexed="81"/>
            <rFont val="Tahoma"/>
            <family val="2"/>
          </rPr>
          <t xml:space="preserve">
Enter no. of devices being tested.
</t>
        </r>
      </text>
    </comment>
    <comment ref="E28" authorId="0" shapeId="0" xr:uid="{00000000-0006-0000-0600-000007000000}">
      <text>
        <r>
          <rPr>
            <b/>
            <sz val="9"/>
            <color indexed="81"/>
            <rFont val="Tahoma"/>
            <family val="2"/>
          </rPr>
          <t>Ramappa, Abhilash (Cognizant):</t>
        </r>
        <r>
          <rPr>
            <sz val="9"/>
            <color indexed="81"/>
            <rFont val="Tahoma"/>
            <family val="2"/>
          </rPr>
          <t xml:space="preserve">
</t>
        </r>
        <r>
          <rPr>
            <b/>
            <sz val="9"/>
            <color indexed="81"/>
            <rFont val="Tahoma"/>
            <family val="2"/>
          </rPr>
          <t>Recommended:</t>
        </r>
        <r>
          <rPr>
            <sz val="9"/>
            <color indexed="81"/>
            <rFont val="Tahoma"/>
            <family val="2"/>
          </rPr>
          <t xml:space="preserve"> Set this field to 0% and instead directly update the ResourceLoad sheet.
Percentage-based effort calculation of Integration resource if often insufficent in real-world scenario. 
Integration is very contextual to the period of development and period of support being asked by other teams. 
Hence, discuss with other stakeholders on the duration and decide on the number of resources required.</t>
        </r>
      </text>
    </comment>
    <comment ref="P31" authorId="0" shapeId="0" xr:uid="{00000000-0006-0000-0600-000008000000}">
      <text>
        <r>
          <rPr>
            <b/>
            <sz val="9"/>
            <color indexed="81"/>
            <rFont val="Tahoma"/>
            <family val="2"/>
          </rPr>
          <t>Ramappa, Abhilash (Cognizant):</t>
        </r>
        <r>
          <rPr>
            <sz val="9"/>
            <color indexed="81"/>
            <rFont val="Tahoma"/>
            <family val="2"/>
          </rPr>
          <t xml:space="preserve">
Enter the number of presentations being created.
This may include time taken to prepare demos.</t>
        </r>
      </text>
    </comment>
    <comment ref="P33" authorId="0" shapeId="0" xr:uid="{00000000-0006-0000-0600-000009000000}">
      <text>
        <r>
          <rPr>
            <b/>
            <sz val="9"/>
            <color indexed="81"/>
            <rFont val="Tahoma"/>
            <family val="2"/>
          </rPr>
          <t xml:space="preserve">Ramappa, Abhilash (Cognizant):
</t>
        </r>
        <r>
          <rPr>
            <sz val="9"/>
            <color indexed="81"/>
            <rFont val="Tahoma"/>
            <family val="2"/>
          </rPr>
          <t xml:space="preserve">
Enter the number of screens applicable for testing.
</t>
        </r>
      </text>
    </comment>
    <comment ref="E35" authorId="0" shapeId="0" xr:uid="{00000000-0006-0000-0600-00000A000000}">
      <text>
        <r>
          <rPr>
            <b/>
            <sz val="9"/>
            <color indexed="81"/>
            <rFont val="Tahoma"/>
            <family val="2"/>
          </rPr>
          <t>Ramappa, Abhilash (Cognizant):</t>
        </r>
        <r>
          <rPr>
            <sz val="9"/>
            <color indexed="81"/>
            <rFont val="Tahoma"/>
            <family val="2"/>
          </rPr>
          <t xml:space="preserve">
Consider this field if the requirement is for Agile Development. 
Due to higher activity-potential of Agile development per Sprint, 5-8% may be employed to this field. </t>
        </r>
      </text>
    </comment>
    <comment ref="E36" authorId="0" shapeId="0" xr:uid="{00000000-0006-0000-0600-00000B000000}">
      <text>
        <r>
          <rPr>
            <b/>
            <sz val="9"/>
            <color indexed="81"/>
            <rFont val="Tahoma"/>
            <family val="2"/>
          </rPr>
          <t>Ramappa, Abhilash (Cognizant):</t>
        </r>
        <r>
          <rPr>
            <sz val="9"/>
            <color indexed="81"/>
            <rFont val="Tahoma"/>
            <family val="2"/>
          </rPr>
          <t xml:space="preserve">
</t>
        </r>
        <r>
          <rPr>
            <b/>
            <sz val="9"/>
            <color indexed="81"/>
            <rFont val="Tahoma"/>
            <family val="2"/>
          </rPr>
          <t>Recommended:</t>
        </r>
        <r>
          <rPr>
            <sz val="9"/>
            <color indexed="81"/>
            <rFont val="Tahoma"/>
            <family val="2"/>
          </rPr>
          <t xml:space="preserve"> Set this field to 0% and instead directly update the ResourceLoad sheet.
Please use for the following scenario / effort - 
1. Scheduling
2. Resource Management
3. Sessions, Workshops, Seminars 
4. Client / Account meetings, discussions
5. Extraneous activities (Company related)
6. Standup / Adhoc Meetings (Project specific)
7. Location / Onsite Meetings
Please use values as per the requirements of the project, typically values against the duration of the project and </t>
        </r>
        <r>
          <rPr>
            <b/>
            <sz val="9"/>
            <color indexed="81"/>
            <rFont val="Tahoma"/>
            <family val="2"/>
          </rPr>
          <t>not against</t>
        </r>
        <r>
          <rPr>
            <sz val="9"/>
            <color indexed="81"/>
            <rFont val="Tahoma"/>
            <family val="2"/>
          </rPr>
          <t xml:space="preserve"> the effort for UI development.
Ex: Project duration is 60 business days. PM activities allocated per day is 2 hrs. Therefore, 120 hrs of PMO.</t>
        </r>
      </text>
    </comment>
    <comment ref="E37" authorId="0" shapeId="0" xr:uid="{00000000-0006-0000-0600-00000C000000}">
      <text>
        <r>
          <rPr>
            <b/>
            <sz val="9"/>
            <color indexed="81"/>
            <rFont val="Tahoma"/>
            <family val="2"/>
          </rPr>
          <t>Ramappa, Abhilash (Cognizant):</t>
        </r>
        <r>
          <rPr>
            <sz val="9"/>
            <color indexed="81"/>
            <rFont val="Tahoma"/>
            <family val="2"/>
          </rPr>
          <t xml:space="preserve">
</t>
        </r>
        <r>
          <rPr>
            <b/>
            <sz val="9"/>
            <color indexed="81"/>
            <rFont val="Tahoma"/>
            <family val="2"/>
          </rPr>
          <t>Recommended:</t>
        </r>
        <r>
          <rPr>
            <sz val="9"/>
            <color indexed="81"/>
            <rFont val="Tahoma"/>
            <family val="2"/>
          </rPr>
          <t xml:space="preserve"> Set this field to 0% and instead directly update the ResourceLoad sheet.
Applicable scenarios - 
1. If Account estimated a contingency of X% for the whole project then please use standard 5%.
2. If not estimated at an overall project level then please use standard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Ramappa, Abhilash (Cognizant)</author>
  </authors>
  <commentList>
    <comment ref="B4" authorId="0" shapeId="0" xr:uid="{00000000-0006-0000-0700-000001000000}">
      <text>
        <r>
          <rPr>
            <b/>
            <sz val="9"/>
            <color indexed="81"/>
            <rFont val="Tahoma"/>
            <family val="2"/>
          </rPr>
          <t>Ramappa, Abhilash (Cognizant):</t>
        </r>
        <r>
          <rPr>
            <sz val="9"/>
            <color indexed="81"/>
            <rFont val="Tahoma"/>
            <family val="2"/>
          </rPr>
          <t xml:space="preserve">
Use the cells below to define the Module name and it will reflect on the right of the screen)
Currently, 50 Modules have been hard-coded. If your estimate exceeds the given limit then create a new estimate with the delta.
If no name is given, the right-side cells will default to MVP-*count*</t>
        </r>
      </text>
    </comment>
    <comment ref="E4" authorId="0" shapeId="0" xr:uid="{00000000-0006-0000-0700-000002000000}">
      <text>
        <r>
          <rPr>
            <b/>
            <sz val="9"/>
            <color indexed="81"/>
            <rFont val="Tahoma"/>
            <family val="2"/>
          </rPr>
          <t>Ramappa, Abhilash (Cognizant):</t>
        </r>
        <r>
          <rPr>
            <sz val="9"/>
            <color indexed="81"/>
            <rFont val="Tahoma"/>
            <family val="2"/>
          </rPr>
          <t xml:space="preserve">
Frequency in Scope-UI not added in this sheet. Numbers may be slightly off from the WBS overall score.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Ramappa, Abhilash (Cognizant)</author>
  </authors>
  <commentList>
    <comment ref="W4" authorId="0" shapeId="0" xr:uid="{00000000-0006-0000-0800-000001000000}">
      <text>
        <r>
          <rPr>
            <b/>
            <sz val="9"/>
            <color indexed="81"/>
            <rFont val="Tahoma"/>
            <family val="2"/>
          </rPr>
          <t>Ramappa, Abhilash (Cognizant):</t>
        </r>
        <r>
          <rPr>
            <sz val="9"/>
            <color indexed="81"/>
            <rFont val="Tahoma"/>
            <family val="2"/>
          </rPr>
          <t xml:space="preserve">
Complexity Average per Page</t>
        </r>
      </text>
    </comment>
    <comment ref="W20" authorId="0" shapeId="0" xr:uid="{00000000-0006-0000-0800-000002000000}">
      <text>
        <r>
          <rPr>
            <b/>
            <sz val="9"/>
            <color indexed="81"/>
            <rFont val="Tahoma"/>
            <family val="2"/>
          </rPr>
          <t>Ramappa, Abhilash (Cognizant):</t>
        </r>
        <r>
          <rPr>
            <sz val="9"/>
            <color indexed="81"/>
            <rFont val="Tahoma"/>
            <family val="2"/>
          </rPr>
          <t xml:space="preserve">
Manual Override value</t>
        </r>
      </text>
    </comment>
    <comment ref="X28" authorId="0" shapeId="0" xr:uid="{00000000-0006-0000-0800-000003000000}">
      <text>
        <r>
          <rPr>
            <b/>
            <sz val="9"/>
            <color indexed="81"/>
            <rFont val="Tahoma"/>
            <family val="2"/>
          </rPr>
          <t>Ramappa, Abhilash (Cognizant):</t>
        </r>
        <r>
          <rPr>
            <sz val="9"/>
            <color indexed="81"/>
            <rFont val="Tahoma"/>
            <family val="2"/>
          </rPr>
          <t xml:space="preserve">
</t>
        </r>
        <r>
          <rPr>
            <b/>
            <sz val="9"/>
            <color indexed="81"/>
            <rFont val="Tahoma"/>
            <family val="2"/>
          </rPr>
          <t>UI</t>
        </r>
        <r>
          <rPr>
            <sz val="9"/>
            <color indexed="81"/>
            <rFont val="Tahoma"/>
            <family val="2"/>
          </rPr>
          <t xml:space="preserve"> - Page Effort addon
</t>
        </r>
        <r>
          <rPr>
            <b/>
            <sz val="9"/>
            <color indexed="81"/>
            <rFont val="Tahoma"/>
            <family val="2"/>
          </rPr>
          <t>SPA</t>
        </r>
        <r>
          <rPr>
            <sz val="9"/>
            <color indexed="81"/>
            <rFont val="Tahoma"/>
            <family val="2"/>
          </rPr>
          <t xml:space="preserve"> - Catalogue SPA addons
</t>
        </r>
        <r>
          <rPr>
            <b/>
            <sz val="9"/>
            <color indexed="81"/>
            <rFont val="Tahoma"/>
            <family val="2"/>
          </rPr>
          <t>Hybrid</t>
        </r>
        <r>
          <rPr>
            <sz val="9"/>
            <color indexed="81"/>
            <rFont val="Tahoma"/>
            <family val="2"/>
          </rPr>
          <t xml:space="preserve"> - iOS and Android scaffolding addons
Addon values have been averaged against each MVP.</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Ramappa, Abhilash (Cognizant)</author>
  </authors>
  <commentList>
    <comment ref="F7" authorId="0" shapeId="0" xr:uid="{00000000-0006-0000-0900-000001000000}">
      <text>
        <r>
          <rPr>
            <b/>
            <sz val="9"/>
            <color indexed="81"/>
            <rFont val="Tahoma"/>
            <family val="2"/>
          </rPr>
          <t>Ramappa, Abhilash (Cognizant):</t>
        </r>
        <r>
          <rPr>
            <sz val="9"/>
            <color indexed="81"/>
            <rFont val="Tahoma"/>
            <family val="2"/>
          </rPr>
          <t xml:space="preserve">
Simulated or Developed.
This value can indicate page creation tryout in a designated Portal or CMS system.
This value can also indicate actual page development (not to be confused with Simulation).</t>
        </r>
      </text>
    </comment>
    <comment ref="F29" authorId="0" shapeId="0" xr:uid="{00000000-0006-0000-0900-000002000000}">
      <text>
        <r>
          <rPr>
            <b/>
            <sz val="9"/>
            <color indexed="81"/>
            <rFont val="Tahoma"/>
            <family val="2"/>
          </rPr>
          <t>Ramappa, Abhilash (Cognizant):</t>
        </r>
        <r>
          <rPr>
            <sz val="9"/>
            <color indexed="81"/>
            <rFont val="Tahoma"/>
            <family val="2"/>
          </rPr>
          <t xml:space="preserve">
Simulated or Developed.
This value can indicate page creation tryout in a designated Portal or CMS system.
This value can also indicate actual page development (not to be confused with Simulation).</t>
        </r>
      </text>
    </comment>
  </commentList>
</comments>
</file>

<file path=xl/sharedStrings.xml><?xml version="1.0" encoding="utf-8"?>
<sst xmlns="http://schemas.openxmlformats.org/spreadsheetml/2006/main" count="1014" uniqueCount="581">
  <si>
    <t>Medium</t>
  </si>
  <si>
    <t>Build Effort</t>
  </si>
  <si>
    <t>Count</t>
  </si>
  <si>
    <t>Templates</t>
  </si>
  <si>
    <t>Integration Support</t>
  </si>
  <si>
    <t>Components</t>
  </si>
  <si>
    <t>Complexity</t>
  </si>
  <si>
    <t>Warranty/Post Production Support</t>
  </si>
  <si>
    <t>Google Chrome30+</t>
  </si>
  <si>
    <t>NA</t>
  </si>
  <si>
    <t>UI</t>
  </si>
  <si>
    <t>Support</t>
  </si>
  <si>
    <t>Date</t>
  </si>
  <si>
    <t>Project Name</t>
  </si>
  <si>
    <t>Deployment (SIT / UAT Staging and Production)</t>
  </si>
  <si>
    <t>Mobile Devices</t>
  </si>
  <si>
    <t>Tablet Devices</t>
  </si>
  <si>
    <t>Legacy Device Support</t>
  </si>
  <si>
    <t>Firefox 30+</t>
  </si>
  <si>
    <t>Safari 6+</t>
  </si>
  <si>
    <t>Opera 11+</t>
  </si>
  <si>
    <t>Low</t>
  </si>
  <si>
    <t>High</t>
  </si>
  <si>
    <t>Content Placement</t>
  </si>
  <si>
    <t>Bespoke Screens</t>
  </si>
  <si>
    <t>Factor</t>
  </si>
  <si>
    <t>Scope Effort</t>
  </si>
  <si>
    <t>Total</t>
  </si>
  <si>
    <t>Initiation Effort</t>
  </si>
  <si>
    <t>Effort (in hrs)</t>
  </si>
  <si>
    <t>Compute?</t>
  </si>
  <si>
    <t>Compute</t>
  </si>
  <si>
    <t>Yes</t>
  </si>
  <si>
    <t>No</t>
  </si>
  <si>
    <t>Catalog</t>
  </si>
  <si>
    <t>Process Tasks</t>
  </si>
  <si>
    <t>Initiation</t>
  </si>
  <si>
    <t>Effort</t>
  </si>
  <si>
    <t>Assimilation Effort</t>
  </si>
  <si>
    <t>Estimation Author</t>
  </si>
  <si>
    <t>UI Estimation</t>
  </si>
  <si>
    <t>Scope-UI</t>
  </si>
  <si>
    <t>Accessibility Test Plan</t>
  </si>
  <si>
    <t>Accessibility Test Report</t>
  </si>
  <si>
    <t>Accessibility</t>
  </si>
  <si>
    <t>GUI Test Case Plan</t>
  </si>
  <si>
    <t>GUI Test Care Report</t>
  </si>
  <si>
    <t xml:space="preserve">JS Interaction Modules </t>
  </si>
  <si>
    <t>Manual Override</t>
  </si>
  <si>
    <t>JavaScript MVC</t>
  </si>
  <si>
    <t>Factory and Services</t>
  </si>
  <si>
    <t>View Creation</t>
  </si>
  <si>
    <t>Controller and Event Handling</t>
  </si>
  <si>
    <t>Directives &amp; Widgets</t>
  </si>
  <si>
    <r>
      <rPr>
        <b/>
        <sz val="10"/>
        <color theme="1"/>
        <rFont val="Calibri"/>
        <family val="2"/>
        <scheme val="minor"/>
      </rPr>
      <t>Low</t>
    </r>
    <r>
      <rPr>
        <sz val="10"/>
        <color theme="1"/>
        <rFont val="Calibri"/>
        <family val="2"/>
        <scheme val="minor"/>
      </rPr>
      <t xml:space="preserve"> 
Bespoke grid and CSS.
Limited RWD with simple column stacking. 
No container manipulation on devices.
Bespoke visual design.
Fixed or fluid layout.
1-3 components.
Simple animations and validation.
Limited backward compatibility if RWD.
</t>
    </r>
    <r>
      <rPr>
        <b/>
        <sz val="10"/>
        <color theme="1"/>
        <rFont val="Calibri"/>
        <family val="2"/>
        <scheme val="minor"/>
      </rPr>
      <t>Medium</t>
    </r>
    <r>
      <rPr>
        <sz val="10"/>
        <color theme="1"/>
        <rFont val="Calibri"/>
        <family val="2"/>
        <scheme val="minor"/>
      </rPr>
      <t xml:space="preserve">
Bespoke grid and CSS.
RWD with 2-3 major and minor breakpoints (or) simple column stacking across multiple breakpoints.
Limited container manipulation on devices (show &amp; hide).
Fixed or fluid layout.
Limited backward compatibility if RWD.
</t>
    </r>
    <r>
      <rPr>
        <b/>
        <sz val="10"/>
        <color theme="1"/>
        <rFont val="Calibri"/>
        <family val="2"/>
        <scheme val="minor"/>
      </rPr>
      <t xml:space="preserve">High
</t>
    </r>
    <r>
      <rPr>
        <sz val="10"/>
        <color theme="1"/>
        <rFont val="Calibri"/>
        <family val="2"/>
        <scheme val="minor"/>
      </rPr>
      <t>Modified or custom-built grid and CSS with multi-layout structure.
RWD with multiple major and minor breakpoints.
Support for complex design patterns. 
Fully fluid layout.
Full backward compatibility if RWD.</t>
    </r>
  </si>
  <si>
    <t>SPA</t>
  </si>
  <si>
    <r>
      <rPr>
        <b/>
        <sz val="10"/>
        <color theme="1"/>
        <rFont val="Calibri"/>
        <family val="2"/>
        <scheme val="minor"/>
      </rPr>
      <t>Low</t>
    </r>
    <r>
      <rPr>
        <sz val="10"/>
        <color theme="1"/>
        <rFont val="Calibri"/>
        <family val="2"/>
        <scheme val="minor"/>
      </rPr>
      <t xml:space="preserve">
Per page 1 to 5 textual changes, Impacts 1 page, 
Per page 1 to 3  image markup edits.
Per page 1 Video integration in the body (plugins).
Only one language per update.
</t>
    </r>
    <r>
      <rPr>
        <b/>
        <sz val="10"/>
        <color theme="1"/>
        <rFont val="Calibri"/>
        <family val="2"/>
        <scheme val="minor"/>
      </rPr>
      <t xml:space="preserve">Medium
</t>
    </r>
    <r>
      <rPr>
        <sz val="10"/>
        <color theme="1"/>
        <rFont val="Calibri"/>
        <family val="2"/>
        <scheme val="minor"/>
      </rPr>
      <t xml:space="preserve">5 to 10 textual changes, Impacts 1 to 3 pages. Only English language
3 to 10 image changes.
Per page 2-3 Video integrations in the body (plugins).
Textual, Image and Video formatting for 1 to 3 pages.
Only one language per update.
</t>
    </r>
    <r>
      <rPr>
        <b/>
        <sz val="10"/>
        <color theme="1"/>
        <rFont val="Calibri"/>
        <family val="2"/>
        <scheme val="minor"/>
      </rPr>
      <t>High</t>
    </r>
    <r>
      <rPr>
        <sz val="10"/>
        <color theme="1"/>
        <rFont val="Calibri"/>
        <family val="2"/>
        <scheme val="minor"/>
      </rPr>
      <t xml:space="preserve">
10-15 textual, Impacts 3-5 pages.
10-15 image markup edits.
Per page 3-5 Video integrations in the body (plugins).
Textual, Image and Video formatting for 3 to 5 pages.
Only one language per update.
</t>
    </r>
  </si>
  <si>
    <t>Major Work Stream</t>
  </si>
  <si>
    <t>Asset Collation and Analysis From Business</t>
  </si>
  <si>
    <t>Test Cases and Planning</t>
  </si>
  <si>
    <t>Category</t>
  </si>
  <si>
    <t>Details</t>
  </si>
  <si>
    <r>
      <t xml:space="preserve">Environment Setup </t>
    </r>
    <r>
      <rPr>
        <i/>
        <sz val="10"/>
        <color theme="1"/>
        <rFont val="Calibri"/>
        <family val="2"/>
        <scheme val="minor"/>
      </rPr>
      <t>(Need basis)</t>
    </r>
  </si>
  <si>
    <t>Stakeholders Meetings and Deliberations</t>
  </si>
  <si>
    <t>REST Simulation</t>
  </si>
  <si>
    <t>REST Testing (Development)</t>
  </si>
  <si>
    <t>REST Simulation (Post Integration)</t>
  </si>
  <si>
    <t>Deck Presentations</t>
  </si>
  <si>
    <t>App Building</t>
  </si>
  <si>
    <t>IE - 9 to 11</t>
  </si>
  <si>
    <t>Frequency</t>
  </si>
  <si>
    <t>Less than 20% reusability againt all screens</t>
  </si>
  <si>
    <t>More than 20% reusability againt all screens</t>
  </si>
  <si>
    <r>
      <rPr>
        <b/>
        <sz val="10"/>
        <color theme="1"/>
        <rFont val="Calibri"/>
        <family val="2"/>
        <scheme val="minor"/>
      </rPr>
      <t>Low:</t>
    </r>
    <r>
      <rPr>
        <sz val="10"/>
        <color theme="1"/>
        <rFont val="Calibri"/>
        <family val="2"/>
        <scheme val="minor"/>
      </rPr>
      <t xml:space="preserve"> 
Show/Hide, toggle Class, append/prepend DOM Manupilations; 
No interaction manipulations when transitioning to smaller devices in a responsive application; No external/internal dependencies/modules; 
No service implementation;
</t>
    </r>
    <r>
      <rPr>
        <b/>
        <sz val="10"/>
        <color theme="1"/>
        <rFont val="Calibri"/>
        <family val="2"/>
        <scheme val="minor"/>
      </rPr>
      <t>Medium:</t>
    </r>
    <r>
      <rPr>
        <sz val="10"/>
        <color theme="1"/>
        <rFont val="Calibri"/>
        <family val="2"/>
        <scheme val="minor"/>
      </rPr>
      <t xml:space="preserve"> 
Slide/Fade/Zoom In/Out Animations; 
1-2 Interdependent modules; 
1-2 Service Objects
Consistent ajax service data object with 1-2 nested attributes with upto 2 levels of nesting;
No custom DOM implementation for services
Standard Implementation of responsive interactions without customization;
</t>
    </r>
    <r>
      <rPr>
        <b/>
        <sz val="10"/>
        <color theme="1"/>
        <rFont val="Calibri"/>
        <family val="2"/>
        <scheme val="minor"/>
      </rPr>
      <t>Complex:</t>
    </r>
    <r>
      <rPr>
        <sz val="10"/>
        <color theme="1"/>
        <rFont val="Calibri"/>
        <family val="2"/>
        <scheme val="minor"/>
      </rPr>
      <t xml:space="preserve"> 
Custom Animations; 
&lt;2 Interdependent modules; 
3-6 Service Objects
Upto 4 levels of nested data objects &amp; attributes;
Custom DOM Implementation;
Custom Implementation responsive interactions;
Data Vizualization, Maps and Charting objects
Intensive Data Tables
</t>
    </r>
  </si>
  <si>
    <t>Agile Development</t>
  </si>
  <si>
    <t>Componennt Frequency</t>
  </si>
  <si>
    <r>
      <rPr>
        <b/>
        <sz val="10"/>
        <color theme="1"/>
        <rFont val="Calibri"/>
        <family val="2"/>
        <scheme val="minor"/>
      </rPr>
      <t>High:</t>
    </r>
    <r>
      <rPr>
        <sz val="10"/>
        <color theme="1"/>
        <rFont val="Calibri"/>
        <family val="2"/>
        <scheme val="minor"/>
      </rPr>
      <t xml:space="preserve">
A component with occurance in more than 80% of the page.
</t>
    </r>
    <r>
      <rPr>
        <b/>
        <sz val="10"/>
        <color theme="1"/>
        <rFont val="Calibri"/>
        <family val="2"/>
        <scheme val="minor"/>
      </rPr>
      <t>Medium:</t>
    </r>
    <r>
      <rPr>
        <sz val="10"/>
        <color theme="1"/>
        <rFont val="Calibri"/>
        <family val="2"/>
        <scheme val="minor"/>
      </rPr>
      <t xml:space="preserve">
A component with occurance in more  that 20% and less than 80% of the pages
</t>
    </r>
    <r>
      <rPr>
        <b/>
        <sz val="10"/>
        <color theme="1"/>
        <rFont val="Calibri"/>
        <family val="2"/>
        <scheme val="minor"/>
      </rPr>
      <t>Low:</t>
    </r>
    <r>
      <rPr>
        <sz val="10"/>
        <color theme="1"/>
        <rFont val="Calibri"/>
        <family val="2"/>
        <scheme val="minor"/>
      </rPr>
      <t xml:space="preserve">
A component with occurance in less than 20% of the pages</t>
    </r>
  </si>
  <si>
    <t>Component Frequency</t>
  </si>
  <si>
    <r>
      <t xml:space="preserve">This will be dependent on the no of partials, components, component/directive view partials
</t>
    </r>
    <r>
      <rPr>
        <b/>
        <sz val="10"/>
        <color rgb="FF000000"/>
        <rFont val="Calibri"/>
        <family val="2"/>
        <scheme val="minor"/>
      </rPr>
      <t>Low:</t>
    </r>
    <r>
      <rPr>
        <sz val="10"/>
        <color rgb="FF000000"/>
        <rFont val="Calibri"/>
        <family val="2"/>
        <scheme val="minor"/>
      </rPr>
      <t xml:space="preserve">  1 Variation, No Variations; 1 theme
</t>
    </r>
    <r>
      <rPr>
        <b/>
        <sz val="10"/>
        <color rgb="FF000000"/>
        <rFont val="Calibri"/>
        <family val="2"/>
        <scheme val="minor"/>
      </rPr>
      <t>Medium:</t>
    </r>
    <r>
      <rPr>
        <sz val="10"/>
        <color rgb="FF000000"/>
        <rFont val="Calibri"/>
        <family val="2"/>
        <scheme val="minor"/>
      </rPr>
      <t xml:space="preserve"> 1-2 Variations; Consistent Interactions on Responsive3-4 Variations; 
</t>
    </r>
    <r>
      <rPr>
        <b/>
        <sz val="10"/>
        <color rgb="FF000000"/>
        <rFont val="Calibri"/>
        <family val="2"/>
        <scheme val="minor"/>
      </rPr>
      <t>High:</t>
    </r>
    <r>
      <rPr>
        <sz val="10"/>
        <color rgb="FF000000"/>
        <rFont val="Calibri"/>
        <family val="2"/>
        <scheme val="minor"/>
      </rPr>
      <t xml:space="preserve"> 3-4 Variations; Inconsistent responisve Interactions</t>
    </r>
  </si>
  <si>
    <r>
      <rPr>
        <b/>
        <sz val="10"/>
        <color rgb="FF000000"/>
        <rFont val="Calibri"/>
        <family val="2"/>
        <scheme val="minor"/>
      </rPr>
      <t>Low:</t>
    </r>
    <r>
      <rPr>
        <sz val="10"/>
        <color rgb="FF000000"/>
        <rFont val="Calibri"/>
        <family val="2"/>
        <scheme val="minor"/>
      </rPr>
      <t xml:space="preserve"> 1-2 functionalities; No child/dependednt components; Consistent data type
</t>
    </r>
    <r>
      <rPr>
        <b/>
        <sz val="10"/>
        <color rgb="FF000000"/>
        <rFont val="Calibri"/>
        <family val="2"/>
        <scheme val="minor"/>
      </rPr>
      <t>Medium:</t>
    </r>
    <r>
      <rPr>
        <sz val="10"/>
        <color rgb="FF000000"/>
        <rFont val="Calibri"/>
        <family val="2"/>
        <scheme val="minor"/>
      </rPr>
      <t xml:space="preserve"> 3-4 functionalities; 1-2 dependednt components; 1-2 data type
</t>
    </r>
    <r>
      <rPr>
        <b/>
        <sz val="10"/>
        <color rgb="FF000000"/>
        <rFont val="Calibri"/>
        <family val="2"/>
        <scheme val="minor"/>
      </rPr>
      <t>High:</t>
    </r>
    <r>
      <rPr>
        <sz val="10"/>
        <color rgb="FF000000"/>
        <rFont val="Calibri"/>
        <family val="2"/>
        <scheme val="minor"/>
      </rPr>
      <t xml:space="preserve"> 5-10 functionalities; Greater than 10 dependednt components; More than 2 data type</t>
    </r>
  </si>
  <si>
    <r>
      <rPr>
        <b/>
        <sz val="10"/>
        <color rgb="FF000000"/>
        <rFont val="Calibri"/>
        <family val="2"/>
        <scheme val="minor"/>
      </rPr>
      <t>Low:</t>
    </r>
    <r>
      <rPr>
        <sz val="10"/>
        <color rgb="FF000000"/>
        <rFont val="Calibri"/>
        <family val="2"/>
        <scheme val="minor"/>
      </rPr>
      <t xml:space="preserve">1-2 Services Mock data or 1-2 Logic Functions or 1 User Screen Data Interaction
</t>
    </r>
    <r>
      <rPr>
        <b/>
        <sz val="10"/>
        <color rgb="FF000000"/>
        <rFont val="Calibri"/>
        <family val="2"/>
        <scheme val="minor"/>
      </rPr>
      <t>Medium:</t>
    </r>
    <r>
      <rPr>
        <sz val="10"/>
        <color rgb="FF000000"/>
        <rFont val="Calibri"/>
        <family val="2"/>
        <scheme val="minor"/>
      </rPr>
      <t xml:space="preserve"> 2-4 Services Mock data or 2-4 Logic Functions or 1 User Screen Data Interaction
</t>
    </r>
    <r>
      <rPr>
        <b/>
        <sz val="10"/>
        <color rgb="FF000000"/>
        <rFont val="Calibri"/>
        <family val="2"/>
        <scheme val="minor"/>
      </rPr>
      <t>High:</t>
    </r>
    <r>
      <rPr>
        <sz val="10"/>
        <color rgb="FF000000"/>
        <rFont val="Calibri"/>
        <family val="2"/>
        <scheme val="minor"/>
      </rPr>
      <t xml:space="preserve"> 4-8 Services Mock data or 4-8 Logic Functions or 1 User Screen Data Interaction</t>
    </r>
  </si>
  <si>
    <r>
      <rPr>
        <b/>
        <sz val="10"/>
        <color rgb="FF000000"/>
        <rFont val="Calibri"/>
        <family val="2"/>
        <scheme val="minor"/>
      </rPr>
      <t>Low:</t>
    </r>
    <r>
      <rPr>
        <sz val="10"/>
        <color rgb="FF000000"/>
        <rFont val="Calibri"/>
        <family val="2"/>
        <scheme val="minor"/>
      </rPr>
      <t xml:space="preserve"> 3-4 Functionalities, 1-2 Service Data Binding, 1-2 Atomic Components Consumed
</t>
    </r>
    <r>
      <rPr>
        <b/>
        <sz val="10"/>
        <color rgb="FF000000"/>
        <rFont val="Calibri"/>
        <family val="2"/>
        <scheme val="minor"/>
      </rPr>
      <t>Medium:</t>
    </r>
    <r>
      <rPr>
        <sz val="10"/>
        <color rgb="FF000000"/>
        <rFont val="Calibri"/>
        <family val="2"/>
        <scheme val="minor"/>
      </rPr>
      <t xml:space="preserve"> 5-8 Functionalities, 3-4 Service Data Binding, 2-4 Atomic Compoennts Consumed
</t>
    </r>
    <r>
      <rPr>
        <b/>
        <sz val="10"/>
        <color rgb="FF000000"/>
        <rFont val="Calibri"/>
        <family val="2"/>
        <scheme val="minor"/>
      </rPr>
      <t>High:</t>
    </r>
    <r>
      <rPr>
        <sz val="10"/>
        <color rgb="FF000000"/>
        <rFont val="Calibri"/>
        <family val="2"/>
        <scheme val="minor"/>
      </rPr>
      <t xml:space="preserve"> &gt;9 Functionalities, &gt;4 Services Data Binding,&gt;4 Atomic Compoennts Consumed</t>
    </r>
  </si>
  <si>
    <t>JS Testing</t>
  </si>
  <si>
    <t>Hybrid</t>
  </si>
  <si>
    <t>Services</t>
  </si>
  <si>
    <t>Plugin Customization</t>
  </si>
  <si>
    <t>Test Cases</t>
  </si>
  <si>
    <t>Kiosk Device</t>
  </si>
  <si>
    <t>UI Dev</t>
  </si>
  <si>
    <t>Legacy Device</t>
  </si>
  <si>
    <r>
      <t>1. Script for build - (CSS,Javascript,Assets,HTML Files)
2. Module Definition Declarations (e.g. RequireJS setup)
3. Cross cutting concerns - Authentication, Logging etc.
4. Automation of assets into a deployable package.</t>
    </r>
    <r>
      <rPr>
        <b/>
        <sz val="10"/>
        <color rgb="FF000000"/>
        <rFont val="Calibri"/>
        <family val="2"/>
        <scheme val="minor"/>
      </rPr>
      <t xml:space="preserve">
Low:</t>
    </r>
    <r>
      <rPr>
        <sz val="10"/>
        <color rgb="FF000000"/>
        <rFont val="Calibri"/>
        <family val="2"/>
        <scheme val="minor"/>
      </rPr>
      <t xml:space="preserve"> 1-2 Services, 3-4 Module Dependencies
</t>
    </r>
    <r>
      <rPr>
        <b/>
        <sz val="10"/>
        <color rgb="FF000000"/>
        <rFont val="Calibri"/>
        <family val="2"/>
        <scheme val="minor"/>
      </rPr>
      <t>Medium:</t>
    </r>
    <r>
      <rPr>
        <sz val="10"/>
        <color rgb="FF000000"/>
        <rFont val="Calibri"/>
        <family val="2"/>
        <scheme val="minor"/>
      </rPr>
      <t xml:space="preserve"> 4-5 Services or 3-4 Module Dependencies
</t>
    </r>
    <r>
      <rPr>
        <b/>
        <sz val="10"/>
        <color rgb="FF000000"/>
        <rFont val="Calibri"/>
        <family val="2"/>
        <scheme val="minor"/>
      </rPr>
      <t>High:</t>
    </r>
    <r>
      <rPr>
        <sz val="10"/>
        <color rgb="FF000000"/>
        <rFont val="Calibri"/>
        <family val="2"/>
        <scheme val="minor"/>
      </rPr>
      <t xml:space="preserve"> &gt; 5 Services or &gt; 5 Module Dependencies</t>
    </r>
  </si>
  <si>
    <t>Development Support Tasks</t>
  </si>
  <si>
    <t>Build Packaging, SCM Configuration and Versioning</t>
  </si>
  <si>
    <t>Contingency</t>
  </si>
  <si>
    <t>L</t>
  </si>
  <si>
    <t>M</t>
  </si>
  <si>
    <t>H</t>
  </si>
  <si>
    <t>Mobiles Assumed</t>
  </si>
  <si>
    <t>Tablets Assumed</t>
  </si>
  <si>
    <t>Browsers Assumed</t>
  </si>
  <si>
    <t>NFR / Quality Engineering</t>
  </si>
  <si>
    <t>SPA Performance Tuning</t>
  </si>
  <si>
    <t>REST Performance Tuning</t>
  </si>
  <si>
    <t>Pages Assumed</t>
  </si>
  <si>
    <t xml:space="preserve"> (in Hours)</t>
  </si>
  <si>
    <t xml:space="preserve"> (in Days)</t>
  </si>
  <si>
    <t xml:space="preserve"> (in Weeks)</t>
  </si>
  <si>
    <t xml:space="preserve"> (in Months)</t>
  </si>
  <si>
    <t>Total Effort -</t>
  </si>
  <si>
    <t>Development Effort</t>
  </si>
  <si>
    <t>Total Effort (in Hours)</t>
  </si>
  <si>
    <t>Total Effort (in Weeks)</t>
  </si>
  <si>
    <t>Total Effort (in Months)</t>
  </si>
  <si>
    <t>DWT-DEP-Competency-DEE</t>
  </si>
  <si>
    <t>Base Effort</t>
  </si>
  <si>
    <t>Total Effort (in Days)</t>
  </si>
  <si>
    <r>
      <t xml:space="preserve">Scope SPA
</t>
    </r>
    <r>
      <rPr>
        <sz val="10"/>
        <color theme="1"/>
        <rFont val="Calibri"/>
        <family val="2"/>
        <scheme val="minor"/>
      </rPr>
      <t>Consists of efforts for MVC related activities. Typical activities include Factory / Services, Directive etc.</t>
    </r>
  </si>
  <si>
    <t>Catalog WBS</t>
  </si>
  <si>
    <t>Scope-Hybrid</t>
  </si>
  <si>
    <t>JS MVC</t>
  </si>
  <si>
    <t>Scope-JS MVC</t>
  </si>
  <si>
    <r>
      <t xml:space="preserve">Scope UI
</t>
    </r>
    <r>
      <rPr>
        <sz val="10"/>
        <color theme="1"/>
        <rFont val="Calibri"/>
        <family val="2"/>
        <scheme val="minor"/>
      </rPr>
      <t>Consists of efforts envisaged on the UI Layer primarily. Typical Asset Types include Static Templates for a Website (UI) across various integration platforms.</t>
    </r>
  </si>
  <si>
    <t>QA Cross-Browser Testing</t>
  </si>
  <si>
    <t>QA Responsive Testing</t>
  </si>
  <si>
    <t>Total Count</t>
  </si>
  <si>
    <t>Actual Page Count</t>
  </si>
  <si>
    <t>Page Effort</t>
  </si>
  <si>
    <t>Compute Boolean</t>
  </si>
  <si>
    <t>Catalogue - Testing</t>
  </si>
  <si>
    <t>Unit Testing</t>
  </si>
  <si>
    <t>Responsive Testing</t>
  </si>
  <si>
    <t>IE8 RWD Browser Support</t>
  </si>
  <si>
    <t>UI Compliance Tasks</t>
  </si>
  <si>
    <t>*</t>
  </si>
  <si>
    <t>Architectural Governance</t>
  </si>
  <si>
    <t>Effort (hrs)</t>
  </si>
  <si>
    <t>Total (hrs)</t>
  </si>
  <si>
    <t>SPA - REST Simulation</t>
  </si>
  <si>
    <t>Services and Plugin Customizations</t>
  </si>
  <si>
    <t>Test Cases for Native components</t>
  </si>
  <si>
    <t>Environment Setup, Packaging, Deployment &amp; App Testing</t>
  </si>
  <si>
    <t>Catalogue - Documentation</t>
  </si>
  <si>
    <t>Catalogue - UI Compliance</t>
  </si>
  <si>
    <t>Catalogue - SPA</t>
  </si>
  <si>
    <t>Android + Scaffolding</t>
  </si>
  <si>
    <t>iOS + Scaffolding</t>
  </si>
  <si>
    <t>Hybrid App Packaging</t>
  </si>
  <si>
    <r>
      <t xml:space="preserve">Scope Hybrid
</t>
    </r>
    <r>
      <rPr>
        <sz val="10"/>
        <color theme="1"/>
        <rFont val="Calibri"/>
        <family val="2"/>
        <scheme val="minor"/>
      </rPr>
      <t xml:space="preserve">Consists of efforts envisaged on building the Hybrid Middle Layer only. </t>
    </r>
  </si>
  <si>
    <t>Assimilation Range</t>
  </si>
  <si>
    <t>Less than or equal to 10 pages</t>
  </si>
  <si>
    <t>Between 20-80% reusability againt all screens</t>
  </si>
  <si>
    <t>Between 10 and 50 pages</t>
  </si>
  <si>
    <t>Greater than 50 pages</t>
  </si>
  <si>
    <t>Effort Range</t>
  </si>
  <si>
    <r>
      <t>Work Breakdown Structure</t>
    </r>
    <r>
      <rPr>
        <b/>
        <sz val="10"/>
        <color rgb="FFCC0000"/>
        <rFont val="Calibri"/>
        <family val="2"/>
        <scheme val="minor"/>
      </rPr>
      <t xml:space="preserve"> (Do not share this sheet outside TCG DL!)</t>
    </r>
    <r>
      <rPr>
        <sz val="16"/>
        <color theme="1"/>
        <rFont val="Calibri"/>
        <family val="2"/>
        <scheme val="minor"/>
      </rPr>
      <t xml:space="preserve">
</t>
    </r>
    <r>
      <rPr>
        <sz val="10"/>
        <color theme="1"/>
        <rFont val="Calibri"/>
        <family val="2"/>
        <scheme val="minor"/>
      </rPr>
      <t>A consolidation of all persistent efforts during execution and delivery of a Project.</t>
    </r>
  </si>
  <si>
    <r>
      <t xml:space="preserve">Total Project Effort
</t>
    </r>
    <r>
      <rPr>
        <sz val="9"/>
        <color theme="1"/>
        <rFont val="Calibri"/>
        <family val="2"/>
        <scheme val="minor"/>
      </rPr>
      <t>(In person weeks)</t>
    </r>
  </si>
  <si>
    <t>REST Design Mockup (JSON/XML)</t>
  </si>
  <si>
    <t>IE9 to IE11</t>
  </si>
  <si>
    <r>
      <t xml:space="preserve">Base UI Effort
</t>
    </r>
    <r>
      <rPr>
        <sz val="9"/>
        <color theme="1"/>
        <rFont val="Calibri"/>
        <family val="2"/>
        <scheme val="minor"/>
      </rPr>
      <t>(In person hrs.)</t>
    </r>
  </si>
  <si>
    <r>
      <t xml:space="preserve">Base Hybrid App Effort
</t>
    </r>
    <r>
      <rPr>
        <sz val="9"/>
        <color theme="1"/>
        <rFont val="Calibri"/>
        <family val="2"/>
        <scheme val="minor"/>
      </rPr>
      <t>(In person hrs.)</t>
    </r>
  </si>
  <si>
    <r>
      <t>Scope SPA</t>
    </r>
    <r>
      <rPr>
        <b/>
        <sz val="10"/>
        <color rgb="FFC00000"/>
        <rFont val="Calibri"/>
        <family val="2"/>
        <scheme val="minor"/>
      </rPr>
      <t xml:space="preserve"> (Do not share this sheet outside TCG DL!)</t>
    </r>
    <r>
      <rPr>
        <sz val="16"/>
        <color theme="1"/>
        <rFont val="Calibri"/>
        <family val="2"/>
        <scheme val="minor"/>
      </rPr>
      <t xml:space="preserve">
</t>
    </r>
    <r>
      <rPr>
        <sz val="10"/>
        <color theme="1"/>
        <rFont val="Calibri"/>
        <family val="2"/>
        <scheme val="minor"/>
      </rPr>
      <t>Complexity values defined for each activity including their descriptions.</t>
    </r>
  </si>
  <si>
    <t>GUI Test Case Report</t>
  </si>
  <si>
    <t xml:space="preserve">Test Cases </t>
  </si>
  <si>
    <t xml:space="preserve">Requirements </t>
  </si>
  <si>
    <t>Migration</t>
  </si>
  <si>
    <t>Assessment</t>
  </si>
  <si>
    <t>Remediation</t>
  </si>
  <si>
    <r>
      <t xml:space="preserve">Base Migration Effort
</t>
    </r>
    <r>
      <rPr>
        <sz val="9"/>
        <color theme="1"/>
        <rFont val="Calibri"/>
        <family val="2"/>
        <scheme val="minor"/>
      </rPr>
      <t>(In person hrs.)</t>
    </r>
  </si>
  <si>
    <t>Application</t>
  </si>
  <si>
    <t>Domain</t>
  </si>
  <si>
    <t>Total Pages</t>
  </si>
  <si>
    <t>Total Applications</t>
  </si>
  <si>
    <r>
      <t xml:space="preserve">Scope Migration
</t>
    </r>
    <r>
      <rPr>
        <sz val="10"/>
        <color theme="1"/>
        <rFont val="Calibri"/>
        <family val="2"/>
        <scheme val="minor"/>
      </rPr>
      <t>Consists of efforts envisaged on browser migration and upgradation for existing applications.</t>
    </r>
  </si>
  <si>
    <t>OIFV1</t>
  </si>
  <si>
    <t>OIFV2</t>
  </si>
  <si>
    <t>Price Change Block</t>
  </si>
  <si>
    <t>Regulated GTIN</t>
  </si>
  <si>
    <t>Sams Cig</t>
  </si>
  <si>
    <t>Store Traits</t>
  </si>
  <si>
    <t>Storeitem</t>
  </si>
  <si>
    <t>Trade Item Catalog</t>
  </si>
  <si>
    <t>Auto Accept</t>
  </si>
  <si>
    <t>DRS</t>
  </si>
  <si>
    <t>EOS</t>
  </si>
  <si>
    <t>GRS Exception Reports</t>
  </si>
  <si>
    <t>Global Replenishment Daily Report</t>
  </si>
  <si>
    <t>Pages</t>
  </si>
  <si>
    <t>R Effort</t>
  </si>
  <si>
    <t>A Effort</t>
  </si>
  <si>
    <t>Total Base Effort</t>
  </si>
  <si>
    <t>Total Apps for Remediation</t>
  </si>
  <si>
    <t>Total Apps for Assessment</t>
  </si>
  <si>
    <t>Scope-Migration</t>
  </si>
  <si>
    <t>Average No. of Pages</t>
  </si>
  <si>
    <t>Total Remediation Effort</t>
  </si>
  <si>
    <t>Total Assessment Effort</t>
  </si>
  <si>
    <t>Enable</t>
  </si>
  <si>
    <t>Complexity - Ratio</t>
  </si>
  <si>
    <t>Toggle Complexity</t>
  </si>
  <si>
    <t>Value</t>
  </si>
  <si>
    <t>&lt; or = to 10 pages</t>
  </si>
  <si>
    <t xml:space="preserve">&lt; 20% reusability </t>
  </si>
  <si>
    <t>20-80% reusability</t>
  </si>
  <si>
    <t>&gt; 20% reusability</t>
  </si>
  <si>
    <r>
      <t>Definition</t>
    </r>
    <r>
      <rPr>
        <b/>
        <sz val="10"/>
        <color rgb="FFCC0000"/>
        <rFont val="Calibri"/>
        <family val="2"/>
        <scheme val="minor"/>
      </rPr>
      <t xml:space="preserve"> (This sheet must be PROTECTED and HIDDEN!)</t>
    </r>
    <r>
      <rPr>
        <sz val="16"/>
        <color theme="1"/>
        <rFont val="Calibri"/>
        <family val="2"/>
        <scheme val="minor"/>
      </rPr>
      <t xml:space="preserve">
</t>
    </r>
    <r>
      <rPr>
        <sz val="10"/>
        <color theme="1"/>
        <rFont val="Calibri"/>
        <family val="2"/>
        <scheme val="minor"/>
      </rPr>
      <t>Complexity and Variance Definition across each Work Package. Each Sub Task has a Use Case or Effort Variance that defines its complexity.</t>
    </r>
  </si>
  <si>
    <t>SPA Pattern Specification</t>
  </si>
  <si>
    <t>API Documentation</t>
  </si>
  <si>
    <t>Multilingual Support (L2R)</t>
  </si>
  <si>
    <t>Section Formulae - Scope Migration</t>
  </si>
  <si>
    <t>Test Planning and Documentation (refer to Catalogue)</t>
  </si>
  <si>
    <t>SPA - Design</t>
  </si>
  <si>
    <t>Technical Documentation</t>
  </si>
  <si>
    <t>Appplication Solution Design &amp; Architecture Documentation</t>
  </si>
  <si>
    <t>Application Design &amp; Code Quality</t>
  </si>
  <si>
    <t>Code Quality Review</t>
  </si>
  <si>
    <t>Program Support Tasks Effort</t>
  </si>
  <si>
    <t>Development Suport Tasks Effort</t>
  </si>
  <si>
    <t>Technical Documentation Effort</t>
  </si>
  <si>
    <t>Application Design &amp; Code Quality Effort</t>
  </si>
  <si>
    <t>Program Management Support Tasks</t>
  </si>
  <si>
    <t>App NFR &amp; Code Quality</t>
  </si>
  <si>
    <t>App REST-Simulation</t>
  </si>
  <si>
    <t>Desktop Browser UI RWD Development Testing</t>
  </si>
  <si>
    <t>Devices UI RWD Development Testing</t>
  </si>
  <si>
    <t>UI Development Compliance - Legacy &amp; Multilingual</t>
  </si>
  <si>
    <t>UI Development Compliance - Accessiblity</t>
  </si>
  <si>
    <t>Dev Support Tasks</t>
  </si>
  <si>
    <t>Program Support Tasks</t>
  </si>
  <si>
    <t>SPA Catalog Effort</t>
  </si>
  <si>
    <t>Application Development Effort</t>
  </si>
  <si>
    <t>UI  Compliance &amp; Testing  Effort</t>
  </si>
  <si>
    <t>Environment Setup (Need basis)</t>
  </si>
  <si>
    <t>UI Complexity Matrix</t>
  </si>
  <si>
    <t>Migration Matrix</t>
  </si>
  <si>
    <t>Overall Applications</t>
  </si>
  <si>
    <t>For Assessment</t>
  </si>
  <si>
    <t>For Remediation</t>
  </si>
  <si>
    <t>Migration Assessment &amp; Remediation Tasks</t>
  </si>
  <si>
    <t>JS MVC Complexity Matrix</t>
  </si>
  <si>
    <t>UI Testing &amp; Compliance Catalog Tasks</t>
  </si>
  <si>
    <t>Alignment, Cosmetic Issues, JS Validations, Deprecations, Service Requests</t>
  </si>
  <si>
    <t>Functions, Layouts,  JS Exceptions, Browser Compatibility, Cleanup, Optimization</t>
  </si>
  <si>
    <t>WBS</t>
  </si>
  <si>
    <t>P. Hrs</t>
  </si>
  <si>
    <r>
      <t xml:space="preserve">Total SPA Effort
</t>
    </r>
    <r>
      <rPr>
        <sz val="9"/>
        <color theme="1"/>
        <rFont val="Calibri"/>
        <family val="2"/>
        <scheme val="minor"/>
      </rPr>
      <t>(In person hrs.)</t>
    </r>
  </si>
  <si>
    <t>Dev Base Effort</t>
  </si>
  <si>
    <t>Testing (Development)</t>
  </si>
  <si>
    <t>Simulation (Post Integration)</t>
  </si>
  <si>
    <t>SPA Architecture Design</t>
  </si>
  <si>
    <t>REST Design (JSON/XML)</t>
  </si>
  <si>
    <t>Multilingual Support (R2L)</t>
  </si>
  <si>
    <t>General UI Compliance Tasks</t>
  </si>
  <si>
    <t>Requirements</t>
  </si>
  <si>
    <t>SPA Design Architecture</t>
  </si>
  <si>
    <t>Firefox 40+</t>
  </si>
  <si>
    <t>Google Chrome 40+</t>
  </si>
  <si>
    <t>Safari 8+</t>
  </si>
  <si>
    <t>Advanced</t>
  </si>
  <si>
    <t>Minor</t>
  </si>
  <si>
    <t>MVP</t>
  </si>
  <si>
    <t>Documentation</t>
  </si>
  <si>
    <t>RWD Skinning</t>
  </si>
  <si>
    <t>Controllers</t>
  </si>
  <si>
    <t>Views</t>
  </si>
  <si>
    <t>Module</t>
  </si>
  <si>
    <t>A</t>
  </si>
  <si>
    <t>Test Automation</t>
  </si>
  <si>
    <t>SPA - Quality Engineering</t>
  </si>
  <si>
    <t>Mi</t>
  </si>
  <si>
    <t>Complexity - Pages</t>
  </si>
  <si>
    <t>Design &amp; Review</t>
  </si>
  <si>
    <t>Dev Support</t>
  </si>
  <si>
    <t>ABE</t>
  </si>
  <si>
    <t>Addon Effort</t>
  </si>
  <si>
    <t>Per Count</t>
  </si>
  <si>
    <t>SPA Catalog</t>
  </si>
  <si>
    <t>Dev Effort</t>
  </si>
  <si>
    <t>Man. Override</t>
  </si>
  <si>
    <t>Formulae</t>
  </si>
  <si>
    <t>Sum</t>
  </si>
  <si>
    <t>Scope JSMVC - Count</t>
  </si>
  <si>
    <t>Scope UI - Count</t>
  </si>
  <si>
    <t>Scope Hybrid - Count</t>
  </si>
  <si>
    <t>Scope JSMVC - Value</t>
  </si>
  <si>
    <t>Scope UI - Value</t>
  </si>
  <si>
    <t>Scope Hybrid - Value</t>
  </si>
  <si>
    <t>iOS</t>
  </si>
  <si>
    <t>Android</t>
  </si>
  <si>
    <t>Dev Base</t>
  </si>
  <si>
    <t>Comp Avg</t>
  </si>
  <si>
    <t>Values</t>
  </si>
  <si>
    <t>Prog. Management</t>
  </si>
  <si>
    <t>UI Testing &amp; Comp.</t>
  </si>
  <si>
    <t>Raw</t>
  </si>
  <si>
    <t>With Addon</t>
  </si>
  <si>
    <t>Development</t>
  </si>
  <si>
    <t>Requirements Gathering &amp; Setup</t>
  </si>
  <si>
    <t>Design</t>
  </si>
  <si>
    <t>Testing and Integration</t>
  </si>
  <si>
    <t>Program</t>
  </si>
  <si>
    <t>Legacy (Not in Use)</t>
  </si>
  <si>
    <t>Assumptions and Dependencies</t>
  </si>
  <si>
    <t>Type marked as "Internal" is for internal groups such as CMP, Social etc.</t>
  </si>
  <si>
    <t>Project Assumptions &amp; Dependencies</t>
  </si>
  <si>
    <t>Type</t>
  </si>
  <si>
    <t>Comments</t>
  </si>
  <si>
    <t>Assumption</t>
  </si>
  <si>
    <t>Security approvals by the Client on the proposed UI frameworks before commencement of development.</t>
  </si>
  <si>
    <t>Agency to provide a single Point of Contact to Cognizant for sharing information and assisting on the design collaterals.</t>
  </si>
  <si>
    <t>Agency to supply Wireframes and Visual Designs approved by Business before commencement of Development.</t>
  </si>
  <si>
    <t xml:space="preserve">Agency to share Work In Progress of future deliverables as reference to the Development team. These collaterals are purely for reference and not for feedback. </t>
  </si>
  <si>
    <t>Agency to provide Style Guide including UI workflow annotations as applicable.</t>
  </si>
  <si>
    <t>Agency to provide deliverables at least 4-5 days before commencement of development with a maximum of 1 day to revert with new assets in case issues are discovered.</t>
  </si>
  <si>
    <t>Web Development Assumptions</t>
  </si>
  <si>
    <t>Internal</t>
  </si>
  <si>
    <t>Out of Scope</t>
  </si>
  <si>
    <t>Non-JS version of the website.</t>
  </si>
  <si>
    <t>Flash / Flex component development and/or integration.</t>
  </si>
  <si>
    <t>Deliverables</t>
  </si>
  <si>
    <t>Status</t>
  </si>
  <si>
    <t>Divide By Zero</t>
  </si>
  <si>
    <t>Use the cells above to define the Module name and it will reflect on the right of the screen)
Currently, 15 Modules have been hard-coded. 
If no name is given, the right-side cells will default to MVP-*count*</t>
  </si>
  <si>
    <t>Migration - Complexity</t>
  </si>
  <si>
    <t>Percentage</t>
  </si>
  <si>
    <t>Code Quality Review remediation</t>
  </si>
  <si>
    <t>Code Review</t>
  </si>
  <si>
    <t>JS Code Review</t>
  </si>
  <si>
    <r>
      <rPr>
        <b/>
        <sz val="10"/>
        <color theme="1"/>
        <rFont val="Calibri"/>
        <family val="2"/>
        <scheme val="minor"/>
      </rPr>
      <t xml:space="preserve">Minor
</t>
    </r>
    <r>
      <rPr>
        <sz val="10"/>
        <color theme="1"/>
        <rFont val="Calibri"/>
        <family val="2"/>
        <scheme val="minor"/>
      </rPr>
      <t xml:space="preserve">Major reuse of an existing template
ReUse of a Open Source Framework like Bootstrap with minor customizations
Simple spot testing of template on browser
Minor/Negligible effort to include RWD on top of Desktop template via CSS.
Assumed to use standard frameworks such as Bootstrap or Foundation.
Assuming that the PSD uses exactly the same template as available in a framework.
</t>
    </r>
    <r>
      <rPr>
        <b/>
        <sz val="10"/>
        <color theme="1"/>
        <rFont val="Calibri"/>
        <family val="2"/>
        <scheme val="minor"/>
      </rPr>
      <t xml:space="preserve">
Low</t>
    </r>
    <r>
      <rPr>
        <sz val="10"/>
        <color theme="1"/>
        <rFont val="Calibri"/>
        <family val="2"/>
        <scheme val="minor"/>
      </rPr>
      <t xml:space="preserve"> 
Downloaded or custom-built grid and CSS. 
No RWD. 
Fixed or fluid layout.
One viewport setup.
Backward compatible.
</t>
    </r>
    <r>
      <rPr>
        <b/>
        <sz val="10"/>
        <color theme="1"/>
        <rFont val="Calibri"/>
        <family val="2"/>
        <scheme val="minor"/>
      </rPr>
      <t>Medium</t>
    </r>
    <r>
      <rPr>
        <sz val="10"/>
        <color theme="1"/>
        <rFont val="Calibri"/>
        <family val="2"/>
        <scheme val="minor"/>
      </rPr>
      <t xml:space="preserve">
Modified or custom-built grid and CSS.
RWD with 1-2 major and minor breakpoints (or) simple column stacking across multiple breakpoints.
Fixed or fluid layout.
Limited backward compatibility if RWD.
</t>
    </r>
    <r>
      <rPr>
        <b/>
        <sz val="10"/>
        <color theme="1"/>
        <rFont val="Calibri"/>
        <family val="2"/>
        <scheme val="minor"/>
      </rPr>
      <t xml:space="preserve">High
</t>
    </r>
    <r>
      <rPr>
        <sz val="10"/>
        <color theme="1"/>
        <rFont val="Calibri"/>
        <family val="2"/>
        <scheme val="minor"/>
      </rPr>
      <t>Modified or custom-built grid and CSS with multi-layout structure.
RWD with multiple major and minor breakpoints.
Support for complex design patterns. 
Fully fluid layout.
Full backward compatibility if RWD.</t>
    </r>
  </si>
  <si>
    <r>
      <rPr>
        <b/>
        <sz val="10"/>
        <color theme="1"/>
        <rFont val="Calibri"/>
        <family val="2"/>
        <scheme val="minor"/>
      </rPr>
      <t xml:space="preserve">Minor
</t>
    </r>
    <r>
      <rPr>
        <sz val="10"/>
        <color theme="1"/>
        <rFont val="Calibri"/>
        <family val="2"/>
        <scheme val="minor"/>
      </rPr>
      <t>80% reused from Open Source Library or DEE internal component libbrary with minor modifications
Existing base component with styling modifications</t>
    </r>
    <r>
      <rPr>
        <b/>
        <sz val="10"/>
        <color theme="1"/>
        <rFont val="Calibri"/>
        <family val="2"/>
        <scheme val="minor"/>
      </rPr>
      <t xml:space="preserve">
Low</t>
    </r>
    <r>
      <rPr>
        <sz val="10"/>
        <color theme="1"/>
        <rFont val="Calibri"/>
        <family val="2"/>
        <scheme val="minor"/>
      </rPr>
      <t xml:space="preserve"> 
Widget with 1-5 HTML unit elements.
OOTB/wiht some modifications avalaible in Libraries like Bootstrap or built with Simple custom Markup and CSS.
Simple design pattern across devices.
Minimal JavaScript for animation.
No Javascript validation.
If RWD, column stacking with no design manipulation.
Cross browser compatible except on legacy versions.
</t>
    </r>
    <r>
      <rPr>
        <b/>
        <sz val="10"/>
        <color theme="1"/>
        <rFont val="Calibri"/>
        <family val="2"/>
        <scheme val="minor"/>
      </rPr>
      <t>Medium</t>
    </r>
    <r>
      <rPr>
        <sz val="10"/>
        <color theme="1"/>
        <rFont val="Calibri"/>
        <family val="2"/>
        <scheme val="minor"/>
      </rPr>
      <t xml:space="preserve">
Widget with 5-10 unit elements.
Modified or custom-built Markup and CSS.
Minor design pattern change across devices (modified or custom-built).
JavaScript based animations and effects with minor fallbacks on unsupporting browsers. 
Minor JavaScript validations with singular callbacks.
Limited backward compatibility, if RWD.
</t>
    </r>
    <r>
      <rPr>
        <b/>
        <sz val="10"/>
        <color theme="1"/>
        <rFont val="Calibri"/>
        <family val="2"/>
        <scheme val="minor"/>
      </rPr>
      <t>High</t>
    </r>
    <r>
      <rPr>
        <sz val="10"/>
        <color theme="1"/>
        <rFont val="Calibri"/>
        <family val="2"/>
        <scheme val="minor"/>
      </rPr>
      <t xml:space="preserve">
More than 10 unit elements.
Modified or custom-built Markup and CSS.
Custom design pattern change across devices (modified or custom-built).
JavaScript based animations and effects with full fallbacks on unsupporting browsers. 
Significant JavaScript validations with multiple callbacks.
Full backward compatibility, if RWD. </t>
    </r>
  </si>
  <si>
    <t>JS Interactions</t>
  </si>
  <si>
    <r>
      <t xml:space="preserve">This is dependent on the granular methods/services/user scenarios/data sources/data tranlations that need to be encapsulated
</t>
    </r>
    <r>
      <rPr>
        <b/>
        <sz val="10"/>
        <color rgb="FF000000"/>
        <rFont val="Calibri"/>
        <family val="2"/>
        <scheme val="minor"/>
      </rPr>
      <t xml:space="preserve">Minor:
</t>
    </r>
    <r>
      <rPr>
        <sz val="10"/>
        <color rgb="FF000000"/>
        <rFont val="Calibri"/>
        <family val="2"/>
        <scheme val="minor"/>
      </rPr>
      <t xml:space="preserve">Simple functional/state services with no AJAX/REST API handling
</t>
    </r>
    <r>
      <rPr>
        <b/>
        <sz val="10"/>
        <color rgb="FF000000"/>
        <rFont val="Calibri"/>
        <family val="2"/>
        <scheme val="minor"/>
      </rPr>
      <t>Low:</t>
    </r>
    <r>
      <rPr>
        <sz val="10"/>
        <color rgb="FF000000"/>
        <rFont val="Calibri"/>
        <family val="2"/>
        <scheme val="minor"/>
      </rPr>
      <t xml:space="preserve"> 
1-2 Methods
Simple CRUD REST API
1-1 API model mapping
</t>
    </r>
    <r>
      <rPr>
        <b/>
        <sz val="10"/>
        <color rgb="FF000000"/>
        <rFont val="Calibri"/>
        <family val="2"/>
        <scheme val="minor"/>
      </rPr>
      <t>Medium:</t>
    </r>
    <r>
      <rPr>
        <sz val="10"/>
        <color rgb="FF000000"/>
        <rFont val="Calibri"/>
        <family val="2"/>
        <scheme val="minor"/>
      </rPr>
      <t xml:space="preserve">
 3-6 methods
REST API with Event Propogation
REST API with simple Data Transformation/Cookie/Caching/state validations etc
</t>
    </r>
    <r>
      <rPr>
        <b/>
        <sz val="10"/>
        <color rgb="FF000000"/>
        <rFont val="Calibri"/>
        <family val="2"/>
        <scheme val="minor"/>
      </rPr>
      <t>Complex:</t>
    </r>
    <r>
      <rPr>
        <sz val="10"/>
        <color rgb="FF000000"/>
        <rFont val="Calibri"/>
        <family val="2"/>
        <scheme val="minor"/>
      </rPr>
      <t xml:space="preserve"> 
5+ Methods
REST API with complex Data Transformation/Cookie/Caching/state validations etc
</t>
    </r>
    <r>
      <rPr>
        <b/>
        <sz val="10"/>
        <color rgb="FF000000"/>
        <rFont val="Calibri"/>
        <family val="2"/>
        <scheme val="minor"/>
      </rPr>
      <t>Advanced:</t>
    </r>
    <r>
      <rPr>
        <sz val="10"/>
        <color rgb="FF000000"/>
        <rFont val="Calibri"/>
        <family val="2"/>
        <scheme val="minor"/>
      </rPr>
      <t xml:space="preserve">
5+ Methods with chained/sequenced promises
Multiple Services with conditional logic among them
REST API with complex Data Transformation/Cookie/Caching/state validations etc
In All case the the number of methods in a service class should not exceed beyond 15</t>
    </r>
  </si>
  <si>
    <t>UCD-1</t>
  </si>
  <si>
    <t>UCD-2</t>
  </si>
  <si>
    <t>UCD-3</t>
  </si>
  <si>
    <t>UCD-4</t>
  </si>
  <si>
    <t>UCD-5</t>
  </si>
  <si>
    <t>UCD-6</t>
  </si>
  <si>
    <t>UCD-7</t>
  </si>
  <si>
    <t>UCD-8</t>
  </si>
  <si>
    <t>UCD-9</t>
  </si>
  <si>
    <t>UCD-10</t>
  </si>
  <si>
    <t>UCD-11</t>
  </si>
  <si>
    <t>UCD-12</t>
  </si>
  <si>
    <t>UCD-13</t>
  </si>
  <si>
    <t>UCD-14</t>
  </si>
  <si>
    <t>UCD-15</t>
  </si>
  <si>
    <t>UCD-16</t>
  </si>
  <si>
    <t>Initial Setup</t>
  </si>
  <si>
    <t>INCEPTION</t>
  </si>
  <si>
    <t>DESIGN</t>
  </si>
  <si>
    <t>BUILD</t>
  </si>
  <si>
    <t>JSMVC App Design</t>
  </si>
  <si>
    <t>Page Creation</t>
  </si>
  <si>
    <r>
      <t xml:space="preserve">UCD/VIEW Split
</t>
    </r>
    <r>
      <rPr>
        <sz val="10"/>
        <color theme="1"/>
        <rFont val="Calibri"/>
        <family val="2"/>
        <scheme val="minor"/>
      </rPr>
      <t>Consists of efforts and metrics captured against each Module</t>
    </r>
  </si>
  <si>
    <t>UI Compliance</t>
  </si>
  <si>
    <t>Unit Test</t>
  </si>
  <si>
    <t>Refactoring</t>
  </si>
  <si>
    <t>LifeCycle UI Development Tasks</t>
  </si>
  <si>
    <t>Linting/Sonar/PMD UI Code Analysis</t>
  </si>
  <si>
    <t>SDLC BREAKUP</t>
  </si>
  <si>
    <t>UCD-17</t>
  </si>
  <si>
    <t>UCD-18</t>
  </si>
  <si>
    <t>UCD-19</t>
  </si>
  <si>
    <t>UCD-20</t>
  </si>
  <si>
    <t>UCD-21</t>
  </si>
  <si>
    <t>UCD-22</t>
  </si>
  <si>
    <t>UCD-23</t>
  </si>
  <si>
    <t>UCD-24</t>
  </si>
  <si>
    <t>UCD-25</t>
  </si>
  <si>
    <t>UCD-26</t>
  </si>
  <si>
    <t>UCD-27</t>
  </si>
  <si>
    <t>UCD-28</t>
  </si>
  <si>
    <t>UCD-29</t>
  </si>
  <si>
    <t>UCD-30</t>
  </si>
  <si>
    <t>UCD-31</t>
  </si>
  <si>
    <t>UCD-32</t>
  </si>
  <si>
    <t>UCD-33</t>
  </si>
  <si>
    <t>UCD-34</t>
  </si>
  <si>
    <t>UCD-35</t>
  </si>
  <si>
    <t>UCD-36</t>
  </si>
  <si>
    <t>UCD-37</t>
  </si>
  <si>
    <t>UCD-38</t>
  </si>
  <si>
    <t>UCD-39</t>
  </si>
  <si>
    <t>UCD-40</t>
  </si>
  <si>
    <t>UCD-41</t>
  </si>
  <si>
    <t>UCD-42</t>
  </si>
  <si>
    <t>UCD-43</t>
  </si>
  <si>
    <t>UCD-44</t>
  </si>
  <si>
    <t>UCD-45</t>
  </si>
  <si>
    <t>UCD-46</t>
  </si>
  <si>
    <t>UCD-47</t>
  </si>
  <si>
    <t>UCD-48</t>
  </si>
  <si>
    <t>UCD-49</t>
  </si>
  <si>
    <t>UCD-50</t>
  </si>
  <si>
    <t>UCD Name (Define Here)</t>
  </si>
  <si>
    <t>UI Testing &amp; Compliance Catalog Effort</t>
  </si>
  <si>
    <t xml:space="preserve">UI UCD Count </t>
  </si>
  <si>
    <t>SPA UCD Count</t>
  </si>
  <si>
    <t>Hybrid UCD Count</t>
  </si>
  <si>
    <t>Components (Module Creation and Mapping )</t>
  </si>
  <si>
    <t>Code Coverage (Test Automation Scripts)</t>
  </si>
  <si>
    <t>App Build (Build Scripts)</t>
  </si>
  <si>
    <t>Mock REST API creation and simulation</t>
  </si>
  <si>
    <t>JS MVC Performance review, Tuning and Remediation</t>
  </si>
  <si>
    <t>App Detailed Design</t>
  </si>
  <si>
    <t>App Linting/Sonar/PMD UI Code Analysis</t>
  </si>
  <si>
    <t>SUPPORT TASKS</t>
  </si>
  <si>
    <t>QUALITY ENGINEERING</t>
  </si>
  <si>
    <t>UI Development</t>
  </si>
  <si>
    <t>MVC Development</t>
  </si>
  <si>
    <r>
      <t xml:space="preserve">Effort Abstraction Sheet - </t>
    </r>
    <r>
      <rPr>
        <sz val="16"/>
        <color rgb="FF0070C0"/>
        <rFont val="Calibri (Body)"/>
      </rPr>
      <t>Consolidated</t>
    </r>
    <r>
      <rPr>
        <sz val="16"/>
        <color theme="1"/>
        <rFont val="Calibri"/>
        <family val="2"/>
        <scheme val="minor"/>
      </rPr>
      <t xml:space="preserve">
</t>
    </r>
    <r>
      <rPr>
        <sz val="10"/>
        <color rgb="FFC00000"/>
        <rFont val="Calibri"/>
        <family val="2"/>
        <scheme val="minor"/>
      </rPr>
      <t xml:space="preserve">Outlines efforts for all tasks outline in WBS. </t>
    </r>
  </si>
  <si>
    <t>JSMVC - Inventory</t>
  </si>
  <si>
    <t>Hybrid - Inventory</t>
  </si>
  <si>
    <t>UI  - Inventory</t>
  </si>
  <si>
    <t>Timelines and Resource Loading</t>
  </si>
  <si>
    <t>Activities</t>
  </si>
  <si>
    <t>W1</t>
  </si>
  <si>
    <t>W2</t>
  </si>
  <si>
    <t>W3</t>
  </si>
  <si>
    <t>W4</t>
  </si>
  <si>
    <t>W5</t>
  </si>
  <si>
    <t>W6</t>
  </si>
  <si>
    <t>W7</t>
  </si>
  <si>
    <t>W8</t>
  </si>
  <si>
    <t>W9</t>
  </si>
  <si>
    <t>W10</t>
  </si>
  <si>
    <t>W11</t>
  </si>
  <si>
    <t>W12</t>
  </si>
  <si>
    <t>Illustrative Only</t>
  </si>
  <si>
    <t>Requirement Gathering, Planning and Analysis</t>
  </si>
  <si>
    <t>Strictly for reference and cannot be presumed as final.</t>
  </si>
  <si>
    <t>Requirements Gathering &amp; Specifications</t>
  </si>
  <si>
    <t>Static HTML &amp; CSS Template Development</t>
  </si>
  <si>
    <t>Resource Load</t>
  </si>
  <si>
    <t>PWs</t>
  </si>
  <si>
    <t>Total Effort</t>
  </si>
  <si>
    <t>Migration - Inventory</t>
  </si>
  <si>
    <t>Common</t>
  </si>
  <si>
    <t>Marketing</t>
  </si>
  <si>
    <t>UX Wireframe Analysis, Feedback and Iteration</t>
  </si>
  <si>
    <t>Visual Design Analysis, Feedback and Interation</t>
  </si>
  <si>
    <t>Technical Direction &amp; Setup (Development)</t>
  </si>
  <si>
    <t>Summary 9</t>
  </si>
  <si>
    <t>Summary 10</t>
  </si>
  <si>
    <t>Summary 11</t>
  </si>
  <si>
    <t>Summary 12</t>
  </si>
  <si>
    <t>Summary 13</t>
  </si>
  <si>
    <t>Summary 14</t>
  </si>
  <si>
    <t>Summary 15</t>
  </si>
  <si>
    <t>Summary 16</t>
  </si>
  <si>
    <t>Summary 17</t>
  </si>
  <si>
    <t>Summary 18</t>
  </si>
  <si>
    <t>Summary 19</t>
  </si>
  <si>
    <t>Summary 20</t>
  </si>
  <si>
    <t>Summary 21</t>
  </si>
  <si>
    <t>Summary 22</t>
  </si>
  <si>
    <t>Summary 23</t>
  </si>
  <si>
    <t>Summary 24</t>
  </si>
  <si>
    <t>Summary 25</t>
  </si>
  <si>
    <t>Summary 26</t>
  </si>
  <si>
    <t>Summary 27</t>
  </si>
  <si>
    <t>Summary 28</t>
  </si>
  <si>
    <t>Summary 29</t>
  </si>
  <si>
    <t>Summary 30</t>
  </si>
  <si>
    <t>Summary 31</t>
  </si>
  <si>
    <t>Summary 32</t>
  </si>
  <si>
    <t>Summary 33</t>
  </si>
  <si>
    <t>Summary 34</t>
  </si>
  <si>
    <t>Summary 35</t>
  </si>
  <si>
    <t>Summary 36</t>
  </si>
  <si>
    <t>Summary 38</t>
  </si>
  <si>
    <t>Summary 39</t>
  </si>
  <si>
    <t>Summary 40</t>
  </si>
  <si>
    <t>Summary 41</t>
  </si>
  <si>
    <t>Summary 42</t>
  </si>
  <si>
    <t>Summary 43</t>
  </si>
  <si>
    <t>Summary 44</t>
  </si>
  <si>
    <t>Summary 45</t>
  </si>
  <si>
    <t>Summary 46</t>
  </si>
  <si>
    <t>Summary 47</t>
  </si>
  <si>
    <t>Summary 48</t>
  </si>
  <si>
    <t>Summary 49</t>
  </si>
  <si>
    <t>Summary 50</t>
  </si>
  <si>
    <t>Copper</t>
  </si>
  <si>
    <t>Module Master</t>
  </si>
  <si>
    <t>Data</t>
  </si>
  <si>
    <t>Investor</t>
  </si>
  <si>
    <t>Debitor</t>
  </si>
  <si>
    <t>Business</t>
  </si>
  <si>
    <t>Commander</t>
  </si>
  <si>
    <t>Payment</t>
  </si>
  <si>
    <t>SPA Performance Review &amp; Fix</t>
  </si>
  <si>
    <r>
      <t xml:space="preserve">Enable / disable efforts placed against each Work Stream. 
</t>
    </r>
    <r>
      <rPr>
        <b/>
        <sz val="10"/>
        <color theme="1" tint="0.14999847407452621"/>
        <rFont val="Calibri"/>
        <family val="2"/>
        <scheme val="minor"/>
      </rPr>
      <t xml:space="preserve">Total Effort </t>
    </r>
    <r>
      <rPr>
        <sz val="10"/>
        <color theme="1" tint="0.14999847407452621"/>
        <rFont val="Calibri"/>
        <family val="2"/>
        <scheme val="minor"/>
      </rPr>
      <t>value will alter based on the above selection.</t>
    </r>
  </si>
  <si>
    <t>Services - Inventory</t>
  </si>
  <si>
    <t>Effort in Hrs</t>
  </si>
  <si>
    <r>
      <t xml:space="preserve">Scope Service
</t>
    </r>
    <r>
      <rPr>
        <sz val="10"/>
        <color theme="1"/>
        <rFont val="Calibri"/>
        <family val="2"/>
        <scheme val="minor"/>
      </rPr>
      <t xml:space="preserve">Consists of efforts for writing service layer using NodeJS &amp; MongoDB </t>
    </r>
  </si>
  <si>
    <t>Node Services</t>
  </si>
  <si>
    <t>Scope-Node Service</t>
  </si>
  <si>
    <r>
      <t xml:space="preserve">Base Node Service Effort
</t>
    </r>
    <r>
      <rPr>
        <sz val="9"/>
        <color theme="1"/>
        <rFont val="Calibri"/>
        <family val="2"/>
        <scheme val="minor"/>
      </rPr>
      <t>(In person hrs.)</t>
    </r>
  </si>
  <si>
    <t>Effort for Code review is been factor up to ensure the code quality.</t>
  </si>
  <si>
    <t>The efforts are not considered for Integration/SIT/UAT/Production/Warranty support, the resources will be loaded on need basis.</t>
  </si>
  <si>
    <t>Any changes in scope of this project will follow established change management process and a Change Request (CR) Document needs to be created to capture all the CRs in scope. The CR document has to be reviewed and signed by Client prior to commencement of work in the CR. The timelines and the cost estimates for any CR will be over and above the respective estimates provided for the initial scope document.</t>
  </si>
  <si>
    <t>Video/Audio functionality including Web RTC support (not supported in many browsers) on Desktop and Devices.</t>
  </si>
  <si>
    <t>Hybrid/Native app development and Native features</t>
  </si>
  <si>
    <t>File Attachments and Emoticons.</t>
  </si>
  <si>
    <t>Performance, Usability and Load Testing and End to end Testing</t>
  </si>
  <si>
    <t>Conversion of static HTML pages into middleware formats (JSP, ASP, PHP etc.)</t>
  </si>
  <si>
    <t>Support &amp; Development in Unicode languages</t>
  </si>
  <si>
    <t>Deployment is not in scope</t>
  </si>
  <si>
    <t>Server Configuration, server side troubleshooting is not in the scope of this development</t>
  </si>
  <si>
    <t>Any file format generation from client side (PDF, Excel, XML, JSON, etc).</t>
  </si>
  <si>
    <t>Node Service</t>
  </si>
  <si>
    <t>NODE JS</t>
  </si>
  <si>
    <t>Project Web Development Scope</t>
  </si>
  <si>
    <t>Browser - Google Chrome (Latest Version), Firefox 52v, IE 11 (Edge) and Safari 5.1v for windows 7 OS only.</t>
  </si>
  <si>
    <t xml:space="preserve">Devices :- 
Mobile Devices (4) - iPhone 7(ios 10),  iPhone 6S(iOS 10), Samsung 7, Samsung Galaxy S8 (Android 7 Nougat)
Tablet Device (2) - iPad Air and Sumsung Tab S2. </t>
  </si>
  <si>
    <t>No. of screens, the design and complexity have been estimated based on the screenshots provided in the document Screenshots.docx, and may change during requirements-gathering phase.</t>
  </si>
  <si>
    <t>All necessary API will be available with Facebook Marketing API to achieve the requirement, If any discrepancy or limitation with API we might not able to achieve as per requirement.1. All necessary API will be available with Facebook Marketing API to achieve the requirement, If any discrepancy or limitation with API we might not able to achieve as per requirement.
Necessary Access and Authentication for Facebook Ad Account.</t>
  </si>
  <si>
    <t>Agency to provide all visual assets optimized in size and resolution</t>
  </si>
  <si>
    <t>Estimates are derived based "FordDirect_VD_Estimation_RWD_v0.1.xlsx", the count of 13** screens is derived at high level.</t>
  </si>
  <si>
    <t>Development and Testing are assumed to be conducted for English only. Any changes in language the estimates will be revisited.</t>
  </si>
  <si>
    <t>We have considered effort for SPA specification document.</t>
  </si>
  <si>
    <t>Expections from backend team - Rest Service APIs, JSON structure to be in consensus with Web development team</t>
  </si>
  <si>
    <t>Visual designs, assets for desktop to be shared prior to web development.</t>
  </si>
  <si>
    <t>Front End will only be consuming the Restful service provided by backend team.</t>
  </si>
  <si>
    <t>Code minification and packaging of JS and CSS files to be handled.</t>
  </si>
  <si>
    <t>Test Automation using Jasmine Unit Testing for Angular JS is considered.</t>
  </si>
  <si>
    <t>Since we have DO NOT have finalized visual Design we have considered an overall Frontend Solution Architect.</t>
  </si>
  <si>
    <t>Since we don't have finalized visual Design or Wireframe we have considered 1 UI Architect (SM) throughout the timeline and his effort will not be counted in Development effort. He/She will be considered as an overall Frontend Solution Architect.</t>
  </si>
  <si>
    <t>Since we don't have finalized Visual Design or Wireframe during  RFP stage we will undergo a discovery phase for 2 weeks where 1 Lead (SM), 1 Lead (SA) will be loaded. The 2 weeks efforts will not be considered in the estimates based on the outcome of the discovery phase the estimates will be revisited which could affect the overall timeline and cost.</t>
  </si>
  <si>
    <t>Since we don't have finalized visual Design or Wireframe we have considered 20% of Contingency.</t>
  </si>
  <si>
    <t>Business rules implementation on Client Side.</t>
  </si>
  <si>
    <t>Accessibility A/AA/AAA</t>
  </si>
  <si>
    <t>Native/Hybrid App</t>
  </si>
  <si>
    <t>No Payment Gateway or any third party payment gateway module is considered for the POC.</t>
  </si>
  <si>
    <t>Adaptive Web Design (AWD) Local branded phones will not be in scope. We did not considered any browsers for unit testing/Support.  Any change in this we will revisit the estimates.</t>
  </si>
  <si>
    <t>Social Media Integration.</t>
  </si>
  <si>
    <t>CMS Content Entry or Content Management.</t>
  </si>
  <si>
    <t>Load and Performance Testing on UI</t>
  </si>
  <si>
    <t>Role Based changes are not considered for POC.</t>
  </si>
  <si>
    <t>Left to Right/Right to left/Top to Bottom Language Support including Responsive Patterns. (Multilingual Support).</t>
  </si>
  <si>
    <t>Third Part API Integration. API integration in UI for external services or systems. UI for external services or applications.</t>
  </si>
  <si>
    <t>Offline storage/Caching in browsers functionality</t>
  </si>
  <si>
    <t>Support for Development Integration, SIT, UAT, Production &amp; Warranty Support</t>
  </si>
  <si>
    <t>Content creation / language translation is out of scope</t>
  </si>
  <si>
    <t>Page printing via CSS. Native browser functionality is assumed to Print the page as-is.</t>
  </si>
  <si>
    <t>Load and System Performance</t>
  </si>
  <si>
    <t>Reuse of code merged with JSP, ASP, PHP, XSL, XSLT, etc.</t>
  </si>
  <si>
    <t>SEO/Analytics Implementation</t>
  </si>
  <si>
    <t>UI Package in HTML5, CSS and JavaScript For Desktop only.</t>
  </si>
  <si>
    <t>Development Phase</t>
  </si>
  <si>
    <t>Final Estimates</t>
  </si>
  <si>
    <t>Cross Browser/Device Compatibility Testing</t>
  </si>
  <si>
    <t>Jasmine Test Automation</t>
  </si>
  <si>
    <t>Discovery Phase</t>
  </si>
  <si>
    <t>OverAll Effort</t>
  </si>
  <si>
    <t>VD with UI Validation (Development Phase)</t>
  </si>
  <si>
    <t>The scope is develop 13** Unique Templates and 13** web pages for using HTML5, CSS3, Bootstrap, Angular JS, Jasmine Test Automation, Node JS and Mongo DB with RWD approach with both Orientations.</t>
  </si>
  <si>
    <t>Scope is to develop 13** web pages for Desktop alone, using HTML5, CSS3, Bootstrap, Angular JS, Jasmine Test Automation, Node JS and Mongo DB. Any change in scope we will revisit the estimates.</t>
  </si>
  <si>
    <r>
      <t xml:space="preserve">The following count has been considered as of now 
</t>
    </r>
    <r>
      <rPr>
        <b/>
        <sz val="10"/>
        <rFont val="Calibri"/>
        <family val="2"/>
        <scheme val="minor"/>
      </rPr>
      <t xml:space="preserve">UI Development:- </t>
    </r>
    <r>
      <rPr>
        <sz val="10"/>
        <rFont val="Calibri"/>
        <family val="2"/>
        <scheme val="minor"/>
      </rPr>
      <t xml:space="preserve">Templates 9**, UI Component 23**, Pages 13** 
</t>
    </r>
    <r>
      <rPr>
        <b/>
        <sz val="10"/>
        <rFont val="Calibri"/>
        <family val="2"/>
        <scheme val="minor"/>
      </rPr>
      <t>JS MVC Development:-</t>
    </r>
    <r>
      <rPr>
        <sz val="10"/>
        <rFont val="Calibri"/>
        <family val="2"/>
        <scheme val="minor"/>
      </rPr>
      <t xml:space="preserve"> Angular Components 23** , Services 15**, Test Automation 15**
</t>
    </r>
    <r>
      <rPr>
        <b/>
        <sz val="10"/>
        <rFont val="Calibri"/>
        <family val="2"/>
        <scheme val="minor"/>
      </rPr>
      <t>Node JS:-</t>
    </r>
    <r>
      <rPr>
        <sz val="10"/>
        <rFont val="Calibri"/>
        <family val="2"/>
        <scheme val="minor"/>
      </rPr>
      <t xml:space="preserve"> Node API Services 6**
as of now only any changes in the count the estimates will be revisited.</t>
    </r>
  </si>
  <si>
    <r>
      <rPr>
        <b/>
        <sz val="10"/>
        <rFont val="Calibri"/>
        <family val="2"/>
        <scheme val="minor"/>
      </rPr>
      <t>Overall Roles and Responsibility of UI:-</t>
    </r>
    <r>
      <rPr>
        <sz val="10"/>
        <rFont val="Calibri"/>
        <family val="2"/>
        <scheme val="minor"/>
      </rPr>
      <t xml:space="preserve">
* Analyzing the Wireframes and Visual Design.
* Develop application using HTML5, CSS3, Bootstrap, Angular JS, Node JS and Mongo DB.
* Unit Testing in desktop.
* Front End will only be consuming the Restful service provided by backend team.
* All restful services has to be provided as JSON objects to the frontend developers.
* Incase of any changes required in the JSON structure, middleware has to provide the updated JSON structure as per the frontend developers request.
* Any data which needs to be updated from the frontend to the backend will be sent as an array of object to the middleware team only.
* Import, export related functionality and validations will be handled by the backend team, required data will be provided for the processing by the backend.</t>
    </r>
  </si>
  <si>
    <t>VD with UI Validation (Development Phase) is added as part of the UI development process which will be 15% from overall UI development, here we will try to match the VD, Specs &amp; UX.</t>
  </si>
  <si>
    <t>Development Tools, Licenses, Environment for Node and Mongo DB, Physical Devices in scope along with Wifi connectivity for the devices to hit the local host for unit testing to be provisioned by Client/Account Team.</t>
  </si>
  <si>
    <t>UI + Angular JS Development</t>
  </si>
  <si>
    <t>Offshore - UI Developer (A) (Angular + UI)</t>
  </si>
  <si>
    <t>Offshore - UI Developer (PA) (Angular + UI)</t>
  </si>
  <si>
    <t>Offshore - UI Lead (SA) (Full Stack + UI)</t>
  </si>
  <si>
    <t>Offshore - Overall Frontend Architect (SM) (Full Stack+ UI)</t>
  </si>
  <si>
    <t>Offshore - UI Developer (A) (Full Stack)</t>
  </si>
  <si>
    <t>Ford Direct</t>
  </si>
  <si>
    <t>K.Hayath Basha</t>
  </si>
  <si>
    <t>Estimation Approver</t>
  </si>
  <si>
    <t>K, Hayath Basha</t>
  </si>
  <si>
    <t>Version</t>
  </si>
  <si>
    <r>
      <rPr>
        <b/>
        <sz val="10"/>
        <rFont val="Calibri"/>
        <family val="2"/>
        <scheme val="minor"/>
      </rPr>
      <t xml:space="preserve">Overall Application Understanding :- </t>
    </r>
    <r>
      <rPr>
        <sz val="10"/>
        <rFont val="Calibri"/>
        <family val="2"/>
        <scheme val="minor"/>
      </rPr>
      <t xml:space="preserve">
The aplication is to create campaign management for Ford using Facebook API. 
1. All necessary API will be available with Facebook Marketing API to achieve the requirement, If any discrepancy or limitation with API we might not able to achieve as per requirement.
2. All necessary Access and Authentication will be provided for development.
3. For reports, we will be supporting only what facebook API provides.
4. We assume that Dealer Management will have view registered users in the system and all Registeration of users will be done out of the system.
5. View registered users will be filtered based on location.
6. Manage (View/Edit/Delete) registered users in the system.
7. </t>
    </r>
    <r>
      <rPr>
        <b/>
        <sz val="10"/>
        <rFont val="Calibri"/>
        <family val="2"/>
        <scheme val="minor"/>
      </rPr>
      <t xml:space="preserve">Campaign Management:- </t>
    </r>
    <r>
      <rPr>
        <sz val="10"/>
        <rFont val="Calibri"/>
        <family val="2"/>
        <scheme val="minor"/>
      </rPr>
      <t xml:space="preserve">
Manager can choose Ad for a campaign with the following parameters:
• Choose set of dealers for whom to run the campaign
• Select Target Audience
• Set Campaign Objective parameter
• Set Campaign Budget
• Set Campaign Schedule Time/Duration
• Set Campaign Placement (FB and Instagram)
8. View Campaign Report
Manager can view reports of existing campaigns with the following parameters:
• View report for single/multiple dealers
• View locationwise report
9. Assuming homepage will be something to similar to this https://www.facebook.com/business 
We need 2 servers for each environment (if required else we can have only production server)  to have node webserver and mongodb data base. If we have more load we need to horizontally add the servers to balance the traffic between servers. We have assumed 1000 hits per day if this exceeds then we might have to add more servers horizantally.</t>
    </r>
  </si>
  <si>
    <t>Functionality Unit Testing</t>
  </si>
  <si>
    <t>Total Effort -  (in Hours)</t>
  </si>
  <si>
    <t>Total Effort -  (in Days)</t>
  </si>
  <si>
    <t>Total Effort -  (in Weeks)</t>
  </si>
  <si>
    <t>Total Effort -  (in Months)</t>
  </si>
  <si>
    <t>Header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</si>
</sst>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quot;* #,##0.00_);_(&quot;$&quot;* \(#,##0.00\);_(&quot;$&quot;* &quot;-&quot;??_);_(@_)"/>
    <numFmt numFmtId="165" formatCode="_(* #,##0.00_);_(* \(#,##0.00\);_(* &quot;-&quot;??_);_(@_)"/>
    <numFmt numFmtId="166" formatCode="&quot;$&quot;#,##0;\-&quot;$&quot;#,##0"/>
    <numFmt numFmtId="167" formatCode="0.00;[Red]0.00"/>
    <numFmt numFmtId="168" formatCode="0.0;[Red]0.0"/>
    <numFmt numFmtId="169" formatCode="[$-409]d\-mmm\-yy;@"/>
    <numFmt numFmtId="170" formatCode="0;[Red]0"/>
    <numFmt numFmtId="171" formatCode="0.0%"/>
  </numFmts>
  <fonts count="51">
    <font>
      <sz val="11"/>
      <color theme="1"/>
      <name val="Calibri"/>
      <family val="2"/>
      <scheme val="minor"/>
    </font>
    <font>
      <sz val="10"/>
      <name val="Calibri"/>
      <family val="2"/>
      <scheme val="minor"/>
    </font>
    <font>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sz val="10"/>
      <color rgb="FF000000"/>
      <name val="Calibri"/>
      <family val="2"/>
      <scheme val="minor"/>
    </font>
    <font>
      <sz val="10"/>
      <name val="Arial"/>
      <family val="2"/>
    </font>
    <font>
      <sz val="10"/>
      <name val="Arial"/>
      <family val="2"/>
    </font>
    <font>
      <u/>
      <sz val="11"/>
      <color theme="10"/>
      <name val="Calibri"/>
      <family val="2"/>
    </font>
    <font>
      <b/>
      <sz val="8.5"/>
      <color indexed="18"/>
      <name val="MS Sans Serif"/>
      <family val="2"/>
    </font>
    <font>
      <u/>
      <sz val="11"/>
      <color theme="10"/>
      <name val="Calibri"/>
      <family val="2"/>
      <scheme val="minor"/>
    </font>
    <font>
      <u/>
      <sz val="11"/>
      <color theme="11"/>
      <name val="Calibri"/>
      <family val="2"/>
      <scheme val="minor"/>
    </font>
    <font>
      <i/>
      <sz val="10"/>
      <color theme="1"/>
      <name val="Calibri"/>
      <family val="2"/>
      <scheme val="minor"/>
    </font>
    <font>
      <sz val="10"/>
      <color theme="1" tint="0.499984740745262"/>
      <name val="Calibri"/>
      <family val="2"/>
      <scheme val="minor"/>
    </font>
    <font>
      <b/>
      <sz val="10"/>
      <color rgb="FF000000"/>
      <name val="Calibri"/>
      <family val="2"/>
      <scheme val="minor"/>
    </font>
    <font>
      <b/>
      <sz val="10"/>
      <name val="Calibri"/>
      <family val="2"/>
      <scheme val="minor"/>
    </font>
    <font>
      <b/>
      <sz val="10"/>
      <color theme="0"/>
      <name val="Calibri"/>
      <family val="2"/>
      <scheme val="minor"/>
    </font>
    <font>
      <sz val="16"/>
      <color theme="1"/>
      <name val="Calibri"/>
      <family val="2"/>
      <scheme val="minor"/>
    </font>
    <font>
      <sz val="10"/>
      <color theme="1" tint="0.14999847407452621"/>
      <name val="Calibri"/>
      <family val="2"/>
      <scheme val="minor"/>
    </font>
    <font>
      <b/>
      <sz val="10"/>
      <color theme="1" tint="0.14999847407452621"/>
      <name val="Calibri"/>
      <family val="2"/>
      <scheme val="minor"/>
    </font>
    <font>
      <sz val="11"/>
      <name val="Calibri"/>
      <family val="2"/>
      <scheme val="minor"/>
    </font>
    <font>
      <b/>
      <sz val="14"/>
      <name val="Calibri"/>
      <family val="2"/>
      <scheme val="minor"/>
    </font>
    <font>
      <b/>
      <sz val="18"/>
      <color indexed="18"/>
      <name val="Calibri"/>
      <family val="2"/>
      <scheme val="minor"/>
    </font>
    <font>
      <b/>
      <sz val="18"/>
      <color theme="1" tint="0.249977111117893"/>
      <name val="Calibri"/>
      <family val="2"/>
      <scheme val="minor"/>
    </font>
    <font>
      <b/>
      <i/>
      <sz val="9"/>
      <color rgb="FF595959"/>
      <name val="Calibri"/>
      <family val="2"/>
      <scheme val="minor"/>
    </font>
    <font>
      <i/>
      <sz val="10"/>
      <name val="Calibri"/>
      <family val="2"/>
      <scheme val="minor"/>
    </font>
    <font>
      <sz val="9"/>
      <color theme="1"/>
      <name val="Calibri"/>
      <family val="2"/>
      <scheme val="minor"/>
    </font>
    <font>
      <b/>
      <sz val="16"/>
      <color theme="1" tint="0.249977111117893"/>
      <name val="Calibri"/>
      <family val="2"/>
      <scheme val="minor"/>
    </font>
    <font>
      <i/>
      <sz val="10"/>
      <color theme="1" tint="0.249977111117893"/>
      <name val="Calibri"/>
      <family val="2"/>
      <scheme val="minor"/>
    </font>
    <font>
      <sz val="9"/>
      <color indexed="81"/>
      <name val="Tahoma"/>
      <family val="2"/>
    </font>
    <font>
      <b/>
      <sz val="9"/>
      <color indexed="81"/>
      <name val="Tahoma"/>
      <family val="2"/>
    </font>
    <font>
      <i/>
      <sz val="10"/>
      <color rgb="FF000000"/>
      <name val="Calibri"/>
      <family val="2"/>
      <scheme val="minor"/>
    </font>
    <font>
      <sz val="10"/>
      <color rgb="FF808080"/>
      <name val="Calibri"/>
      <family val="2"/>
      <scheme val="minor"/>
    </font>
    <font>
      <sz val="10"/>
      <color rgb="FFC00000"/>
      <name val="Calibri"/>
      <family val="2"/>
      <scheme val="minor"/>
    </font>
    <font>
      <b/>
      <sz val="10"/>
      <color rgb="FFC00000"/>
      <name val="Calibri"/>
      <family val="2"/>
      <scheme val="minor"/>
    </font>
    <font>
      <sz val="10"/>
      <color theme="0"/>
      <name val="Calibri"/>
      <family val="2"/>
      <scheme val="minor"/>
    </font>
    <font>
      <sz val="10"/>
      <color theme="0" tint="-0.499984740745262"/>
      <name val="Calibri"/>
      <family val="2"/>
      <scheme val="minor"/>
    </font>
    <font>
      <b/>
      <sz val="10"/>
      <color rgb="FFCC0000"/>
      <name val="Calibri"/>
      <family val="2"/>
      <scheme val="minor"/>
    </font>
    <font>
      <sz val="10"/>
      <color theme="1" tint="4.9989318521683403E-2"/>
      <name val="Calibri"/>
      <family val="2"/>
      <scheme val="minor"/>
    </font>
    <font>
      <sz val="16"/>
      <color rgb="FF0070C0"/>
      <name val="Calibri (Body)"/>
    </font>
    <font>
      <b/>
      <sz val="10"/>
      <color theme="1" tint="0.499984740745262"/>
      <name val="Calibri"/>
      <family val="2"/>
      <scheme val="minor"/>
    </font>
    <font>
      <sz val="10"/>
      <color rgb="FFFF0000"/>
      <name val="Calibri"/>
      <family val="2"/>
      <scheme val="minor"/>
    </font>
    <font>
      <i/>
      <sz val="10"/>
      <color rgb="FFC00000"/>
      <name val="Calibri"/>
      <family val="2"/>
      <scheme val="minor"/>
    </font>
    <font>
      <sz val="10"/>
      <color theme="1" tint="0.249977111117893"/>
      <name val="Calibri"/>
      <family val="2"/>
      <scheme val="minor"/>
    </font>
    <font>
      <sz val="10"/>
      <color theme="1"/>
      <name val="Trebuchet MS"/>
      <family val="2"/>
    </font>
    <font>
      <sz val="12"/>
      <color rgb="FF800000"/>
      <name val="Calibri"/>
      <family val="2"/>
    </font>
    <font>
      <b/>
      <sz val="11"/>
      <color theme="1"/>
      <name val="Calibri"/>
      <family val="2"/>
      <scheme val="minor"/>
    </font>
    <font>
      <sz val="11"/>
      <color rgb="FF0070C0"/>
      <name val="Calibri"/>
      <family val="2"/>
      <scheme val="minor"/>
    </font>
    <font>
      <sz val="16"/>
      <name val="Calibri"/>
      <family val="2"/>
      <scheme val="minor"/>
    </font>
    <font>
      <b/>
      <sz val="10"/>
      <color indexed="8"/>
      <name val="Calibri"/>
      <family val="2"/>
      <scheme val="minor"/>
    </font>
  </fonts>
  <fills count="24">
    <fill>
      <patternFill patternType="none"/>
    </fill>
    <fill>
      <patternFill patternType="gray125"/>
    </fill>
    <fill>
      <patternFill patternType="solid">
        <fgColor theme="0"/>
        <bgColor indexed="64"/>
      </patternFill>
    </fill>
    <fill>
      <patternFill patternType="solid">
        <fgColor theme="5"/>
      </patternFill>
    </fill>
    <fill>
      <patternFill patternType="solid">
        <fgColor theme="8" tint="0.79998168889431442"/>
        <bgColor indexed="64"/>
      </patternFill>
    </fill>
    <fill>
      <patternFill patternType="solid">
        <fgColor indexed="26"/>
        <bgColor indexed="64"/>
      </patternFill>
    </fill>
    <fill>
      <patternFill patternType="solid">
        <fgColor theme="9"/>
      </patternFill>
    </fill>
    <fill>
      <patternFill patternType="solid">
        <fgColor theme="7" tint="0.79998168889431442"/>
        <bgColor indexed="64"/>
      </patternFill>
    </fill>
    <fill>
      <patternFill patternType="solid">
        <fgColor indexed="9"/>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0" tint="-4.9989318521683403E-2"/>
        <bgColor rgb="FF000000"/>
      </patternFill>
    </fill>
    <fill>
      <patternFill patternType="solid">
        <fgColor rgb="FFF2F2F2"/>
        <bgColor rgb="FF000000"/>
      </patternFill>
    </fill>
    <fill>
      <patternFill patternType="solid">
        <fgColor theme="6" tint="0.5999938962981048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DE9D9"/>
        <bgColor rgb="FF000000"/>
      </patternFill>
    </fill>
    <fill>
      <patternFill patternType="solid">
        <fgColor theme="0" tint="-0.149998474074526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6" tint="0.79998168889431442"/>
        <bgColor indexed="64"/>
      </patternFill>
    </fill>
    <fill>
      <patternFill patternType="solid">
        <fgColor rgb="FF92D050"/>
        <bgColor indexed="64"/>
      </patternFill>
    </fill>
  </fills>
  <borders count="88">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indexed="48"/>
      </left>
      <right style="thin">
        <color indexed="48"/>
      </right>
      <top style="thin">
        <color indexed="48"/>
      </top>
      <bottom style="thin">
        <color indexed="48"/>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style="thin">
        <color theme="0" tint="-0.499984740745262"/>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style="thin">
        <color theme="0" tint="-0.499984740745262"/>
      </top>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auto="1"/>
      </left>
      <right style="thin">
        <color auto="1"/>
      </right>
      <top style="thin">
        <color auto="1"/>
      </top>
      <bottom style="thin">
        <color auto="1"/>
      </bottom>
      <diagonal/>
    </border>
    <border>
      <left style="thin">
        <color theme="0" tint="-0.499984740745262"/>
      </left>
      <right style="thin">
        <color theme="0" tint="-0.499984740745262"/>
      </right>
      <top style="thin">
        <color auto="1"/>
      </top>
      <bottom/>
      <diagonal/>
    </border>
    <border>
      <left style="thin">
        <color indexed="48"/>
      </left>
      <right style="thin">
        <color indexed="48"/>
      </right>
      <top style="thin">
        <color indexed="48"/>
      </top>
      <bottom style="thin">
        <color indexed="48"/>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top style="thin">
        <color theme="0" tint="-0.499984740745262"/>
      </top>
      <bottom/>
      <diagonal/>
    </border>
    <border>
      <left style="thin">
        <color theme="0"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style="thin">
        <color theme="0" tint="-0.499984740745262"/>
      </left>
      <right style="thin">
        <color theme="1" tint="0.499984740745262"/>
      </right>
      <top style="thin">
        <color theme="1" tint="0.499984740745262"/>
      </top>
      <bottom style="thin">
        <color theme="0" tint="-0.499984740745262"/>
      </bottom>
      <diagonal/>
    </border>
    <border>
      <left style="thin">
        <color theme="1" tint="0.499984740745262"/>
      </left>
      <right/>
      <top style="thin">
        <color theme="0" tint="-0.499984740745262"/>
      </top>
      <bottom style="thin">
        <color theme="0" tint="-0.499984740745262"/>
      </bottom>
      <diagonal/>
    </border>
    <border>
      <left style="thin">
        <color theme="0" tint="-0.499984740745262"/>
      </left>
      <right style="thin">
        <color theme="1" tint="0.499984740745262"/>
      </right>
      <top style="thin">
        <color theme="0" tint="-0.499984740745262"/>
      </top>
      <bottom style="thin">
        <color theme="0" tint="-0.499984740745262"/>
      </bottom>
      <diagonal/>
    </border>
    <border>
      <left style="thin">
        <color theme="1" tint="0.499984740745262"/>
      </left>
      <right/>
      <top style="thin">
        <color theme="0" tint="-0.499984740745262"/>
      </top>
      <bottom style="thin">
        <color theme="1" tint="0.499984740745262"/>
      </bottom>
      <diagonal/>
    </border>
    <border>
      <left/>
      <right/>
      <top style="thin">
        <color theme="0" tint="-0.499984740745262"/>
      </top>
      <bottom style="thin">
        <color theme="1" tint="0.499984740745262"/>
      </bottom>
      <diagonal/>
    </border>
    <border>
      <left style="thin">
        <color theme="0" tint="-0.499984740745262"/>
      </left>
      <right style="thin">
        <color theme="1" tint="0.499984740745262"/>
      </right>
      <top style="thin">
        <color theme="0" tint="-0.499984740745262"/>
      </top>
      <bottom style="thin">
        <color theme="1" tint="0.499984740745262"/>
      </bottom>
      <diagonal/>
    </border>
    <border>
      <left style="thin">
        <color rgb="FF808080"/>
      </left>
      <right style="thin">
        <color rgb="FF808080"/>
      </right>
      <top style="thin">
        <color rgb="FF808080"/>
      </top>
      <bottom style="thin">
        <color rgb="FF808080"/>
      </bottom>
      <diagonal/>
    </border>
    <border>
      <left style="thin">
        <color rgb="FF808080"/>
      </left>
      <right style="thin">
        <color rgb="FF808080"/>
      </right>
      <top/>
      <bottom style="thin">
        <color rgb="FF808080"/>
      </bottom>
      <diagonal/>
    </border>
    <border>
      <left/>
      <right style="thin">
        <color rgb="FF808080"/>
      </right>
      <top/>
      <bottom style="thin">
        <color rgb="FF808080"/>
      </bottom>
      <diagonal/>
    </border>
    <border>
      <left/>
      <right style="thin">
        <color rgb="FF808080"/>
      </right>
      <top style="thin">
        <color rgb="FF808080"/>
      </top>
      <bottom style="thin">
        <color rgb="FF808080"/>
      </bottom>
      <diagonal/>
    </border>
    <border>
      <left/>
      <right style="thin">
        <color theme="1" tint="0.499984740745262"/>
      </right>
      <top style="thin">
        <color theme="1" tint="0.499984740745262"/>
      </top>
      <bottom style="thin">
        <color theme="1" tint="0.499984740745262"/>
      </bottom>
      <diagonal/>
    </border>
    <border>
      <left style="thin">
        <color theme="0" tint="-0.499984740745262"/>
      </left>
      <right/>
      <top style="thin">
        <color theme="1" tint="0.499984740745262"/>
      </top>
      <bottom style="thin">
        <color theme="0" tint="-0.499984740745262"/>
      </bottom>
      <diagonal/>
    </border>
    <border>
      <left style="thin">
        <color theme="1" tint="0.499984740745262"/>
      </left>
      <right/>
      <top style="thin">
        <color theme="0"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1" tint="0.499984740745262"/>
      </top>
      <bottom style="thin">
        <color theme="1" tint="0.499984740745262"/>
      </bottom>
      <diagonal/>
    </border>
    <border>
      <left/>
      <right style="thin">
        <color theme="0"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style="thin">
        <color theme="0" tint="-0.499984740745262"/>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style="thin">
        <color rgb="FF808080"/>
      </left>
      <right/>
      <top style="thin">
        <color theme="1" tint="0.499984740745262"/>
      </top>
      <bottom/>
      <diagonal/>
    </border>
    <border>
      <left/>
      <right style="thin">
        <color theme="1" tint="0.499984740745262"/>
      </right>
      <top style="thin">
        <color theme="1" tint="0.499984740745262"/>
      </top>
      <bottom/>
      <diagonal/>
    </border>
    <border>
      <left/>
      <right style="thin">
        <color theme="1" tint="0.499984740745262"/>
      </right>
      <top style="thin">
        <color theme="1" tint="0.499984740745262"/>
      </top>
      <bottom style="thin">
        <color theme="0" tint="-0.499984740745262"/>
      </bottom>
      <diagonal/>
    </border>
    <border>
      <left style="thin">
        <color theme="1"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1" tint="0.499984740745262"/>
      </right>
      <top style="thin">
        <color theme="0" tint="-0.499984740745262"/>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14996795556505021"/>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14996795556505021"/>
      </right>
      <top style="thin">
        <color theme="0" tint="-0.249977111117893"/>
      </top>
      <bottom style="thin">
        <color theme="0" tint="-0.249977111117893"/>
      </bottom>
      <diagonal/>
    </border>
    <border>
      <left/>
      <right style="thin">
        <color rgb="FFD9D9D9"/>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right style="thin">
        <color theme="0" tint="-0.14996795556505021"/>
      </right>
      <top/>
      <bottom style="thin">
        <color theme="0" tint="-0.249977111117893"/>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rgb="FF808080"/>
      </left>
      <right style="thin">
        <color rgb="FF808080"/>
      </right>
      <top style="thin">
        <color rgb="FF808080"/>
      </top>
      <bottom/>
      <diagonal/>
    </border>
    <border>
      <left style="thin">
        <color rgb="FF808080"/>
      </left>
      <right style="thin">
        <color rgb="FF808080"/>
      </right>
      <top/>
      <bottom/>
      <diagonal/>
    </border>
    <border>
      <left style="thin">
        <color rgb="FF808080"/>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theme="0" tint="-0.249977111117893"/>
      </left>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auto="1"/>
      </top>
      <bottom/>
      <diagonal/>
    </border>
    <border>
      <left style="thin">
        <color theme="0" tint="-0.499984740745262"/>
      </left>
      <right/>
      <top style="thin">
        <color theme="0" tint="-0.499984740745262"/>
      </top>
      <bottom style="thin">
        <color indexed="64"/>
      </bottom>
      <diagonal/>
    </border>
    <border>
      <left/>
      <right/>
      <top style="thin">
        <color theme="0" tint="-0.499984740745262"/>
      </top>
      <bottom style="thin">
        <color indexed="64"/>
      </bottom>
      <diagonal/>
    </border>
    <border>
      <left style="thin">
        <color theme="1" tint="0.499984740745262"/>
      </left>
      <right style="thin">
        <color theme="1" tint="0.499984740745262"/>
      </right>
      <top style="thin">
        <color theme="0" tint="-0.499984740745262"/>
      </top>
      <bottom style="thin">
        <color indexed="64"/>
      </bottom>
      <diagonal/>
    </border>
    <border>
      <left/>
      <right style="thin">
        <color theme="1" tint="0.499984740745262"/>
      </right>
      <top style="thin">
        <color theme="0" tint="-0.499984740745262"/>
      </top>
      <bottom style="thin">
        <color theme="1" tint="0.499984740745262"/>
      </bottom>
      <diagonal/>
    </border>
  </borders>
  <cellStyleXfs count="1268">
    <xf numFmtId="0" fontId="0" fillId="0" borderId="0"/>
    <xf numFmtId="0" fontId="2" fillId="0" borderId="0"/>
    <xf numFmtId="165" fontId="2" fillId="0" borderId="0" applyFont="0" applyFill="0" applyBorder="0" applyAlignment="0" applyProtection="0"/>
    <xf numFmtId="0" fontId="7" fillId="0" borderId="0"/>
    <xf numFmtId="164" fontId="8" fillId="0" borderId="0" applyFont="0" applyFill="0" applyBorder="0" applyAlignment="0" applyProtection="0"/>
    <xf numFmtId="0" fontId="9" fillId="0" borderId="0" applyNumberFormat="0" applyFill="0" applyBorder="0" applyAlignment="0" applyProtection="0">
      <alignment vertical="top"/>
      <protection locked="0"/>
    </xf>
    <xf numFmtId="167" fontId="10" fillId="5" borderId="3">
      <alignment vertical="top" wrapText="1"/>
    </xf>
    <xf numFmtId="166" fontId="10" fillId="5" borderId="3">
      <alignment vertical="top" wrapText="1"/>
    </xf>
    <xf numFmtId="166" fontId="10" fillId="5" borderId="3">
      <alignment vertical="top" wrapText="1"/>
    </xf>
    <xf numFmtId="166" fontId="10" fillId="5" borderId="3">
      <alignment vertical="top" wrapText="1"/>
    </xf>
    <xf numFmtId="166" fontId="10" fillId="5" borderId="3">
      <alignment vertical="top" wrapText="1"/>
    </xf>
    <xf numFmtId="166" fontId="10" fillId="5" borderId="3">
      <alignment vertical="top" wrapText="1"/>
    </xf>
    <xf numFmtId="166" fontId="10" fillId="5" borderId="3">
      <alignment vertical="top" wrapText="1"/>
    </xf>
    <xf numFmtId="166" fontId="10" fillId="5" borderId="3">
      <alignment vertical="top" wrapText="1"/>
    </xf>
    <xf numFmtId="166" fontId="10" fillId="5" borderId="3">
      <alignment vertical="top" wrapText="1"/>
    </xf>
    <xf numFmtId="166" fontId="10" fillId="5" borderId="3">
      <alignment vertical="top" wrapText="1"/>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7" fontId="10" fillId="5" borderId="3">
      <alignment vertical="top" wrapText="1"/>
    </xf>
    <xf numFmtId="0" fontId="8" fillId="0" borderId="0"/>
    <xf numFmtId="0" fontId="7" fillId="0" borderId="0"/>
    <xf numFmtId="167" fontId="10" fillId="5" borderId="3">
      <alignment vertical="top" wrapText="1"/>
    </xf>
    <xf numFmtId="0" fontId="3" fillId="3" borderId="0" applyNumberFormat="0" applyBorder="0" applyAlignment="0" applyProtection="0"/>
    <xf numFmtId="0" fontId="3" fillId="6" borderId="0" applyNumberFormat="0" applyBorder="0" applyAlignment="0" applyProtection="0"/>
    <xf numFmtId="0" fontId="7" fillId="0" borderId="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7" fillId="0" borderId="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9" fontId="2" fillId="0" borderId="0" applyFon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164" fontId="7" fillId="0" borderId="0" applyFont="0" applyFill="0" applyBorder="0" applyAlignment="0" applyProtection="0"/>
    <xf numFmtId="167" fontId="10" fillId="5" borderId="18">
      <alignment vertical="top" wrapText="1"/>
    </xf>
    <xf numFmtId="166" fontId="10" fillId="5" borderId="18">
      <alignment vertical="top" wrapText="1"/>
    </xf>
    <xf numFmtId="166" fontId="10" fillId="5" borderId="18">
      <alignment vertical="top" wrapText="1"/>
    </xf>
    <xf numFmtId="166" fontId="10" fillId="5" borderId="18">
      <alignment vertical="top" wrapText="1"/>
    </xf>
    <xf numFmtId="166" fontId="10" fillId="5" borderId="18">
      <alignment vertical="top" wrapText="1"/>
    </xf>
    <xf numFmtId="166" fontId="10" fillId="5" borderId="18">
      <alignment vertical="top" wrapText="1"/>
    </xf>
    <xf numFmtId="166" fontId="10" fillId="5" borderId="18">
      <alignment vertical="top" wrapText="1"/>
    </xf>
    <xf numFmtId="166" fontId="10" fillId="5" borderId="18">
      <alignment vertical="top" wrapText="1"/>
    </xf>
    <xf numFmtId="166" fontId="10" fillId="5" borderId="18">
      <alignment vertical="top" wrapText="1"/>
    </xf>
    <xf numFmtId="166" fontId="10" fillId="5" borderId="18">
      <alignment vertical="top" wrapText="1"/>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67" fontId="10" fillId="5" borderId="18">
      <alignment vertical="top" wrapText="1"/>
    </xf>
    <xf numFmtId="0" fontId="7" fillId="0" borderId="0"/>
    <xf numFmtId="167" fontId="10" fillId="5" borderId="18">
      <alignment vertical="top" wrapText="1"/>
    </xf>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2" fillId="0" borderId="0"/>
  </cellStyleXfs>
  <cellXfs count="511">
    <xf numFmtId="0" fontId="0" fillId="0" borderId="0" xfId="0"/>
    <xf numFmtId="0" fontId="8" fillId="0" borderId="0" xfId="17" applyProtection="1">
      <protection locked="0"/>
    </xf>
    <xf numFmtId="0" fontId="4" fillId="0" borderId="0" xfId="0" applyFont="1"/>
    <xf numFmtId="0" fontId="4" fillId="0" borderId="0" xfId="0" applyFont="1" applyAlignment="1">
      <alignment vertical="top"/>
    </xf>
    <xf numFmtId="0" fontId="4" fillId="0" borderId="0" xfId="1" applyFont="1"/>
    <xf numFmtId="0" fontId="4" fillId="0" borderId="0" xfId="0" applyFont="1" applyAlignment="1">
      <alignment wrapText="1"/>
    </xf>
    <xf numFmtId="0" fontId="4" fillId="0" borderId="0" xfId="0" applyFont="1" applyAlignment="1">
      <alignment horizontal="left" vertical="top" wrapText="1"/>
    </xf>
    <xf numFmtId="0" fontId="5"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center" wrapText="1"/>
    </xf>
    <xf numFmtId="0" fontId="1" fillId="2" borderId="0" xfId="31" applyFont="1" applyFill="1" applyAlignment="1" applyProtection="1">
      <alignment wrapText="1"/>
      <protection locked="0" hidden="1"/>
    </xf>
    <xf numFmtId="0" fontId="21" fillId="8" borderId="0" xfId="17" applyFont="1" applyFill="1" applyProtection="1">
      <protection locked="0"/>
    </xf>
    <xf numFmtId="0" fontId="23" fillId="8" borderId="6" xfId="17" applyFont="1" applyFill="1" applyBorder="1" applyProtection="1">
      <protection locked="0"/>
    </xf>
    <xf numFmtId="0" fontId="23" fillId="8" borderId="7" xfId="17" applyFont="1" applyFill="1" applyBorder="1" applyAlignment="1" applyProtection="1">
      <alignment horizontal="right"/>
      <protection locked="0"/>
    </xf>
    <xf numFmtId="0" fontId="25" fillId="0" borderId="7" xfId="0" applyFont="1" applyBorder="1" applyAlignment="1">
      <alignment horizontal="right"/>
    </xf>
    <xf numFmtId="0" fontId="1" fillId="8" borderId="6" xfId="17" applyFont="1" applyFill="1" applyBorder="1" applyProtection="1">
      <protection locked="0"/>
    </xf>
    <xf numFmtId="0" fontId="17" fillId="2" borderId="0" xfId="17" applyFont="1" applyFill="1" applyAlignment="1" applyProtection="1">
      <alignment horizontal="center" vertical="center"/>
      <protection locked="0" hidden="1"/>
    </xf>
    <xf numFmtId="0" fontId="1" fillId="2" borderId="0" xfId="17" applyFont="1" applyFill="1" applyProtection="1">
      <protection locked="0" hidden="1"/>
    </xf>
    <xf numFmtId="0" fontId="1" fillId="2" borderId="7" xfId="17" applyFont="1" applyFill="1" applyBorder="1" applyProtection="1">
      <protection locked="0" hidden="1"/>
    </xf>
    <xf numFmtId="0" fontId="1" fillId="2" borderId="7" xfId="31" applyFont="1" applyFill="1" applyBorder="1" applyAlignment="1" applyProtection="1">
      <alignment wrapText="1"/>
      <protection locked="0" hidden="1"/>
    </xf>
    <xf numFmtId="14" fontId="26" fillId="8" borderId="0" xfId="17" applyNumberFormat="1" applyFont="1" applyFill="1" applyAlignment="1" applyProtection="1">
      <alignment horizontal="left"/>
      <protection locked="0"/>
    </xf>
    <xf numFmtId="0" fontId="1" fillId="8" borderId="0" xfId="17" applyFont="1" applyFill="1" applyProtection="1">
      <protection locked="0"/>
    </xf>
    <xf numFmtId="0" fontId="1" fillId="8" borderId="7" xfId="17" applyFont="1" applyFill="1" applyBorder="1" applyProtection="1">
      <protection locked="0"/>
    </xf>
    <xf numFmtId="0" fontId="21" fillId="8" borderId="6" xfId="17" applyFont="1" applyFill="1" applyBorder="1" applyProtection="1">
      <protection locked="0"/>
    </xf>
    <xf numFmtId="0" fontId="21" fillId="8" borderId="7" xfId="17" applyFont="1" applyFill="1" applyBorder="1" applyProtection="1">
      <protection locked="0"/>
    </xf>
    <xf numFmtId="0" fontId="24" fillId="8" borderId="0" xfId="17" applyFont="1" applyFill="1" applyProtection="1">
      <protection locked="0"/>
    </xf>
    <xf numFmtId="0" fontId="23" fillId="8" borderId="0" xfId="17" applyFont="1" applyFill="1" applyProtection="1">
      <protection locked="0"/>
    </xf>
    <xf numFmtId="0" fontId="23" fillId="8" borderId="7" xfId="17" applyFont="1" applyFill="1" applyBorder="1" applyProtection="1">
      <protection locked="0"/>
    </xf>
    <xf numFmtId="0" fontId="16" fillId="7" borderId="2" xfId="17" applyFont="1" applyFill="1" applyBorder="1" applyProtection="1">
      <protection locked="0"/>
    </xf>
    <xf numFmtId="0" fontId="27" fillId="7" borderId="9" xfId="0" applyFont="1" applyFill="1" applyBorder="1" applyAlignment="1">
      <alignment horizontal="center" vertical="center" wrapText="1"/>
    </xf>
    <xf numFmtId="0" fontId="27" fillId="7" borderId="10" xfId="0" applyFont="1" applyFill="1" applyBorder="1" applyAlignment="1">
      <alignment horizontal="center" vertical="top" wrapText="1"/>
    </xf>
    <xf numFmtId="0" fontId="28" fillId="10" borderId="1" xfId="17" applyFont="1" applyFill="1" applyBorder="1" applyAlignment="1" applyProtection="1">
      <alignment horizontal="center" vertical="center"/>
      <protection locked="0"/>
    </xf>
    <xf numFmtId="0" fontId="22" fillId="8" borderId="6" xfId="17" applyFont="1" applyFill="1" applyBorder="1" applyProtection="1">
      <protection locked="0"/>
    </xf>
    <xf numFmtId="0" fontId="8" fillId="11" borderId="2" xfId="17" applyFill="1" applyBorder="1" applyProtection="1">
      <protection locked="0"/>
    </xf>
    <xf numFmtId="0" fontId="8" fillId="11" borderId="9" xfId="17" applyFill="1" applyBorder="1" applyProtection="1">
      <protection locked="0"/>
    </xf>
    <xf numFmtId="0" fontId="4" fillId="11" borderId="11" xfId="0" applyFont="1" applyFill="1" applyBorder="1" applyAlignment="1">
      <alignment vertical="center"/>
    </xf>
    <xf numFmtId="0" fontId="4" fillId="0" borderId="1" xfId="0" applyFont="1" applyBorder="1" applyAlignment="1">
      <alignment horizontal="left" vertical="top"/>
    </xf>
    <xf numFmtId="0" fontId="14" fillId="0" borderId="1" xfId="1" applyFont="1" applyBorder="1"/>
    <xf numFmtId="0" fontId="4" fillId="0" borderId="1" xfId="0" applyFont="1" applyBorder="1" applyAlignment="1">
      <alignment vertical="top" wrapText="1"/>
    </xf>
    <xf numFmtId="0" fontId="4" fillId="0" borderId="1" xfId="0" applyFont="1" applyBorder="1" applyAlignment="1">
      <alignment horizontal="center" vertical="top" wrapText="1"/>
    </xf>
    <xf numFmtId="0" fontId="5" fillId="7" borderId="1" xfId="0" applyFont="1" applyFill="1" applyBorder="1" applyAlignment="1">
      <alignment vertical="center" wrapText="1"/>
    </xf>
    <xf numFmtId="0" fontId="4" fillId="0" borderId="1" xfId="0" applyFont="1" applyBorder="1" applyAlignment="1">
      <alignment vertical="top"/>
    </xf>
    <xf numFmtId="0" fontId="13" fillId="0" borderId="1" xfId="1" applyFont="1" applyBorder="1" applyAlignment="1">
      <alignment horizontal="left"/>
    </xf>
    <xf numFmtId="0" fontId="4" fillId="0" borderId="1" xfId="1" applyFont="1" applyBorder="1" applyAlignment="1">
      <alignment vertical="center"/>
    </xf>
    <xf numFmtId="0" fontId="4" fillId="0" borderId="0" xfId="1" applyFont="1" applyAlignment="1">
      <alignment vertical="center"/>
    </xf>
    <xf numFmtId="0" fontId="6" fillId="0" borderId="1" xfId="0" applyFont="1" applyBorder="1" applyAlignment="1">
      <alignment vertical="center"/>
    </xf>
    <xf numFmtId="9" fontId="4" fillId="0" borderId="1" xfId="1" applyNumberFormat="1" applyFont="1" applyBorder="1" applyAlignment="1">
      <alignment vertical="center"/>
    </xf>
    <xf numFmtId="2" fontId="4" fillId="7" borderId="1" xfId="0" applyNumberFormat="1" applyFont="1" applyFill="1" applyBorder="1" applyAlignment="1">
      <alignment horizontal="right" vertical="top"/>
    </xf>
    <xf numFmtId="2" fontId="4" fillId="0" borderId="0" xfId="1" applyNumberFormat="1" applyFont="1" applyAlignment="1">
      <alignment vertical="center"/>
    </xf>
    <xf numFmtId="0" fontId="13" fillId="0" borderId="1" xfId="0" applyFont="1" applyBorder="1" applyAlignment="1">
      <alignment vertical="center" wrapText="1"/>
    </xf>
    <xf numFmtId="0" fontId="4" fillId="0" borderId="2" xfId="1" applyFont="1" applyBorder="1" applyAlignment="1">
      <alignment vertical="center"/>
    </xf>
    <xf numFmtId="2" fontId="14" fillId="0" borderId="1" xfId="1" applyNumberFormat="1" applyFont="1" applyBorder="1" applyAlignment="1">
      <alignment vertical="center"/>
    </xf>
    <xf numFmtId="0" fontId="4" fillId="0" borderId="19" xfId="1" applyFont="1" applyBorder="1" applyAlignment="1">
      <alignment vertical="center"/>
    </xf>
    <xf numFmtId="1" fontId="4" fillId="0" borderId="19" xfId="1" applyNumberFormat="1" applyFont="1" applyBorder="1" applyAlignment="1">
      <alignment vertical="center"/>
    </xf>
    <xf numFmtId="167" fontId="5" fillId="11" borderId="26" xfId="1" applyNumberFormat="1" applyFont="1" applyFill="1" applyBorder="1" applyAlignment="1">
      <alignment vertical="center"/>
    </xf>
    <xf numFmtId="0" fontId="4" fillId="0" borderId="0" xfId="0" applyFont="1" applyAlignment="1">
      <alignment vertical="center"/>
    </xf>
    <xf numFmtId="0" fontId="4" fillId="0" borderId="0" xfId="0" applyFont="1" applyAlignment="1">
      <alignment vertical="center" wrapText="1"/>
    </xf>
    <xf numFmtId="168" fontId="5" fillId="11" borderId="19" xfId="1" applyNumberFormat="1" applyFont="1" applyFill="1" applyBorder="1" applyAlignment="1">
      <alignment horizontal="right" vertical="center" wrapText="1"/>
    </xf>
    <xf numFmtId="168" fontId="14" fillId="0" borderId="19" xfId="1" applyNumberFormat="1" applyFont="1" applyBorder="1" applyAlignment="1">
      <alignment vertical="center"/>
    </xf>
    <xf numFmtId="168" fontId="5" fillId="7" borderId="19" xfId="1" applyNumberFormat="1" applyFont="1" applyFill="1" applyBorder="1" applyAlignment="1">
      <alignment vertical="center"/>
    </xf>
    <xf numFmtId="168" fontId="14" fillId="0" borderId="1" xfId="1" applyNumberFormat="1" applyFont="1" applyBorder="1" applyAlignment="1">
      <alignment vertical="center"/>
    </xf>
    <xf numFmtId="0" fontId="4" fillId="11" borderId="11" xfId="0" applyFont="1" applyFill="1" applyBorder="1" applyAlignment="1">
      <alignment vertical="center" wrapText="1"/>
    </xf>
    <xf numFmtId="0" fontId="6" fillId="0" borderId="0" xfId="0" applyFont="1"/>
    <xf numFmtId="0" fontId="32" fillId="0" borderId="33" xfId="0" applyFont="1" applyBorder="1" applyAlignment="1">
      <alignment horizontal="left"/>
    </xf>
    <xf numFmtId="0" fontId="33" fillId="0" borderId="34" xfId="0" applyFont="1" applyBorder="1"/>
    <xf numFmtId="0" fontId="29" fillId="8" borderId="0" xfId="1198" applyFont="1" applyFill="1" applyAlignment="1" applyProtection="1">
      <alignment horizontal="center" vertical="center"/>
      <protection locked="0"/>
    </xf>
    <xf numFmtId="0" fontId="4" fillId="11" borderId="1" xfId="0" applyFont="1" applyFill="1" applyBorder="1" applyAlignment="1">
      <alignment horizontal="center" vertical="top" wrapText="1"/>
    </xf>
    <xf numFmtId="0" fontId="19" fillId="0" borderId="34" xfId="0" applyFont="1" applyBorder="1"/>
    <xf numFmtId="0" fontId="19" fillId="0" borderId="1" xfId="1" applyFont="1" applyBorder="1"/>
    <xf numFmtId="0" fontId="1" fillId="0" borderId="1" xfId="0" applyFont="1" applyBorder="1" applyAlignment="1">
      <alignment wrapText="1"/>
    </xf>
    <xf numFmtId="0" fontId="18" fillId="11" borderId="11" xfId="0" applyFont="1" applyFill="1" applyBorder="1" applyAlignment="1">
      <alignment horizontal="left" vertical="center" wrapText="1"/>
    </xf>
    <xf numFmtId="0" fontId="4" fillId="0" borderId="2" xfId="1" applyFont="1" applyBorder="1" applyAlignment="1">
      <alignment horizontal="center" vertical="center"/>
    </xf>
    <xf numFmtId="0" fontId="5" fillId="11" borderId="9" xfId="1" applyFont="1" applyFill="1" applyBorder="1" applyAlignment="1">
      <alignment horizontal="right" vertical="center"/>
    </xf>
    <xf numFmtId="0" fontId="36" fillId="0" borderId="0" xfId="0" applyFont="1"/>
    <xf numFmtId="2" fontId="4" fillId="11" borderId="1" xfId="1" applyNumberFormat="1" applyFont="1" applyFill="1" applyBorder="1" applyAlignment="1">
      <alignment horizontal="right" vertical="center" wrapText="1"/>
    </xf>
    <xf numFmtId="0" fontId="4" fillId="11" borderId="1" xfId="1" applyFont="1" applyFill="1" applyBorder="1" applyAlignment="1">
      <alignment horizontal="center" vertical="center"/>
    </xf>
    <xf numFmtId="0" fontId="4" fillId="11" borderId="1" xfId="1" applyFont="1" applyFill="1" applyBorder="1" applyAlignment="1">
      <alignment horizontal="right" vertical="center"/>
    </xf>
    <xf numFmtId="0" fontId="4" fillId="11" borderId="1" xfId="1" applyFont="1" applyFill="1" applyBorder="1" applyAlignment="1">
      <alignment horizontal="left" vertical="center"/>
    </xf>
    <xf numFmtId="0" fontId="4" fillId="11" borderId="19" xfId="1" applyFont="1" applyFill="1" applyBorder="1" applyAlignment="1">
      <alignment horizontal="left" vertical="center"/>
    </xf>
    <xf numFmtId="0" fontId="5" fillId="0" borderId="0" xfId="1" applyFont="1" applyAlignment="1">
      <alignment vertical="center"/>
    </xf>
    <xf numFmtId="2" fontId="14" fillId="0" borderId="1" xfId="1" applyNumberFormat="1" applyFont="1" applyBorder="1"/>
    <xf numFmtId="0" fontId="4" fillId="11" borderId="10" xfId="1" applyFont="1" applyFill="1" applyBorder="1" applyAlignment="1">
      <alignment vertical="center"/>
    </xf>
    <xf numFmtId="0" fontId="4" fillId="0" borderId="37" xfId="1" applyFont="1" applyBorder="1" applyAlignment="1">
      <alignment horizontal="center" vertical="center"/>
    </xf>
    <xf numFmtId="0" fontId="4" fillId="11" borderId="2" xfId="1" applyFont="1" applyFill="1" applyBorder="1" applyAlignment="1">
      <alignment horizontal="center" vertical="center"/>
    </xf>
    <xf numFmtId="0" fontId="14" fillId="0" borderId="1" xfId="1" applyFont="1" applyBorder="1" applyAlignment="1">
      <alignment horizontal="right" vertical="center"/>
    </xf>
    <xf numFmtId="0" fontId="5" fillId="11" borderId="9" xfId="1" applyFont="1" applyFill="1" applyBorder="1" applyAlignment="1">
      <alignment vertical="center"/>
    </xf>
    <xf numFmtId="0" fontId="5" fillId="11" borderId="20" xfId="1" applyFont="1" applyFill="1" applyBorder="1" applyAlignment="1">
      <alignment vertical="center"/>
    </xf>
    <xf numFmtId="0" fontId="5" fillId="11" borderId="21" xfId="1" applyFont="1" applyFill="1" applyBorder="1" applyAlignment="1">
      <alignment vertical="center"/>
    </xf>
    <xf numFmtId="0" fontId="5" fillId="11" borderId="24" xfId="1" applyFont="1" applyFill="1" applyBorder="1" applyAlignment="1">
      <alignment vertical="center"/>
    </xf>
    <xf numFmtId="0" fontId="5" fillId="11" borderId="25" xfId="1" applyFont="1" applyFill="1" applyBorder="1" applyAlignment="1">
      <alignment vertical="center"/>
    </xf>
    <xf numFmtId="0" fontId="5" fillId="11" borderId="25" xfId="1" applyFont="1" applyFill="1" applyBorder="1" applyAlignment="1">
      <alignment horizontal="right" vertical="center"/>
    </xf>
    <xf numFmtId="0" fontId="5" fillId="11" borderId="27" xfId="1" applyFont="1" applyFill="1" applyBorder="1" applyAlignment="1">
      <alignment vertical="center"/>
    </xf>
    <xf numFmtId="0" fontId="5" fillId="11" borderId="29" xfId="1" applyFont="1" applyFill="1" applyBorder="1" applyAlignment="1">
      <alignment vertical="center"/>
    </xf>
    <xf numFmtId="0" fontId="5" fillId="11" borderId="30" xfId="1" applyFont="1" applyFill="1" applyBorder="1" applyAlignment="1">
      <alignment vertical="center"/>
    </xf>
    <xf numFmtId="0" fontId="5" fillId="11" borderId="30" xfId="1" applyFont="1" applyFill="1" applyBorder="1" applyAlignment="1">
      <alignment horizontal="right" vertical="center"/>
    </xf>
    <xf numFmtId="2" fontId="14" fillId="0" borderId="0" xfId="1" applyNumberFormat="1" applyFont="1" applyAlignment="1">
      <alignment vertical="center"/>
    </xf>
    <xf numFmtId="0" fontId="4" fillId="0" borderId="19" xfId="1" applyFont="1" applyBorder="1" applyAlignment="1">
      <alignment horizontal="center" vertical="center"/>
    </xf>
    <xf numFmtId="167" fontId="5" fillId="11" borderId="28" xfId="1" applyNumberFormat="1" applyFont="1" applyFill="1" applyBorder="1" applyAlignment="1">
      <alignment vertical="center"/>
    </xf>
    <xf numFmtId="167" fontId="5" fillId="11" borderId="31" xfId="1" applyNumberFormat="1" applyFont="1" applyFill="1" applyBorder="1" applyAlignment="1">
      <alignment vertical="center"/>
    </xf>
    <xf numFmtId="167" fontId="5" fillId="12" borderId="23" xfId="1" applyNumberFormat="1" applyFont="1" applyFill="1" applyBorder="1" applyAlignment="1">
      <alignment vertical="center"/>
    </xf>
    <xf numFmtId="2" fontId="4" fillId="11" borderId="1" xfId="1" applyNumberFormat="1" applyFont="1" applyFill="1" applyBorder="1" applyAlignment="1">
      <alignment horizontal="center" vertical="center" wrapText="1"/>
    </xf>
    <xf numFmtId="2" fontId="4" fillId="11" borderId="2" xfId="1" applyNumberFormat="1" applyFont="1" applyFill="1" applyBorder="1" applyAlignment="1">
      <alignment horizontal="right" vertical="center" wrapText="1"/>
    </xf>
    <xf numFmtId="2" fontId="14" fillId="0" borderId="2" xfId="1" applyNumberFormat="1" applyFont="1" applyBorder="1" applyAlignment="1">
      <alignment vertical="center"/>
    </xf>
    <xf numFmtId="2" fontId="4" fillId="11" borderId="43" xfId="1" applyNumberFormat="1" applyFont="1" applyFill="1" applyBorder="1" applyAlignment="1">
      <alignment horizontal="right" vertical="center" wrapText="1"/>
    </xf>
    <xf numFmtId="2" fontId="14" fillId="0" borderId="12" xfId="1" applyNumberFormat="1" applyFont="1" applyBorder="1" applyAlignment="1">
      <alignment vertical="center"/>
    </xf>
    <xf numFmtId="168" fontId="5" fillId="12" borderId="19" xfId="1" applyNumberFormat="1" applyFont="1" applyFill="1" applyBorder="1" applyAlignment="1">
      <alignment vertical="center"/>
    </xf>
    <xf numFmtId="2" fontId="5" fillId="9" borderId="19" xfId="1" applyNumberFormat="1" applyFont="1" applyFill="1" applyBorder="1" applyAlignment="1">
      <alignment vertical="center"/>
    </xf>
    <xf numFmtId="2" fontId="5" fillId="9" borderId="19" xfId="1" applyNumberFormat="1" applyFont="1" applyFill="1" applyBorder="1" applyAlignment="1">
      <alignment horizontal="center" vertical="center"/>
    </xf>
    <xf numFmtId="0" fontId="34" fillId="11" borderId="11" xfId="0" applyFont="1" applyFill="1" applyBorder="1" applyAlignment="1">
      <alignment vertical="center" wrapText="1"/>
    </xf>
    <xf numFmtId="2" fontId="5" fillId="12" borderId="1" xfId="0" applyNumberFormat="1" applyFont="1" applyFill="1" applyBorder="1" applyAlignment="1">
      <alignment horizontal="right" vertical="top"/>
    </xf>
    <xf numFmtId="2" fontId="5" fillId="12" borderId="19" xfId="0" applyNumberFormat="1" applyFont="1" applyFill="1" applyBorder="1" applyAlignment="1">
      <alignment vertical="center"/>
    </xf>
    <xf numFmtId="0" fontId="4" fillId="11" borderId="2" xfId="1" applyFont="1" applyFill="1" applyBorder="1" applyAlignment="1">
      <alignment horizontal="left" vertical="center"/>
    </xf>
    <xf numFmtId="0" fontId="4" fillId="11" borderId="10" xfId="1" applyFont="1" applyFill="1" applyBorder="1" applyAlignment="1">
      <alignment horizontal="center" vertical="center"/>
    </xf>
    <xf numFmtId="0" fontId="36" fillId="0" borderId="0" xfId="0" applyFont="1" applyAlignment="1">
      <alignment vertical="top"/>
    </xf>
    <xf numFmtId="171" fontId="4" fillId="0" borderId="1" xfId="0" applyNumberFormat="1" applyFont="1" applyBorder="1" applyAlignment="1">
      <alignment horizontal="center" vertical="top" wrapText="1"/>
    </xf>
    <xf numFmtId="1" fontId="4" fillId="0" borderId="1" xfId="0" applyNumberFormat="1" applyFont="1" applyBorder="1" applyAlignment="1">
      <alignment horizontal="left" vertical="top"/>
    </xf>
    <xf numFmtId="10" fontId="37" fillId="0" borderId="1" xfId="1" applyNumberFormat="1" applyFont="1" applyBorder="1"/>
    <xf numFmtId="0" fontId="19" fillId="0" borderId="0" xfId="0" applyFont="1"/>
    <xf numFmtId="0" fontId="37" fillId="0" borderId="0" xfId="0" applyFont="1"/>
    <xf numFmtId="0" fontId="0" fillId="11" borderId="11" xfId="0" applyFill="1" applyBorder="1" applyAlignment="1">
      <alignment horizontal="right" vertical="center" wrapText="1" indent="1"/>
    </xf>
    <xf numFmtId="0" fontId="13" fillId="2" borderId="2" xfId="1" applyFont="1" applyFill="1" applyBorder="1" applyAlignment="1">
      <alignment horizontal="right"/>
    </xf>
    <xf numFmtId="0" fontId="4" fillId="0" borderId="1" xfId="0" applyFont="1" applyBorder="1" applyAlignment="1">
      <alignment horizontal="left" vertical="center" wrapText="1"/>
    </xf>
    <xf numFmtId="0" fontId="4" fillId="11" borderId="1" xfId="0" applyFont="1" applyFill="1" applyBorder="1" applyAlignment="1">
      <alignment horizontal="left" vertical="center" wrapText="1"/>
    </xf>
    <xf numFmtId="0" fontId="5" fillId="11" borderId="1" xfId="0" applyFont="1" applyFill="1" applyBorder="1" applyAlignment="1">
      <alignment horizontal="center" vertical="center" wrapText="1"/>
    </xf>
    <xf numFmtId="0" fontId="4" fillId="11" borderId="1" xfId="1" applyFont="1" applyFill="1" applyBorder="1" applyAlignment="1">
      <alignment vertical="top"/>
    </xf>
    <xf numFmtId="9" fontId="39" fillId="0" borderId="1" xfId="1" applyNumberFormat="1" applyFont="1" applyBorder="1" applyAlignment="1">
      <alignment vertical="center"/>
    </xf>
    <xf numFmtId="9" fontId="39" fillId="0" borderId="1" xfId="1181" applyFont="1" applyBorder="1" applyAlignment="1">
      <alignment vertical="center"/>
    </xf>
    <xf numFmtId="171" fontId="39" fillId="0" borderId="1" xfId="0" applyNumberFormat="1" applyFont="1" applyBorder="1" applyAlignment="1">
      <alignment vertical="center"/>
    </xf>
    <xf numFmtId="167" fontId="39" fillId="0" borderId="1" xfId="1" applyNumberFormat="1" applyFont="1" applyBorder="1" applyAlignment="1">
      <alignment vertical="center"/>
    </xf>
    <xf numFmtId="170" fontId="39" fillId="0" borderId="1" xfId="1" applyNumberFormat="1" applyFont="1" applyBorder="1" applyAlignment="1">
      <alignment vertical="center"/>
    </xf>
    <xf numFmtId="0" fontId="5" fillId="11" borderId="1" xfId="0" applyFont="1" applyFill="1" applyBorder="1" applyAlignment="1">
      <alignment horizontal="right" vertical="center" wrapText="1"/>
    </xf>
    <xf numFmtId="0" fontId="4" fillId="11" borderId="1" xfId="1" applyFont="1" applyFill="1" applyBorder="1" applyAlignment="1">
      <alignment horizontal="right" vertical="top"/>
    </xf>
    <xf numFmtId="0" fontId="6" fillId="14" borderId="33" xfId="0" applyFont="1" applyFill="1" applyBorder="1" applyAlignment="1">
      <alignment vertical="top"/>
    </xf>
    <xf numFmtId="0" fontId="6" fillId="14" borderId="34" xfId="0" applyFont="1" applyFill="1" applyBorder="1" applyAlignment="1">
      <alignment horizontal="right" vertical="top"/>
    </xf>
    <xf numFmtId="0" fontId="6" fillId="14" borderId="35" xfId="0" applyFont="1" applyFill="1" applyBorder="1" applyAlignment="1">
      <alignment horizontal="right" vertical="top"/>
    </xf>
    <xf numFmtId="0" fontId="15" fillId="11" borderId="32" xfId="0" applyFont="1" applyFill="1" applyBorder="1" applyAlignment="1">
      <alignment horizontal="right" vertical="center" wrapText="1"/>
    </xf>
    <xf numFmtId="0" fontId="4" fillId="11" borderId="1" xfId="1" applyFont="1" applyFill="1" applyBorder="1" applyAlignment="1">
      <alignment horizontal="right" vertical="top" wrapText="1"/>
    </xf>
    <xf numFmtId="0" fontId="4" fillId="11" borderId="4" xfId="1" applyFont="1" applyFill="1" applyBorder="1" applyAlignment="1">
      <alignment horizontal="right" vertical="center"/>
    </xf>
    <xf numFmtId="0" fontId="6" fillId="13" borderId="1" xfId="0" applyFont="1" applyFill="1" applyBorder="1" applyAlignment="1">
      <alignment horizontal="right" vertical="center"/>
    </xf>
    <xf numFmtId="0" fontId="4" fillId="0" borderId="1" xfId="0" applyFont="1" applyBorder="1" applyAlignment="1">
      <alignment horizontal="left" vertical="center"/>
    </xf>
    <xf numFmtId="0" fontId="0" fillId="0" borderId="0" xfId="0" applyAlignment="1">
      <alignment wrapText="1"/>
    </xf>
    <xf numFmtId="0" fontId="5" fillId="11" borderId="2" xfId="1" applyFont="1" applyFill="1" applyBorder="1" applyAlignment="1">
      <alignment vertical="center"/>
    </xf>
    <xf numFmtId="0" fontId="5" fillId="11" borderId="10" xfId="1" applyFont="1" applyFill="1" applyBorder="1" applyAlignment="1">
      <alignment vertical="center"/>
    </xf>
    <xf numFmtId="0" fontId="4" fillId="0" borderId="0" xfId="0" applyFont="1" applyAlignment="1">
      <alignment horizontal="left"/>
    </xf>
    <xf numFmtId="0" fontId="5" fillId="11" borderId="10" xfId="1" applyFont="1" applyFill="1" applyBorder="1" applyAlignment="1">
      <alignment horizontal="left" vertical="center"/>
    </xf>
    <xf numFmtId="170" fontId="4" fillId="0" borderId="1" xfId="0" applyNumberFormat="1" applyFont="1" applyBorder="1" applyAlignment="1">
      <alignment horizontal="left" vertical="top" wrapText="1"/>
    </xf>
    <xf numFmtId="0" fontId="4" fillId="0" borderId="0" xfId="0" applyFont="1" applyAlignment="1">
      <alignment horizontal="left" wrapText="1"/>
    </xf>
    <xf numFmtId="0" fontId="5" fillId="11" borderId="1" xfId="1" applyFont="1" applyFill="1" applyBorder="1" applyAlignment="1">
      <alignment horizontal="right" vertical="top"/>
    </xf>
    <xf numFmtId="9" fontId="1" fillId="0" borderId="1" xfId="0" applyNumberFormat="1" applyFont="1" applyBorder="1" applyAlignment="1">
      <alignment horizontal="left" wrapText="1"/>
    </xf>
    <xf numFmtId="0" fontId="4" fillId="11" borderId="10" xfId="1" applyFont="1" applyFill="1" applyBorder="1" applyAlignment="1">
      <alignment horizontal="right" vertical="center"/>
    </xf>
    <xf numFmtId="167" fontId="37" fillId="0" borderId="1" xfId="0" applyNumberFormat="1" applyFont="1" applyBorder="1" applyAlignment="1">
      <alignment wrapText="1"/>
    </xf>
    <xf numFmtId="170" fontId="1" fillId="0" borderId="1" xfId="0" applyNumberFormat="1" applyFont="1" applyBorder="1" applyAlignment="1">
      <alignment horizontal="left" wrapText="1"/>
    </xf>
    <xf numFmtId="2" fontId="4" fillId="15" borderId="1" xfId="0" applyNumberFormat="1" applyFont="1" applyFill="1" applyBorder="1" applyAlignment="1">
      <alignment horizontal="right" vertical="top"/>
    </xf>
    <xf numFmtId="2" fontId="13" fillId="2" borderId="1" xfId="1" applyNumberFormat="1" applyFont="1" applyFill="1" applyBorder="1" applyAlignment="1">
      <alignment horizontal="right"/>
    </xf>
    <xf numFmtId="0" fontId="18" fillId="11" borderId="11" xfId="0" applyFont="1" applyFill="1" applyBorder="1" applyAlignment="1">
      <alignment vertical="center" wrapText="1"/>
    </xf>
    <xf numFmtId="0" fontId="5" fillId="9" borderId="2" xfId="1" applyFont="1" applyFill="1" applyBorder="1" applyAlignment="1">
      <alignment horizontal="left" vertical="center"/>
    </xf>
    <xf numFmtId="0" fontId="5" fillId="9" borderId="9" xfId="1" applyFont="1" applyFill="1" applyBorder="1" applyAlignment="1">
      <alignment horizontal="left" vertical="center"/>
    </xf>
    <xf numFmtId="9" fontId="37" fillId="0" borderId="36" xfId="0" applyNumberFormat="1" applyFont="1" applyBorder="1" applyAlignment="1">
      <alignment vertical="center"/>
    </xf>
    <xf numFmtId="9" fontId="37" fillId="0" borderId="36" xfId="1" applyNumberFormat="1" applyFont="1" applyBorder="1" applyAlignment="1">
      <alignment vertical="center"/>
    </xf>
    <xf numFmtId="1" fontId="4" fillId="0" borderId="0" xfId="1" applyNumberFormat="1" applyFont="1" applyAlignment="1">
      <alignment vertical="center"/>
    </xf>
    <xf numFmtId="168" fontId="14" fillId="0" borderId="47" xfId="1" applyNumberFormat="1" applyFont="1" applyBorder="1" applyAlignment="1">
      <alignment vertical="center"/>
    </xf>
    <xf numFmtId="0" fontId="4" fillId="11" borderId="8" xfId="1" applyFont="1" applyFill="1" applyBorder="1" applyAlignment="1">
      <alignment vertical="center"/>
    </xf>
    <xf numFmtId="0" fontId="4" fillId="11" borderId="15" xfId="1" applyFont="1" applyFill="1" applyBorder="1" applyAlignment="1">
      <alignment horizontal="center" vertical="center"/>
    </xf>
    <xf numFmtId="0" fontId="4" fillId="11" borderId="15" xfId="0" applyFont="1" applyFill="1" applyBorder="1" applyAlignment="1">
      <alignment horizontal="left" vertical="center" wrapText="1"/>
    </xf>
    <xf numFmtId="2" fontId="39" fillId="0" borderId="1" xfId="1" applyNumberFormat="1" applyFont="1" applyBorder="1" applyAlignment="1">
      <alignment vertical="center"/>
    </xf>
    <xf numFmtId="0" fontId="5" fillId="11" borderId="21" xfId="1" applyFont="1" applyFill="1" applyBorder="1" applyAlignment="1">
      <alignment horizontal="right" vertical="center"/>
    </xf>
    <xf numFmtId="0" fontId="13" fillId="0" borderId="2" xfId="1" applyFont="1" applyBorder="1"/>
    <xf numFmtId="0" fontId="4" fillId="0" borderId="2" xfId="0" applyFont="1" applyBorder="1" applyAlignment="1">
      <alignment vertical="top" wrapText="1"/>
    </xf>
    <xf numFmtId="0" fontId="13" fillId="0" borderId="1" xfId="1" applyFont="1" applyBorder="1" applyAlignment="1">
      <alignment vertical="center"/>
    </xf>
    <xf numFmtId="0" fontId="42" fillId="0" borderId="0" xfId="0" applyFont="1"/>
    <xf numFmtId="0" fontId="42" fillId="0" borderId="0" xfId="0" applyFont="1" applyAlignment="1">
      <alignment vertical="top"/>
    </xf>
    <xf numFmtId="0" fontId="5" fillId="11" borderId="21" xfId="1" applyFont="1" applyFill="1" applyBorder="1" applyAlignment="1">
      <alignment horizontal="right" vertical="center" indent="1"/>
    </xf>
    <xf numFmtId="0" fontId="5" fillId="11" borderId="25" xfId="1" applyFont="1" applyFill="1" applyBorder="1" applyAlignment="1">
      <alignment horizontal="right" vertical="center" indent="1"/>
    </xf>
    <xf numFmtId="0" fontId="5" fillId="11" borderId="9" xfId="1" applyFont="1" applyFill="1" applyBorder="1" applyAlignment="1">
      <alignment horizontal="right" vertical="center" indent="1"/>
    </xf>
    <xf numFmtId="0" fontId="5" fillId="11" borderId="30" xfId="1" applyFont="1" applyFill="1" applyBorder="1" applyAlignment="1">
      <alignment horizontal="right" vertical="center" indent="1"/>
    </xf>
    <xf numFmtId="0" fontId="5" fillId="11" borderId="28" xfId="1" applyFont="1" applyFill="1" applyBorder="1" applyAlignment="1">
      <alignment horizontal="right" vertical="center" wrapText="1"/>
    </xf>
    <xf numFmtId="2" fontId="4" fillId="0" borderId="28" xfId="1" applyNumberFormat="1" applyFont="1" applyBorder="1" applyAlignment="1">
      <alignment vertical="center"/>
    </xf>
    <xf numFmtId="2" fontId="41" fillId="7" borderId="28" xfId="1" applyNumberFormat="1" applyFont="1" applyFill="1" applyBorder="1" applyAlignment="1">
      <alignment vertical="center"/>
    </xf>
    <xf numFmtId="2" fontId="14" fillId="0" borderId="28" xfId="1" applyNumberFormat="1" applyFont="1" applyBorder="1" applyAlignment="1">
      <alignment vertical="center"/>
    </xf>
    <xf numFmtId="167" fontId="41" fillId="7" borderId="52" xfId="1" applyNumberFormat="1" applyFont="1" applyFill="1" applyBorder="1" applyAlignment="1">
      <alignment vertical="center"/>
    </xf>
    <xf numFmtId="0" fontId="4" fillId="11" borderId="10" xfId="0" applyFont="1" applyFill="1" applyBorder="1" applyAlignment="1">
      <alignment horizontal="left" vertical="center" wrapText="1"/>
    </xf>
    <xf numFmtId="0" fontId="4" fillId="2" borderId="2" xfId="1" applyFont="1" applyFill="1" applyBorder="1"/>
    <xf numFmtId="0" fontId="4" fillId="2" borderId="10" xfId="1" applyFont="1" applyFill="1" applyBorder="1"/>
    <xf numFmtId="0" fontId="14" fillId="0" borderId="4" xfId="1" applyFont="1" applyBorder="1"/>
    <xf numFmtId="0" fontId="5" fillId="11" borderId="2" xfId="0" applyFont="1" applyFill="1" applyBorder="1" applyAlignment="1">
      <alignment vertical="center" wrapText="1"/>
    </xf>
    <xf numFmtId="0" fontId="5" fillId="11" borderId="9" xfId="0" applyFont="1" applyFill="1" applyBorder="1" applyAlignment="1">
      <alignment vertical="center" wrapText="1"/>
    </xf>
    <xf numFmtId="0" fontId="4" fillId="0" borderId="10" xfId="0" applyFont="1" applyBorder="1" applyAlignment="1">
      <alignment horizontal="left" vertical="top"/>
    </xf>
    <xf numFmtId="168" fontId="4" fillId="0" borderId="0" xfId="0" applyNumberFormat="1" applyFont="1"/>
    <xf numFmtId="0" fontId="4" fillId="0" borderId="1" xfId="0" applyFont="1" applyBorder="1" applyAlignment="1">
      <alignment horizontal="center" vertical="top"/>
    </xf>
    <xf numFmtId="0" fontId="34" fillId="0" borderId="0" xfId="0" applyFont="1" applyAlignment="1">
      <alignment horizontal="center" vertical="top" wrapText="1"/>
    </xf>
    <xf numFmtId="0" fontId="4" fillId="0" borderId="0" xfId="0" applyFont="1" applyAlignment="1">
      <alignment horizontal="center" vertical="top" wrapText="1"/>
    </xf>
    <xf numFmtId="0" fontId="4" fillId="17" borderId="1" xfId="0" applyFont="1" applyFill="1" applyBorder="1" applyAlignment="1">
      <alignment horizontal="center" vertical="top" wrapText="1"/>
    </xf>
    <xf numFmtId="0" fontId="13" fillId="0" borderId="2" xfId="1" applyFont="1" applyBorder="1" applyAlignment="1">
      <alignment horizontal="right"/>
    </xf>
    <xf numFmtId="0" fontId="5" fillId="7" borderId="20" xfId="1" applyFont="1" applyFill="1" applyBorder="1" applyAlignment="1">
      <alignment horizontal="center" vertical="center"/>
    </xf>
    <xf numFmtId="0" fontId="5" fillId="7" borderId="36" xfId="1" applyFont="1" applyFill="1" applyBorder="1" applyAlignment="1">
      <alignment horizontal="center" vertical="center"/>
    </xf>
    <xf numFmtId="0" fontId="34" fillId="11" borderId="1" xfId="0" applyFont="1" applyFill="1" applyBorder="1" applyAlignment="1">
      <alignment horizontal="center" vertical="top" wrapText="1"/>
    </xf>
    <xf numFmtId="0" fontId="14" fillId="0" borderId="2" xfId="1" applyFont="1" applyBorder="1"/>
    <xf numFmtId="0" fontId="4" fillId="0" borderId="53" xfId="0" applyFont="1" applyBorder="1" applyAlignment="1">
      <alignment horizontal="left" vertical="top"/>
    </xf>
    <xf numFmtId="0" fontId="13" fillId="0" borderId="1" xfId="1" applyFont="1" applyBorder="1" applyAlignment="1">
      <alignment horizontal="right" vertical="center"/>
    </xf>
    <xf numFmtId="0" fontId="4" fillId="0" borderId="1" xfId="1" applyFont="1" applyBorder="1" applyAlignment="1">
      <alignment horizontal="center" vertical="center"/>
    </xf>
    <xf numFmtId="0" fontId="19" fillId="0" borderId="2" xfId="1" applyFont="1" applyBorder="1"/>
    <xf numFmtId="0" fontId="19" fillId="11" borderId="1" xfId="1" applyFont="1" applyFill="1" applyBorder="1"/>
    <xf numFmtId="0" fontId="19" fillId="9" borderId="1" xfId="1" applyFont="1" applyFill="1" applyBorder="1"/>
    <xf numFmtId="0" fontId="4" fillId="11" borderId="1" xfId="0" applyFont="1" applyFill="1" applyBorder="1" applyAlignment="1">
      <alignment vertical="top"/>
    </xf>
    <xf numFmtId="0" fontId="4" fillId="9" borderId="1" xfId="0" applyFont="1" applyFill="1" applyBorder="1" applyAlignment="1">
      <alignment vertical="top"/>
    </xf>
    <xf numFmtId="2" fontId="5" fillId="9" borderId="53" xfId="1" applyNumberFormat="1" applyFont="1" applyFill="1" applyBorder="1" applyAlignment="1">
      <alignment horizontal="left" vertical="center"/>
    </xf>
    <xf numFmtId="167" fontId="4" fillId="9" borderId="1" xfId="0" applyNumberFormat="1" applyFont="1" applyFill="1" applyBorder="1" applyAlignment="1">
      <alignment vertical="top"/>
    </xf>
    <xf numFmtId="167" fontId="4" fillId="11" borderId="1" xfId="0" applyNumberFormat="1" applyFont="1" applyFill="1" applyBorder="1" applyAlignment="1">
      <alignment vertical="top"/>
    </xf>
    <xf numFmtId="167" fontId="4" fillId="0" borderId="1" xfId="0" applyNumberFormat="1" applyFont="1" applyBorder="1" applyAlignment="1">
      <alignment horizontal="right" vertical="top" wrapText="1"/>
    </xf>
    <xf numFmtId="0" fontId="5" fillId="7" borderId="1" xfId="0" applyFont="1" applyFill="1" applyBorder="1" applyAlignment="1">
      <alignment horizontal="right" vertical="center" wrapText="1"/>
    </xf>
    <xf numFmtId="0" fontId="4" fillId="0" borderId="0" xfId="0" applyFont="1" applyAlignment="1">
      <alignment horizontal="left" vertical="center" wrapText="1"/>
    </xf>
    <xf numFmtId="0" fontId="4" fillId="0" borderId="0" xfId="0" applyFont="1" applyAlignment="1">
      <alignment horizontal="center" vertical="center"/>
    </xf>
    <xf numFmtId="1" fontId="4" fillId="0" borderId="0" xfId="0" applyNumberFormat="1" applyFont="1" applyAlignment="1">
      <alignment horizontal="left" vertical="top"/>
    </xf>
    <xf numFmtId="171" fontId="4" fillId="0" borderId="0" xfId="0" applyNumberFormat="1" applyFont="1" applyAlignment="1">
      <alignment horizontal="center" vertical="top" wrapText="1"/>
    </xf>
    <xf numFmtId="0" fontId="43" fillId="11" borderId="10" xfId="0" applyFont="1" applyFill="1" applyBorder="1" applyAlignment="1">
      <alignment horizontal="right" vertical="top"/>
    </xf>
    <xf numFmtId="0" fontId="43" fillId="11" borderId="1" xfId="0" applyFont="1" applyFill="1" applyBorder="1" applyAlignment="1">
      <alignment horizontal="right" vertical="top"/>
    </xf>
    <xf numFmtId="2" fontId="34" fillId="11" borderId="1" xfId="0" applyNumberFormat="1" applyFont="1" applyFill="1" applyBorder="1" applyAlignment="1">
      <alignment horizontal="right" vertical="center"/>
    </xf>
    <xf numFmtId="0" fontId="18" fillId="11" borderId="11" xfId="0" applyFont="1" applyFill="1" applyBorder="1" applyAlignment="1">
      <alignment vertical="center"/>
    </xf>
    <xf numFmtId="0" fontId="5" fillId="11" borderId="1" xfId="1" applyFont="1" applyFill="1" applyBorder="1" applyAlignment="1">
      <alignment horizontal="left" vertical="center" wrapText="1"/>
    </xf>
    <xf numFmtId="0" fontId="16" fillId="7" borderId="1" xfId="0" applyFont="1" applyFill="1" applyBorder="1" applyAlignment="1">
      <alignment horizontal="left" vertical="top" wrapText="1"/>
    </xf>
    <xf numFmtId="0" fontId="0" fillId="2" borderId="0" xfId="0" applyFill="1" applyAlignment="1">
      <alignment vertical="top"/>
    </xf>
    <xf numFmtId="0" fontId="4" fillId="0" borderId="55" xfId="0" applyFont="1" applyBorder="1" applyAlignment="1">
      <alignment horizontal="center" vertical="top"/>
    </xf>
    <xf numFmtId="0" fontId="1" fillId="0" borderId="56" xfId="0" applyFont="1" applyBorder="1" applyAlignment="1">
      <alignment vertical="top" wrapText="1"/>
    </xf>
    <xf numFmtId="0" fontId="13" fillId="2" borderId="0" xfId="0" applyFont="1" applyFill="1" applyAlignment="1">
      <alignment vertical="top" wrapText="1"/>
    </xf>
    <xf numFmtId="0" fontId="1" fillId="0" borderId="57" xfId="0" applyFont="1" applyBorder="1" applyAlignment="1">
      <alignment vertical="top" wrapText="1"/>
    </xf>
    <xf numFmtId="0" fontId="1" fillId="0" borderId="58" xfId="0" applyFont="1" applyBorder="1" applyAlignment="1">
      <alignment vertical="top" wrapText="1"/>
    </xf>
    <xf numFmtId="0" fontId="1" fillId="0" borderId="59" xfId="0" applyFont="1" applyBorder="1" applyAlignment="1">
      <alignment vertical="top" wrapText="1"/>
    </xf>
    <xf numFmtId="0" fontId="0" fillId="2" borderId="0" xfId="0" applyFill="1" applyAlignment="1">
      <alignment vertical="top" wrapText="1"/>
    </xf>
    <xf numFmtId="0" fontId="1" fillId="0" borderId="0" xfId="0" applyFont="1" applyAlignment="1">
      <alignment vertical="top" wrapText="1"/>
    </xf>
    <xf numFmtId="0" fontId="4" fillId="0" borderId="0" xfId="0" applyFont="1" applyAlignment="1">
      <alignment horizontal="center" vertical="top"/>
    </xf>
    <xf numFmtId="0" fontId="44" fillId="2" borderId="0" xfId="0" applyFont="1" applyFill="1" applyAlignment="1">
      <alignment horizontal="left" vertical="top" wrapText="1"/>
    </xf>
    <xf numFmtId="0" fontId="1" fillId="0" borderId="60" xfId="0" applyFont="1" applyBorder="1" applyAlignment="1">
      <alignment vertical="top" wrapText="1"/>
    </xf>
    <xf numFmtId="0" fontId="0" fillId="2" borderId="0" xfId="0" applyFill="1" applyAlignment="1">
      <alignment horizontal="center" vertical="top"/>
    </xf>
    <xf numFmtId="0" fontId="4" fillId="2" borderId="0" xfId="0" applyFont="1" applyFill="1" applyAlignment="1">
      <alignment horizontal="center" vertical="top"/>
    </xf>
    <xf numFmtId="0" fontId="1" fillId="2" borderId="0" xfId="0" applyFont="1" applyFill="1" applyAlignment="1">
      <alignment vertical="top" wrapText="1"/>
    </xf>
    <xf numFmtId="0" fontId="45" fillId="0" borderId="0" xfId="0" applyFont="1" applyAlignment="1">
      <alignment vertical="top"/>
    </xf>
    <xf numFmtId="2" fontId="5" fillId="7" borderId="53" xfId="1" applyNumberFormat="1" applyFont="1" applyFill="1" applyBorder="1" applyAlignment="1">
      <alignment horizontal="left" vertical="center"/>
    </xf>
    <xf numFmtId="0" fontId="15" fillId="0" borderId="0" xfId="0" applyFont="1" applyAlignment="1">
      <alignment vertical="top" wrapText="1"/>
    </xf>
    <xf numFmtId="0" fontId="6" fillId="0" borderId="0" xfId="0" applyFont="1" applyAlignment="1">
      <alignment vertical="top" wrapText="1"/>
    </xf>
    <xf numFmtId="0" fontId="6" fillId="18" borderId="32" xfId="0" applyFont="1" applyFill="1" applyBorder="1" applyAlignment="1">
      <alignment horizontal="center" vertical="top" wrapText="1"/>
    </xf>
    <xf numFmtId="0" fontId="34" fillId="14" borderId="35" xfId="0" applyFont="1" applyFill="1" applyBorder="1" applyAlignment="1">
      <alignment horizontal="center" vertical="top" wrapText="1"/>
    </xf>
    <xf numFmtId="0" fontId="6" fillId="0" borderId="35" xfId="0" applyFont="1" applyBorder="1" applyAlignment="1">
      <alignment horizontal="left" vertical="top"/>
    </xf>
    <xf numFmtId="0" fontId="6" fillId="14" borderId="34" xfId="0" applyFont="1" applyFill="1" applyBorder="1" applyAlignment="1">
      <alignment horizontal="center" vertical="top" wrapText="1"/>
    </xf>
    <xf numFmtId="0" fontId="6" fillId="0" borderId="34" xfId="0" applyFont="1" applyBorder="1" applyAlignment="1">
      <alignment horizontal="center" vertical="top" wrapText="1"/>
    </xf>
    <xf numFmtId="0" fontId="6" fillId="0" borderId="34" xfId="0" applyFont="1" applyBorder="1" applyAlignment="1">
      <alignment horizontal="left" vertical="top"/>
    </xf>
    <xf numFmtId="0" fontId="6" fillId="0" borderId="34" xfId="0" applyFont="1" applyBorder="1" applyAlignment="1">
      <alignment vertical="top"/>
    </xf>
    <xf numFmtId="0" fontId="0" fillId="11" borderId="14" xfId="0" applyFill="1" applyBorder="1" applyAlignment="1">
      <alignment vertical="center" wrapText="1"/>
    </xf>
    <xf numFmtId="10" fontId="39" fillId="0" borderId="1" xfId="1" applyNumberFormat="1" applyFont="1" applyBorder="1" applyAlignment="1">
      <alignment vertical="center"/>
    </xf>
    <xf numFmtId="0" fontId="5" fillId="9" borderId="14" xfId="1" applyFont="1" applyFill="1" applyBorder="1" applyAlignment="1">
      <alignment horizontal="left" vertical="center"/>
    </xf>
    <xf numFmtId="0" fontId="6" fillId="9" borderId="34" xfId="0" applyFont="1" applyFill="1" applyBorder="1" applyAlignment="1">
      <alignment horizontal="center" vertical="top" wrapText="1"/>
    </xf>
    <xf numFmtId="0" fontId="5" fillId="11" borderId="36" xfId="1" applyFont="1" applyFill="1" applyBorder="1" applyAlignment="1">
      <alignment horizontal="left" vertical="center"/>
    </xf>
    <xf numFmtId="168" fontId="5" fillId="11" borderId="67" xfId="1" applyNumberFormat="1" applyFont="1" applyFill="1" applyBorder="1" applyAlignment="1">
      <alignment horizontal="right" vertical="center" wrapText="1"/>
    </xf>
    <xf numFmtId="0" fontId="4" fillId="0" borderId="2" xfId="1" applyFont="1" applyBorder="1" applyAlignment="1">
      <alignment horizontal="left" vertical="center" indent="1"/>
    </xf>
    <xf numFmtId="0" fontId="1" fillId="0" borderId="2" xfId="1" applyFont="1" applyBorder="1" applyAlignment="1">
      <alignment horizontal="left" vertical="center" indent="1"/>
    </xf>
    <xf numFmtId="0" fontId="19" fillId="0" borderId="10" xfId="1" applyFont="1" applyBorder="1"/>
    <xf numFmtId="0" fontId="5" fillId="11" borderId="1" xfId="0" applyFont="1" applyFill="1" applyBorder="1" applyAlignment="1">
      <alignment horizontal="left" vertical="center" wrapText="1"/>
    </xf>
    <xf numFmtId="168" fontId="0" fillId="0" borderId="0" xfId="0" applyNumberFormat="1"/>
    <xf numFmtId="0" fontId="5" fillId="11" borderId="20" xfId="1" applyFont="1" applyFill="1" applyBorder="1" applyAlignment="1">
      <alignment horizontal="left" vertical="center"/>
    </xf>
    <xf numFmtId="0" fontId="48" fillId="0" borderId="0" xfId="0" applyFont="1"/>
    <xf numFmtId="168" fontId="14" fillId="0" borderId="15" xfId="1" applyNumberFormat="1" applyFont="1" applyBorder="1" applyAlignment="1">
      <alignment vertical="center"/>
    </xf>
    <xf numFmtId="2" fontId="5" fillId="11" borderId="19" xfId="1" applyNumberFormat="1" applyFont="1" applyFill="1" applyBorder="1" applyAlignment="1">
      <alignment horizontal="left" vertical="center"/>
    </xf>
    <xf numFmtId="2" fontId="5" fillId="11" borderId="19" xfId="1" applyNumberFormat="1" applyFont="1" applyFill="1" applyBorder="1" applyAlignment="1">
      <alignment horizontal="right" vertical="center"/>
    </xf>
    <xf numFmtId="2" fontId="5" fillId="11" borderId="1" xfId="1" applyNumberFormat="1" applyFont="1" applyFill="1" applyBorder="1" applyAlignment="1">
      <alignment horizontal="left" vertical="center"/>
    </xf>
    <xf numFmtId="2" fontId="5" fillId="11" borderId="1" xfId="1" applyNumberFormat="1" applyFont="1" applyFill="1" applyBorder="1" applyAlignment="1">
      <alignment horizontal="right" vertical="center"/>
    </xf>
    <xf numFmtId="0" fontId="5" fillId="11" borderId="47" xfId="0" applyFont="1" applyFill="1" applyBorder="1" applyAlignment="1">
      <alignment horizontal="right"/>
    </xf>
    <xf numFmtId="0" fontId="4" fillId="0" borderId="0" xfId="1267" applyFont="1"/>
    <xf numFmtId="0" fontId="5" fillId="4" borderId="1" xfId="1267" applyFont="1" applyFill="1" applyBorder="1" applyAlignment="1">
      <alignment horizontal="left" vertical="center" wrapText="1" indent="1"/>
    </xf>
    <xf numFmtId="0" fontId="4" fillId="0" borderId="1" xfId="1267" applyFont="1" applyBorder="1" applyAlignment="1">
      <alignment horizontal="center" vertical="top" wrapText="1"/>
    </xf>
    <xf numFmtId="0" fontId="1" fillId="2" borderId="1" xfId="1267" applyFont="1" applyFill="1" applyBorder="1" applyAlignment="1">
      <alignment horizontal="left" vertical="top" wrapText="1" indent="1"/>
    </xf>
    <xf numFmtId="0" fontId="6" fillId="2" borderId="1" xfId="1267" applyFont="1" applyFill="1" applyBorder="1" applyAlignment="1">
      <alignment horizontal="left" vertical="top" wrapText="1" indent="1"/>
    </xf>
    <xf numFmtId="0" fontId="4" fillId="20" borderId="1" xfId="1267" applyFont="1" applyFill="1" applyBorder="1" applyAlignment="1">
      <alignment horizontal="center" vertical="top" wrapText="1"/>
    </xf>
    <xf numFmtId="0" fontId="1" fillId="0" borderId="1" xfId="1267" applyFont="1" applyBorder="1" applyAlignment="1">
      <alignment horizontal="left" vertical="top" wrapText="1" indent="1"/>
    </xf>
    <xf numFmtId="0" fontId="5" fillId="10" borderId="47" xfId="1267" applyFont="1" applyFill="1" applyBorder="1" applyAlignment="1">
      <alignment horizontal="right" vertical="top" wrapText="1"/>
    </xf>
    <xf numFmtId="0" fontId="1" fillId="0" borderId="12" xfId="1267" applyFont="1" applyBorder="1" applyAlignment="1">
      <alignment horizontal="left" vertical="top" wrapText="1" indent="1"/>
    </xf>
    <xf numFmtId="0" fontId="1" fillId="0" borderId="12" xfId="1267" applyFont="1" applyBorder="1" applyAlignment="1">
      <alignment horizontal="center" vertical="top" wrapText="1"/>
    </xf>
    <xf numFmtId="0" fontId="1" fillId="0" borderId="67" xfId="1267" applyFont="1" applyBorder="1" applyAlignment="1">
      <alignment vertical="top" wrapText="1"/>
    </xf>
    <xf numFmtId="0" fontId="1" fillId="0" borderId="2" xfId="1267" applyFont="1" applyBorder="1" applyAlignment="1">
      <alignment horizontal="left" vertical="top" wrapText="1" indent="1"/>
    </xf>
    <xf numFmtId="0" fontId="1" fillId="0" borderId="2" xfId="1267" applyFont="1" applyBorder="1" applyAlignment="1">
      <alignment horizontal="center" vertical="top" wrapText="1"/>
    </xf>
    <xf numFmtId="0" fontId="4" fillId="0" borderId="39" xfId="1267" applyFont="1" applyBorder="1"/>
    <xf numFmtId="0" fontId="5" fillId="0" borderId="19" xfId="1267" applyFont="1" applyBorder="1" applyAlignment="1">
      <alignment vertical="center" wrapText="1"/>
    </xf>
    <xf numFmtId="0" fontId="5" fillId="11" borderId="1" xfId="1" applyFont="1" applyFill="1" applyBorder="1" applyAlignment="1">
      <alignment horizontal="left" vertical="top" wrapText="1"/>
    </xf>
    <xf numFmtId="0" fontId="13" fillId="0" borderId="1" xfId="0" applyFont="1" applyBorder="1" applyAlignment="1">
      <alignment horizontal="left" vertical="top"/>
    </xf>
    <xf numFmtId="0" fontId="4" fillId="11" borderId="80" xfId="1" applyFont="1" applyFill="1" applyBorder="1" applyAlignment="1">
      <alignment vertical="center"/>
    </xf>
    <xf numFmtId="0" fontId="4" fillId="11" borderId="80" xfId="1" applyFont="1" applyFill="1" applyBorder="1" applyAlignment="1">
      <alignment horizontal="center" vertical="center"/>
    </xf>
    <xf numFmtId="0" fontId="4" fillId="11" borderId="80" xfId="0" applyFont="1" applyFill="1" applyBorder="1" applyAlignment="1">
      <alignment horizontal="left" vertical="center" wrapText="1"/>
    </xf>
    <xf numFmtId="0" fontId="4" fillId="0" borderId="80" xfId="0" applyFont="1" applyBorder="1" applyAlignment="1">
      <alignment vertical="top" wrapText="1"/>
    </xf>
    <xf numFmtId="0" fontId="4" fillId="0" borderId="80" xfId="0" applyFont="1" applyBorder="1" applyAlignment="1">
      <alignment horizontal="left" vertical="top"/>
    </xf>
    <xf numFmtId="0" fontId="4" fillId="0" borderId="80" xfId="0" applyFont="1" applyBorder="1" applyAlignment="1">
      <alignment horizontal="center" vertical="top" wrapText="1"/>
    </xf>
    <xf numFmtId="0" fontId="6" fillId="0" borderId="80" xfId="0" applyFont="1" applyBorder="1" applyAlignment="1">
      <alignment vertical="top" wrapText="1"/>
    </xf>
    <xf numFmtId="0" fontId="16" fillId="0" borderId="57" xfId="0" applyFont="1" applyBorder="1" applyAlignment="1">
      <alignment vertical="top" wrapText="1"/>
    </xf>
    <xf numFmtId="0" fontId="49" fillId="11" borderId="71" xfId="1267" applyFont="1" applyFill="1" applyBorder="1" applyAlignment="1">
      <alignment horizontal="left" vertical="center" wrapText="1" indent="1"/>
    </xf>
    <xf numFmtId="0" fontId="16" fillId="21" borderId="81" xfId="0" applyFont="1" applyFill="1" applyBorder="1" applyAlignment="1">
      <alignment vertical="top" wrapText="1"/>
    </xf>
    <xf numFmtId="0" fontId="1" fillId="21" borderId="57" xfId="0" applyFont="1" applyFill="1" applyBorder="1" applyAlignment="1">
      <alignment vertical="top" wrapText="1"/>
    </xf>
    <xf numFmtId="0" fontId="16" fillId="0" borderId="60" xfId="0" applyFont="1" applyBorder="1" applyAlignment="1">
      <alignment vertical="top" wrapText="1"/>
    </xf>
    <xf numFmtId="0" fontId="49" fillId="11" borderId="82" xfId="1267" applyFont="1" applyFill="1" applyBorder="1" applyAlignment="1">
      <alignment horizontal="left" vertical="center" wrapText="1" indent="1"/>
    </xf>
    <xf numFmtId="0" fontId="5" fillId="19" borderId="4" xfId="1267" applyFont="1" applyFill="1" applyBorder="1" applyAlignment="1">
      <alignment horizontal="left" vertical="top" wrapText="1" indent="1"/>
    </xf>
    <xf numFmtId="0" fontId="5" fillId="19" borderId="68" xfId="1267" applyFont="1" applyFill="1" applyBorder="1" applyAlignment="1">
      <alignment horizontal="center" vertical="top" wrapText="1"/>
    </xf>
    <xf numFmtId="0" fontId="13" fillId="0" borderId="0" xfId="1267" applyFont="1" applyAlignment="1">
      <alignment horizontal="center" vertical="center" wrapText="1"/>
    </xf>
    <xf numFmtId="0" fontId="1" fillId="2" borderId="15" xfId="1267" applyFont="1" applyFill="1" applyBorder="1" applyAlignment="1">
      <alignment horizontal="left" vertical="top" wrapText="1" indent="1"/>
    </xf>
    <xf numFmtId="0" fontId="50" fillId="19" borderId="84" xfId="1267" applyFont="1" applyFill="1" applyBorder="1" applyAlignment="1">
      <alignment horizontal="left" vertical="center" wrapText="1" indent="1"/>
    </xf>
    <xf numFmtId="0" fontId="50" fillId="19" borderId="85" xfId="1267" applyFont="1" applyFill="1" applyBorder="1" applyAlignment="1">
      <alignment horizontal="left" vertical="center" wrapText="1" indent="1"/>
    </xf>
    <xf numFmtId="0" fontId="5" fillId="19" borderId="86" xfId="1267" applyFont="1" applyFill="1" applyBorder="1" applyAlignment="1">
      <alignment horizontal="center" vertical="top" wrapText="1"/>
    </xf>
    <xf numFmtId="0" fontId="50" fillId="19" borderId="6" xfId="1267" applyFont="1" applyFill="1" applyBorder="1" applyAlignment="1">
      <alignment horizontal="left" vertical="center" wrapText="1" indent="1"/>
    </xf>
    <xf numFmtId="0" fontId="16" fillId="7" borderId="1" xfId="1198" applyFont="1" applyFill="1" applyBorder="1" applyProtection="1">
      <protection locked="0"/>
    </xf>
    <xf numFmtId="0" fontId="16" fillId="7" borderId="1" xfId="1198" applyFont="1" applyFill="1" applyBorder="1" applyProtection="1">
      <protection locked="0" hidden="1"/>
    </xf>
    <xf numFmtId="168" fontId="14" fillId="0" borderId="53" xfId="0" applyNumberFormat="1" applyFont="1" applyBorder="1" applyAlignment="1">
      <alignment horizontal="center"/>
    </xf>
    <xf numFmtId="0" fontId="5" fillId="11" borderId="13" xfId="0" applyFont="1" applyFill="1" applyBorder="1" applyAlignment="1">
      <alignment horizontal="center" vertical="center" wrapText="1"/>
    </xf>
    <xf numFmtId="168" fontId="34" fillId="17" borderId="4" xfId="0" applyNumberFormat="1" applyFont="1" applyFill="1" applyBorder="1" applyAlignment="1">
      <alignment horizontal="center"/>
    </xf>
    <xf numFmtId="0" fontId="3" fillId="0" borderId="0" xfId="0" applyFont="1"/>
    <xf numFmtId="0" fontId="27" fillId="7" borderId="9" xfId="0" applyFont="1" applyFill="1" applyBorder="1" applyAlignment="1">
      <alignment horizontal="center" vertical="top" wrapText="1"/>
    </xf>
    <xf numFmtId="0" fontId="4" fillId="11" borderId="2" xfId="0" applyFont="1" applyFill="1" applyBorder="1" applyAlignment="1">
      <alignment horizontal="center" vertical="center"/>
    </xf>
    <xf numFmtId="0" fontId="4" fillId="11" borderId="9" xfId="0" applyFont="1" applyFill="1" applyBorder="1" applyAlignment="1">
      <alignment horizontal="center" vertical="center"/>
    </xf>
    <xf numFmtId="0" fontId="4" fillId="11" borderId="10" xfId="0" applyFont="1" applyFill="1" applyBorder="1" applyAlignment="1">
      <alignment horizontal="center" vertical="center"/>
    </xf>
    <xf numFmtId="0" fontId="26" fillId="8" borderId="2" xfId="1198" applyFont="1" applyFill="1" applyBorder="1" applyAlignment="1" applyProtection="1">
      <alignment horizontal="left" indent="1"/>
      <protection locked="0"/>
    </xf>
    <xf numFmtId="0" fontId="26" fillId="8" borderId="10" xfId="1198" applyFont="1" applyFill="1" applyBorder="1" applyAlignment="1" applyProtection="1">
      <alignment horizontal="left" indent="1"/>
      <protection locked="0"/>
    </xf>
    <xf numFmtId="168" fontId="26" fillId="8" borderId="2" xfId="1198" applyNumberFormat="1" applyFont="1" applyFill="1" applyBorder="1" applyAlignment="1" applyProtection="1">
      <alignment horizontal="left" indent="1"/>
      <protection locked="0"/>
    </xf>
    <xf numFmtId="168" fontId="26" fillId="8" borderId="10" xfId="1198" applyNumberFormat="1" applyFont="1" applyFill="1" applyBorder="1" applyAlignment="1" applyProtection="1">
      <alignment horizontal="left" indent="1"/>
      <protection locked="0"/>
    </xf>
    <xf numFmtId="169" fontId="26" fillId="8" borderId="2" xfId="1198" applyNumberFormat="1" applyFont="1" applyFill="1" applyBorder="1" applyAlignment="1" applyProtection="1">
      <alignment horizontal="left" indent="1"/>
      <protection locked="0"/>
    </xf>
    <xf numFmtId="169" fontId="26" fillId="8" borderId="10" xfId="1198" applyNumberFormat="1" applyFont="1" applyFill="1" applyBorder="1" applyAlignment="1" applyProtection="1">
      <alignment horizontal="left" indent="1"/>
      <protection locked="0"/>
    </xf>
    <xf numFmtId="0" fontId="4" fillId="0" borderId="0" xfId="0" applyFont="1" applyAlignment="1">
      <alignment horizontal="center"/>
    </xf>
    <xf numFmtId="0" fontId="18" fillId="11" borderId="11" xfId="0" applyFont="1" applyFill="1" applyBorder="1" applyAlignment="1">
      <alignment horizontal="left" vertical="center" wrapText="1"/>
    </xf>
    <xf numFmtId="2" fontId="5" fillId="12" borderId="15" xfId="0" applyNumberFormat="1" applyFont="1" applyFill="1" applyBorder="1" applyAlignment="1">
      <alignment horizontal="center" vertical="center"/>
    </xf>
    <xf numFmtId="2" fontId="5" fillId="12" borderId="4" xfId="0" applyNumberFormat="1" applyFont="1" applyFill="1" applyBorder="1" applyAlignment="1">
      <alignment horizontal="center" vertical="center"/>
    </xf>
    <xf numFmtId="0" fontId="5" fillId="9" borderId="2" xfId="1" applyFont="1" applyFill="1" applyBorder="1" applyAlignment="1">
      <alignment horizontal="center" vertical="center"/>
    </xf>
    <xf numFmtId="0" fontId="5" fillId="9" borderId="9" xfId="1" applyFont="1" applyFill="1" applyBorder="1" applyAlignment="1">
      <alignment horizontal="center" vertical="center"/>
    </xf>
    <xf numFmtId="0" fontId="5" fillId="9" borderId="10" xfId="1" applyFont="1" applyFill="1" applyBorder="1" applyAlignment="1">
      <alignment horizontal="center" vertical="center"/>
    </xf>
    <xf numFmtId="2" fontId="5" fillId="11" borderId="15" xfId="1" applyNumberFormat="1" applyFont="1" applyFill="1" applyBorder="1" applyAlignment="1">
      <alignment horizontal="center" vertical="center"/>
    </xf>
    <xf numFmtId="2" fontId="5" fillId="11" borderId="4" xfId="1" applyNumberFormat="1" applyFont="1" applyFill="1" applyBorder="1" applyAlignment="1">
      <alignment horizontal="center" vertical="center"/>
    </xf>
    <xf numFmtId="1" fontId="20" fillId="4" borderId="15" xfId="1" applyNumberFormat="1" applyFont="1" applyFill="1" applyBorder="1" applyAlignment="1">
      <alignment horizontal="center" vertical="center"/>
    </xf>
    <xf numFmtId="1" fontId="20" fillId="4" borderId="4" xfId="1" applyNumberFormat="1" applyFont="1" applyFill="1" applyBorder="1" applyAlignment="1">
      <alignment horizontal="center" vertical="center"/>
    </xf>
    <xf numFmtId="2" fontId="14" fillId="0" borderId="15" xfId="1" applyNumberFormat="1" applyFont="1" applyBorder="1" applyAlignment="1">
      <alignment horizontal="center" vertical="center"/>
    </xf>
    <xf numFmtId="2" fontId="14" fillId="0" borderId="4" xfId="1" applyNumberFormat="1" applyFont="1" applyBorder="1" applyAlignment="1">
      <alignment horizontal="center" vertical="center"/>
    </xf>
    <xf numFmtId="0" fontId="13" fillId="2" borderId="8" xfId="1" applyFont="1" applyFill="1" applyBorder="1" applyAlignment="1">
      <alignment horizontal="center" vertical="center"/>
    </xf>
    <xf numFmtId="0" fontId="13" fillId="2" borderId="13" xfId="1" applyFont="1" applyFill="1" applyBorder="1" applyAlignment="1">
      <alignment horizontal="center" vertical="center"/>
    </xf>
    <xf numFmtId="0" fontId="13" fillId="2" borderId="12" xfId="1" applyFont="1" applyFill="1" applyBorder="1" applyAlignment="1">
      <alignment horizontal="center" vertical="center"/>
    </xf>
    <xf numFmtId="0" fontId="13" fillId="2" borderId="14" xfId="1" applyFont="1" applyFill="1" applyBorder="1" applyAlignment="1">
      <alignment horizontal="center" vertical="center"/>
    </xf>
    <xf numFmtId="2" fontId="18" fillId="12" borderId="2" xfId="0" applyNumberFormat="1" applyFont="1" applyFill="1" applyBorder="1" applyAlignment="1">
      <alignment horizontal="center" vertical="center"/>
    </xf>
    <xf numFmtId="2" fontId="18" fillId="12" borderId="10" xfId="0" applyNumberFormat="1" applyFont="1" applyFill="1" applyBorder="1" applyAlignment="1">
      <alignment horizontal="center" vertical="center"/>
    </xf>
    <xf numFmtId="0" fontId="5" fillId="11" borderId="2" xfId="1" applyFont="1" applyFill="1" applyBorder="1" applyAlignment="1">
      <alignment horizontal="center" vertical="center"/>
    </xf>
    <xf numFmtId="0" fontId="5" fillId="11" borderId="9" xfId="1" applyFont="1" applyFill="1" applyBorder="1" applyAlignment="1">
      <alignment horizontal="center" vertical="center"/>
    </xf>
    <xf numFmtId="0" fontId="5" fillId="11" borderId="10" xfId="1" applyFont="1" applyFill="1" applyBorder="1" applyAlignment="1">
      <alignment horizontal="center" vertical="center"/>
    </xf>
    <xf numFmtId="0" fontId="13" fillId="2" borderId="15" xfId="1" applyFont="1" applyFill="1" applyBorder="1" applyAlignment="1">
      <alignment horizontal="center" vertical="center"/>
    </xf>
    <xf numFmtId="0" fontId="13" fillId="2" borderId="4" xfId="1" applyFont="1" applyFill="1" applyBorder="1" applyAlignment="1">
      <alignment horizontal="center" vertical="center"/>
    </xf>
    <xf numFmtId="2" fontId="14" fillId="0" borderId="5" xfId="1" applyNumberFormat="1" applyFont="1" applyBorder="1" applyAlignment="1">
      <alignment horizontal="center" vertical="center"/>
    </xf>
    <xf numFmtId="0" fontId="5" fillId="11" borderId="8" xfId="1" applyFont="1" applyFill="1" applyBorder="1" applyAlignment="1">
      <alignment horizontal="center" vertical="center"/>
    </xf>
    <xf numFmtId="0" fontId="5" fillId="11" borderId="22" xfId="1" applyFont="1" applyFill="1" applyBorder="1" applyAlignment="1">
      <alignment horizontal="center" vertical="center"/>
    </xf>
    <xf numFmtId="0" fontId="5" fillId="11" borderId="13" xfId="1" applyFont="1" applyFill="1" applyBorder="1" applyAlignment="1">
      <alignment horizontal="center" vertical="center"/>
    </xf>
    <xf numFmtId="0" fontId="5" fillId="11" borderId="12" xfId="1" applyFont="1" applyFill="1" applyBorder="1" applyAlignment="1">
      <alignment horizontal="center" vertical="center"/>
    </xf>
    <xf numFmtId="0" fontId="5" fillId="11" borderId="11" xfId="1" applyFont="1" applyFill="1" applyBorder="1" applyAlignment="1">
      <alignment horizontal="center" vertical="center"/>
    </xf>
    <xf numFmtId="0" fontId="5" fillId="11" borderId="14" xfId="1" applyFont="1" applyFill="1" applyBorder="1" applyAlignment="1">
      <alignment horizontal="center" vertical="center"/>
    </xf>
    <xf numFmtId="2" fontId="5" fillId="12" borderId="8" xfId="0" applyNumberFormat="1" applyFont="1" applyFill="1" applyBorder="1" applyAlignment="1">
      <alignment horizontal="center" vertical="center"/>
    </xf>
    <xf numFmtId="2" fontId="5" fillId="12" borderId="13" xfId="0" applyNumberFormat="1" applyFont="1" applyFill="1" applyBorder="1" applyAlignment="1">
      <alignment horizontal="center" vertical="center"/>
    </xf>
    <xf numFmtId="2" fontId="5" fillId="12" borderId="12" xfId="0" applyNumberFormat="1" applyFont="1" applyFill="1" applyBorder="1" applyAlignment="1">
      <alignment horizontal="center" vertical="center"/>
    </xf>
    <xf numFmtId="2" fontId="5" fillId="12" borderId="14" xfId="0" applyNumberFormat="1" applyFont="1" applyFill="1" applyBorder="1" applyAlignment="1">
      <alignment horizontal="center" vertical="center"/>
    </xf>
    <xf numFmtId="0" fontId="5" fillId="9" borderId="2" xfId="1" applyFont="1" applyFill="1" applyBorder="1" applyAlignment="1">
      <alignment horizontal="left" vertical="center"/>
    </xf>
    <xf numFmtId="0" fontId="5" fillId="9" borderId="9" xfId="1" applyFont="1" applyFill="1" applyBorder="1" applyAlignment="1">
      <alignment horizontal="left" vertical="center"/>
    </xf>
    <xf numFmtId="0" fontId="5" fillId="9" borderId="10" xfId="1" applyFont="1" applyFill="1" applyBorder="1" applyAlignment="1">
      <alignment horizontal="left" vertical="center"/>
    </xf>
    <xf numFmtId="0" fontId="13" fillId="0" borderId="2" xfId="0" applyFont="1" applyBorder="1" applyAlignment="1">
      <alignment horizontal="left" vertical="center" wrapText="1"/>
    </xf>
    <xf numFmtId="0" fontId="13" fillId="0" borderId="9" xfId="0" applyFont="1" applyBorder="1" applyAlignment="1">
      <alignment horizontal="left" vertical="center" wrapText="1"/>
    </xf>
    <xf numFmtId="0" fontId="13" fillId="0" borderId="10" xfId="0" applyFont="1" applyBorder="1" applyAlignment="1">
      <alignment horizontal="left" vertical="center" wrapText="1"/>
    </xf>
    <xf numFmtId="0" fontId="13" fillId="0" borderId="15" xfId="1" applyFont="1" applyBorder="1" applyAlignment="1">
      <alignment horizontal="center" vertical="center"/>
    </xf>
    <xf numFmtId="0" fontId="13" fillId="0" borderId="4" xfId="1" applyFont="1" applyBorder="1" applyAlignment="1">
      <alignment horizontal="center" vertical="center"/>
    </xf>
    <xf numFmtId="0" fontId="14" fillId="0" borderId="15" xfId="1" applyFont="1" applyBorder="1" applyAlignment="1">
      <alignment horizontal="center" vertical="center"/>
    </xf>
    <xf numFmtId="0" fontId="14" fillId="0" borderId="4" xfId="1" applyFont="1" applyBorder="1" applyAlignment="1">
      <alignment horizontal="center" vertical="center"/>
    </xf>
    <xf numFmtId="0" fontId="5" fillId="11" borderId="80" xfId="1" applyFont="1" applyFill="1" applyBorder="1" applyAlignment="1">
      <alignment horizontal="center" vertical="center"/>
    </xf>
    <xf numFmtId="0" fontId="5" fillId="4" borderId="2" xfId="1" applyFont="1" applyFill="1" applyBorder="1" applyAlignment="1">
      <alignment horizontal="center" vertical="center"/>
    </xf>
    <xf numFmtId="0" fontId="5" fillId="4" borderId="10" xfId="1" applyFont="1" applyFill="1" applyBorder="1" applyAlignment="1">
      <alignment horizontal="center" vertical="center"/>
    </xf>
    <xf numFmtId="0" fontId="5" fillId="4" borderId="9" xfId="1" applyFont="1" applyFill="1" applyBorder="1" applyAlignment="1">
      <alignment horizontal="center" vertical="center"/>
    </xf>
    <xf numFmtId="0" fontId="0" fillId="11" borderId="11" xfId="0" applyFill="1" applyBorder="1" applyAlignment="1">
      <alignment horizontal="right" vertical="center" wrapText="1"/>
    </xf>
    <xf numFmtId="0" fontId="4" fillId="0" borderId="51" xfId="1" applyFont="1" applyBorder="1" applyAlignment="1">
      <alignment horizontal="left" vertical="center"/>
    </xf>
    <xf numFmtId="0" fontId="4" fillId="0" borderId="1" xfId="1" applyFont="1" applyBorder="1" applyAlignment="1">
      <alignment horizontal="left" vertical="center"/>
    </xf>
    <xf numFmtId="0" fontId="4" fillId="0" borderId="27" xfId="1" applyFont="1" applyBorder="1" applyAlignment="1">
      <alignment horizontal="left" vertical="center"/>
    </xf>
    <xf numFmtId="0" fontId="4" fillId="0" borderId="9" xfId="1" applyFont="1" applyBorder="1" applyAlignment="1">
      <alignment horizontal="left" vertical="center"/>
    </xf>
    <xf numFmtId="0" fontId="4" fillId="0" borderId="10" xfId="1" applyFont="1" applyBorder="1" applyAlignment="1">
      <alignment horizontal="left" vertical="center"/>
    </xf>
    <xf numFmtId="0" fontId="4" fillId="0" borderId="38" xfId="1" applyFont="1" applyBorder="1" applyAlignment="1">
      <alignment horizontal="center" vertical="center" wrapText="1"/>
    </xf>
    <xf numFmtId="0" fontId="4" fillId="0" borderId="40" xfId="1" applyFont="1" applyBorder="1" applyAlignment="1">
      <alignment horizontal="center" vertical="center" wrapText="1"/>
    </xf>
    <xf numFmtId="0" fontId="4" fillId="0" borderId="39" xfId="1" applyFont="1" applyBorder="1" applyAlignment="1">
      <alignment horizontal="center" vertical="center" wrapText="1"/>
    </xf>
    <xf numFmtId="0" fontId="4" fillId="0" borderId="41" xfId="1" applyFont="1" applyBorder="1" applyAlignment="1">
      <alignment horizontal="center" vertical="center" wrapText="1"/>
    </xf>
    <xf numFmtId="0" fontId="4" fillId="0" borderId="42" xfId="1" applyFont="1" applyBorder="1" applyAlignment="1">
      <alignment horizontal="center" vertical="center" wrapText="1"/>
    </xf>
    <xf numFmtId="0" fontId="5" fillId="11" borderId="51" xfId="1" applyFont="1" applyFill="1" applyBorder="1" applyAlignment="1">
      <alignment horizontal="left" vertical="center"/>
    </xf>
    <xf numFmtId="0" fontId="5" fillId="11" borderId="1" xfId="1" applyFont="1" applyFill="1" applyBorder="1" applyAlignment="1">
      <alignment horizontal="left" vertical="center"/>
    </xf>
    <xf numFmtId="0" fontId="5" fillId="10" borderId="24" xfId="1" applyFont="1" applyFill="1" applyBorder="1" applyAlignment="1">
      <alignment horizontal="left" vertical="center"/>
    </xf>
    <xf numFmtId="0" fontId="5" fillId="10" borderId="25" xfId="1" applyFont="1" applyFill="1" applyBorder="1" applyAlignment="1">
      <alignment horizontal="left" vertical="center"/>
    </xf>
    <xf numFmtId="0" fontId="5" fillId="10" borderId="50" xfId="1" applyFont="1" applyFill="1" applyBorder="1" applyAlignment="1">
      <alignment horizontal="left" vertical="center"/>
    </xf>
    <xf numFmtId="0" fontId="5" fillId="7" borderId="2" xfId="1" applyFont="1" applyFill="1" applyBorder="1" applyAlignment="1">
      <alignment horizontal="right" vertical="center"/>
    </xf>
    <xf numFmtId="0" fontId="5" fillId="7" borderId="10" xfId="1" applyFont="1" applyFill="1" applyBorder="1" applyAlignment="1">
      <alignment horizontal="right" vertical="center"/>
    </xf>
    <xf numFmtId="0" fontId="5" fillId="11" borderId="27" xfId="1" applyFont="1" applyFill="1" applyBorder="1" applyAlignment="1">
      <alignment horizontal="left" vertical="center"/>
    </xf>
    <xf numFmtId="0" fontId="5" fillId="11" borderId="9" xfId="1" applyFont="1" applyFill="1" applyBorder="1" applyAlignment="1">
      <alignment horizontal="left" vertical="center"/>
    </xf>
    <xf numFmtId="0" fontId="5" fillId="7" borderId="8" xfId="1" applyFont="1" applyFill="1" applyBorder="1" applyAlignment="1">
      <alignment horizontal="right" vertical="center"/>
    </xf>
    <xf numFmtId="0" fontId="5" fillId="7" borderId="13" xfId="1" applyFont="1" applyFill="1" applyBorder="1" applyAlignment="1">
      <alignment horizontal="right" vertical="center"/>
    </xf>
    <xf numFmtId="0" fontId="5" fillId="11" borderId="38" xfId="1" applyFont="1" applyFill="1" applyBorder="1" applyAlignment="1">
      <alignment horizontal="left" vertical="center"/>
    </xf>
    <xf numFmtId="0" fontId="5" fillId="11" borderId="22" xfId="1" applyFont="1" applyFill="1" applyBorder="1" applyAlignment="1">
      <alignment horizontal="left" vertical="center"/>
    </xf>
    <xf numFmtId="168" fontId="14" fillId="0" borderId="53" xfId="0" applyNumberFormat="1" applyFont="1" applyBorder="1" applyAlignment="1">
      <alignment horizontal="center"/>
    </xf>
    <xf numFmtId="168" fontId="14" fillId="0" borderId="54" xfId="0" applyNumberFormat="1" applyFont="1" applyBorder="1" applyAlignment="1">
      <alignment horizontal="center"/>
    </xf>
    <xf numFmtId="168" fontId="14" fillId="0" borderId="69" xfId="0" applyNumberFormat="1" applyFont="1" applyBorder="1" applyAlignment="1">
      <alignment horizontal="center"/>
    </xf>
    <xf numFmtId="168" fontId="14" fillId="0" borderId="70" xfId="0" applyNumberFormat="1" applyFont="1" applyBorder="1" applyAlignment="1">
      <alignment horizontal="center"/>
    </xf>
    <xf numFmtId="0" fontId="5" fillId="11" borderId="54" xfId="0" applyFont="1" applyFill="1" applyBorder="1" applyAlignment="1">
      <alignment horizontal="left"/>
    </xf>
    <xf numFmtId="0" fontId="5" fillId="11" borderId="69" xfId="0" applyFont="1" applyFill="1" applyBorder="1" applyAlignment="1">
      <alignment horizontal="left"/>
    </xf>
    <xf numFmtId="0" fontId="5" fillId="11" borderId="70" xfId="0" applyFont="1" applyFill="1" applyBorder="1" applyAlignment="1">
      <alignment horizontal="left"/>
    </xf>
    <xf numFmtId="2" fontId="13" fillId="0" borderId="54" xfId="0" applyNumberFormat="1" applyFont="1" applyBorder="1" applyAlignment="1">
      <alignment horizontal="right" vertical="top"/>
    </xf>
    <xf numFmtId="2" fontId="13" fillId="0" borderId="70" xfId="0" applyNumberFormat="1" applyFont="1" applyBorder="1" applyAlignment="1">
      <alignment horizontal="right" vertical="top"/>
    </xf>
    <xf numFmtId="0" fontId="4" fillId="0" borderId="61" xfId="0" applyFont="1" applyBorder="1" applyAlignment="1">
      <alignment horizontal="center" vertical="center" wrapText="1"/>
    </xf>
    <xf numFmtId="0" fontId="4" fillId="0" borderId="62" xfId="0" applyFont="1" applyBorder="1" applyAlignment="1">
      <alignment horizontal="center" vertical="center" wrapText="1"/>
    </xf>
    <xf numFmtId="0" fontId="4" fillId="0" borderId="63" xfId="0" applyFont="1" applyBorder="1" applyAlignment="1">
      <alignment horizontal="center" vertical="center" wrapText="1"/>
    </xf>
    <xf numFmtId="0" fontId="5" fillId="11" borderId="1" xfId="0" applyFont="1" applyFill="1" applyBorder="1" applyAlignment="1">
      <alignment horizontal="center"/>
    </xf>
    <xf numFmtId="168" fontId="34" fillId="11" borderId="4" xfId="0" applyNumberFormat="1" applyFont="1" applyFill="1" applyBorder="1" applyAlignment="1">
      <alignment horizontal="center"/>
    </xf>
    <xf numFmtId="0" fontId="34" fillId="11" borderId="4" xfId="0" applyFont="1" applyFill="1" applyBorder="1" applyAlignment="1">
      <alignment horizontal="center"/>
    </xf>
    <xf numFmtId="0" fontId="34" fillId="11" borderId="8" xfId="0" applyFont="1" applyFill="1" applyBorder="1" applyAlignment="1">
      <alignment horizontal="center" vertical="center" wrapText="1"/>
    </xf>
    <xf numFmtId="0" fontId="34" fillId="11" borderId="22" xfId="0" applyFont="1" applyFill="1" applyBorder="1" applyAlignment="1">
      <alignment horizontal="center" vertical="center" wrapText="1"/>
    </xf>
    <xf numFmtId="0" fontId="34" fillId="11" borderId="13"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6" borderId="2" xfId="0" applyFont="1" applyFill="1" applyBorder="1" applyAlignment="1">
      <alignment horizontal="center" vertical="center" wrapText="1"/>
    </xf>
    <xf numFmtId="0" fontId="5" fillId="16" borderId="10" xfId="0" applyFont="1" applyFill="1" applyBorder="1" applyAlignment="1">
      <alignment horizontal="center" vertical="center" wrapText="1"/>
    </xf>
    <xf numFmtId="0" fontId="5" fillId="11" borderId="1" xfId="0" applyFont="1" applyFill="1" applyBorder="1" applyAlignment="1">
      <alignment horizontal="center" vertical="center"/>
    </xf>
    <xf numFmtId="0" fontId="4" fillId="0" borderId="2" xfId="0" applyFont="1" applyBorder="1" applyAlignment="1">
      <alignment horizontal="center" vertical="center"/>
    </xf>
    <xf numFmtId="0" fontId="4" fillId="0" borderId="10" xfId="0" applyFont="1" applyBorder="1" applyAlignment="1">
      <alignment horizontal="center" vertical="center"/>
    </xf>
    <xf numFmtId="0" fontId="5" fillId="7" borderId="2" xfId="0" applyFont="1" applyFill="1" applyBorder="1" applyAlignment="1">
      <alignment horizontal="center" vertical="center" wrapText="1"/>
    </xf>
    <xf numFmtId="0" fontId="5" fillId="7" borderId="9" xfId="0" applyFont="1" applyFill="1" applyBorder="1" applyAlignment="1">
      <alignment horizontal="center" vertical="center" wrapText="1"/>
    </xf>
    <xf numFmtId="0" fontId="5" fillId="7" borderId="10" xfId="0" applyFont="1" applyFill="1" applyBorder="1" applyAlignment="1">
      <alignment horizontal="center" vertical="center" wrapText="1"/>
    </xf>
    <xf numFmtId="0" fontId="5" fillId="7" borderId="1" xfId="0" applyFont="1" applyFill="1" applyBorder="1" applyAlignment="1">
      <alignment horizontal="center" vertical="center" wrapText="1"/>
    </xf>
    <xf numFmtId="0" fontId="4" fillId="11" borderId="15" xfId="0" applyFont="1" applyFill="1" applyBorder="1" applyAlignment="1">
      <alignment horizontal="center" vertical="top" wrapText="1"/>
    </xf>
    <xf numFmtId="0" fontId="4" fillId="11" borderId="5" xfId="0" applyFont="1" applyFill="1" applyBorder="1" applyAlignment="1">
      <alignment horizontal="center" vertical="top" wrapText="1"/>
    </xf>
    <xf numFmtId="0" fontId="4" fillId="11" borderId="4" xfId="0" applyFont="1" applyFill="1" applyBorder="1" applyAlignment="1">
      <alignment horizontal="center" vertical="top" wrapText="1"/>
    </xf>
    <xf numFmtId="0" fontId="4" fillId="0" borderId="1" xfId="0" applyFont="1" applyBorder="1" applyAlignment="1">
      <alignment horizontal="center" vertical="center"/>
    </xf>
    <xf numFmtId="0" fontId="4" fillId="11" borderId="15" xfId="0" applyFont="1" applyFill="1" applyBorder="1" applyAlignment="1">
      <alignment horizontal="center" vertical="top"/>
    </xf>
    <xf numFmtId="0" fontId="4" fillId="11" borderId="5" xfId="0" applyFont="1" applyFill="1" applyBorder="1" applyAlignment="1">
      <alignment horizontal="center" vertical="top"/>
    </xf>
    <xf numFmtId="0" fontId="4" fillId="11" borderId="4" xfId="0" applyFont="1" applyFill="1" applyBorder="1" applyAlignment="1">
      <alignment horizontal="center" vertical="top"/>
    </xf>
    <xf numFmtId="0" fontId="15" fillId="14" borderId="64" xfId="0" applyFont="1" applyFill="1" applyBorder="1" applyAlignment="1">
      <alignment horizontal="center" vertical="center"/>
    </xf>
    <xf numFmtId="0" fontId="15" fillId="14" borderId="65" xfId="0" applyFont="1" applyFill="1" applyBorder="1" applyAlignment="1">
      <alignment horizontal="center" vertical="center"/>
    </xf>
    <xf numFmtId="0" fontId="15" fillId="14" borderId="33" xfId="0" applyFont="1" applyFill="1" applyBorder="1" applyAlignment="1">
      <alignment horizontal="center" vertical="center"/>
    </xf>
    <xf numFmtId="0" fontId="34" fillId="11" borderId="2" xfId="0" applyFont="1" applyFill="1" applyBorder="1" applyAlignment="1">
      <alignment horizontal="center" vertical="center" wrapText="1"/>
    </xf>
    <xf numFmtId="0" fontId="34" fillId="11" borderId="10" xfId="0" applyFont="1" applyFill="1" applyBorder="1" applyAlignment="1">
      <alignment horizontal="center" vertical="center" wrapText="1"/>
    </xf>
    <xf numFmtId="0" fontId="4" fillId="0" borderId="20" xfId="1" applyFont="1" applyBorder="1" applyAlignment="1">
      <alignment horizontal="left" vertical="center" indent="1"/>
    </xf>
    <xf numFmtId="0" fontId="4" fillId="0" borderId="36" xfId="1" applyFont="1" applyBorder="1" applyAlignment="1">
      <alignment horizontal="left" vertical="center" indent="1"/>
    </xf>
    <xf numFmtId="0" fontId="5" fillId="7" borderId="19" xfId="1" applyFont="1" applyFill="1" applyBorder="1" applyAlignment="1">
      <alignment horizontal="right" vertical="center"/>
    </xf>
    <xf numFmtId="0" fontId="4" fillId="0" borderId="20" xfId="1" applyFont="1" applyBorder="1" applyAlignment="1">
      <alignment horizontal="left" vertical="center" indent="2"/>
    </xf>
    <xf numFmtId="0" fontId="4" fillId="0" borderId="36" xfId="1" applyFont="1" applyBorder="1" applyAlignment="1">
      <alignment horizontal="left" vertical="center" indent="2"/>
    </xf>
    <xf numFmtId="0" fontId="5" fillId="11" borderId="19" xfId="1" applyFont="1" applyFill="1" applyBorder="1" applyAlignment="1">
      <alignment horizontal="left" vertical="center"/>
    </xf>
    <xf numFmtId="0" fontId="5" fillId="0" borderId="20" xfId="1" applyFont="1" applyBorder="1" applyAlignment="1">
      <alignment horizontal="left" vertical="center" indent="1"/>
    </xf>
    <xf numFmtId="0" fontId="5" fillId="0" borderId="36" xfId="1" applyFont="1" applyBorder="1" applyAlignment="1">
      <alignment horizontal="left" vertical="center" indent="1"/>
    </xf>
    <xf numFmtId="0" fontId="5" fillId="11" borderId="68" xfId="1" applyFont="1" applyFill="1" applyBorder="1" applyAlignment="1">
      <alignment horizontal="left" vertical="center"/>
    </xf>
    <xf numFmtId="0" fontId="5" fillId="11" borderId="47" xfId="1" applyFont="1" applyFill="1" applyBorder="1" applyAlignment="1">
      <alignment horizontal="left" vertical="center"/>
    </xf>
    <xf numFmtId="0" fontId="4" fillId="0" borderId="44" xfId="1" applyFont="1" applyBorder="1" applyAlignment="1">
      <alignment horizontal="left" vertical="center" indent="1"/>
    </xf>
    <xf numFmtId="0" fontId="4" fillId="0" borderId="45" xfId="1" applyFont="1" applyBorder="1" applyAlignment="1">
      <alignment horizontal="left" vertical="center" indent="1"/>
    </xf>
    <xf numFmtId="0" fontId="4" fillId="0" borderId="46" xfId="1" applyFont="1" applyBorder="1" applyAlignment="1">
      <alignment horizontal="left" vertical="center" indent="1"/>
    </xf>
    <xf numFmtId="0" fontId="6" fillId="0" borderId="66" xfId="0" applyFont="1" applyBorder="1" applyAlignment="1">
      <alignment horizontal="left" vertical="center" indent="2"/>
    </xf>
    <xf numFmtId="0" fontId="6" fillId="0" borderId="36" xfId="0" applyFont="1" applyBorder="1" applyAlignment="1">
      <alignment horizontal="left" vertical="center" indent="2"/>
    </xf>
    <xf numFmtId="0" fontId="5" fillId="11" borderId="20" xfId="1" applyFont="1" applyFill="1" applyBorder="1" applyAlignment="1">
      <alignment horizontal="left" vertical="center"/>
    </xf>
    <xf numFmtId="0" fontId="5" fillId="11" borderId="36" xfId="1" applyFont="1" applyFill="1" applyBorder="1" applyAlignment="1">
      <alignment horizontal="left" vertical="center"/>
    </xf>
    <xf numFmtId="0" fontId="6" fillId="0" borderId="48" xfId="0" applyFont="1" applyBorder="1" applyAlignment="1">
      <alignment horizontal="left" vertical="center" indent="2"/>
    </xf>
    <xf numFmtId="0" fontId="6" fillId="0" borderId="49" xfId="0" applyFont="1" applyBorder="1" applyAlignment="1">
      <alignment horizontal="left" vertical="center" indent="2"/>
    </xf>
    <xf numFmtId="0" fontId="5" fillId="10" borderId="1" xfId="1" applyFont="1" applyFill="1" applyBorder="1" applyAlignment="1">
      <alignment horizontal="left" vertical="center"/>
    </xf>
    <xf numFmtId="0" fontId="5" fillId="10" borderId="2" xfId="1" applyFont="1" applyFill="1" applyBorder="1" applyAlignment="1">
      <alignment horizontal="left" vertical="center"/>
    </xf>
    <xf numFmtId="0" fontId="5" fillId="10" borderId="9" xfId="1" applyFont="1" applyFill="1" applyBorder="1" applyAlignment="1">
      <alignment horizontal="left" vertical="center"/>
    </xf>
    <xf numFmtId="0" fontId="5" fillId="10" borderId="10" xfId="1" applyFont="1" applyFill="1" applyBorder="1" applyAlignment="1">
      <alignment horizontal="left" vertical="center"/>
    </xf>
    <xf numFmtId="0" fontId="4" fillId="0" borderId="49" xfId="1" applyFont="1" applyBorder="1" applyAlignment="1">
      <alignment horizontal="left" vertical="center" indent="1"/>
    </xf>
    <xf numFmtId="0" fontId="5" fillId="10" borderId="2" xfId="0" applyFont="1" applyFill="1" applyBorder="1" applyAlignment="1">
      <alignment horizontal="left"/>
    </xf>
    <xf numFmtId="0" fontId="5" fillId="10" borderId="9" xfId="0" applyFont="1" applyFill="1" applyBorder="1" applyAlignment="1">
      <alignment horizontal="left"/>
    </xf>
    <xf numFmtId="0" fontId="5" fillId="10" borderId="10" xfId="0" applyFont="1" applyFill="1" applyBorder="1" applyAlignment="1">
      <alignment horizontal="left"/>
    </xf>
    <xf numFmtId="0" fontId="34" fillId="11" borderId="11" xfId="0" applyFont="1" applyFill="1" applyBorder="1" applyAlignment="1">
      <alignment horizontal="left" vertical="center" wrapText="1"/>
    </xf>
    <xf numFmtId="0" fontId="47" fillId="11" borderId="47" xfId="0" applyFont="1" applyFill="1" applyBorder="1" applyAlignment="1">
      <alignment horizontal="left"/>
    </xf>
    <xf numFmtId="0" fontId="5" fillId="11" borderId="47" xfId="0" applyFont="1" applyFill="1" applyBorder="1" applyAlignment="1">
      <alignment horizontal="left"/>
    </xf>
    <xf numFmtId="0" fontId="5" fillId="11" borderId="67" xfId="1" applyFont="1" applyFill="1" applyBorder="1" applyAlignment="1">
      <alignment horizontal="left" vertical="center"/>
    </xf>
    <xf numFmtId="0" fontId="5" fillId="11" borderId="41" xfId="1" applyFont="1" applyFill="1" applyBorder="1" applyAlignment="1">
      <alignment horizontal="left" vertical="center"/>
    </xf>
    <xf numFmtId="0" fontId="5" fillId="11" borderId="42" xfId="1" applyFont="1" applyFill="1" applyBorder="1" applyAlignment="1">
      <alignment horizontal="left" vertical="center"/>
    </xf>
    <xf numFmtId="0" fontId="5" fillId="0" borderId="29" xfId="1267" applyFont="1" applyBorder="1" applyAlignment="1">
      <alignment horizontal="right"/>
    </xf>
    <xf numFmtId="0" fontId="5" fillId="0" borderId="87" xfId="1267" applyFont="1" applyBorder="1" applyAlignment="1">
      <alignment horizontal="right"/>
    </xf>
    <xf numFmtId="0" fontId="5" fillId="0" borderId="20" xfId="1267" applyFont="1" applyBorder="1" applyAlignment="1">
      <alignment horizontal="right"/>
    </xf>
    <xf numFmtId="0" fontId="5" fillId="0" borderId="36" xfId="1267" applyFont="1" applyBorder="1" applyAlignment="1">
      <alignment horizontal="right"/>
    </xf>
    <xf numFmtId="0" fontId="49" fillId="11" borderId="71" xfId="1267" applyFont="1" applyFill="1" applyBorder="1" applyAlignment="1">
      <alignment horizontal="left" vertical="center" wrapText="1" indent="1"/>
    </xf>
    <xf numFmtId="0" fontId="49" fillId="11" borderId="83" xfId="1267" applyFont="1" applyFill="1" applyBorder="1" applyAlignment="1">
      <alignment horizontal="left" vertical="center" wrapText="1" indent="1"/>
    </xf>
    <xf numFmtId="0" fontId="5" fillId="22" borderId="71" xfId="1267" applyFont="1" applyFill="1" applyBorder="1" applyAlignment="1">
      <alignment horizontal="center" vertical="center" wrapText="1"/>
    </xf>
    <xf numFmtId="0" fontId="5" fillId="22" borderId="72" xfId="1267" applyFont="1" applyFill="1" applyBorder="1" applyAlignment="1">
      <alignment horizontal="center" vertical="center" wrapText="1"/>
    </xf>
    <xf numFmtId="0" fontId="5" fillId="22" borderId="73" xfId="1267" applyFont="1" applyFill="1" applyBorder="1" applyAlignment="1">
      <alignment horizontal="center" vertical="center" wrapText="1"/>
    </xf>
    <xf numFmtId="0" fontId="16" fillId="10" borderId="74" xfId="1267" applyFont="1" applyFill="1" applyBorder="1" applyAlignment="1">
      <alignment horizontal="center" vertical="center" wrapText="1"/>
    </xf>
    <xf numFmtId="0" fontId="16" fillId="10" borderId="75" xfId="1267" applyFont="1" applyFill="1" applyBorder="1" applyAlignment="1">
      <alignment horizontal="center" vertical="center" wrapText="1"/>
    </xf>
    <xf numFmtId="0" fontId="16" fillId="10" borderId="76" xfId="1267" applyFont="1" applyFill="1" applyBorder="1" applyAlignment="1">
      <alignment horizontal="center" vertical="center" wrapText="1"/>
    </xf>
    <xf numFmtId="0" fontId="16" fillId="10" borderId="77" xfId="1267" applyFont="1" applyFill="1" applyBorder="1" applyAlignment="1">
      <alignment horizontal="center" vertical="center" wrapText="1"/>
    </xf>
    <xf numFmtId="0" fontId="13" fillId="0" borderId="74" xfId="1267" applyFont="1" applyBorder="1" applyAlignment="1">
      <alignment horizontal="center" vertical="center" wrapText="1"/>
    </xf>
    <xf numFmtId="0" fontId="13" fillId="0" borderId="75" xfId="1267" applyFont="1" applyBorder="1" applyAlignment="1">
      <alignment horizontal="center" vertical="center" wrapText="1"/>
    </xf>
    <xf numFmtId="0" fontId="13" fillId="0" borderId="78" xfId="1267" applyFont="1" applyBorder="1" applyAlignment="1">
      <alignment horizontal="center" vertical="center" wrapText="1"/>
    </xf>
    <xf numFmtId="0" fontId="13" fillId="0" borderId="79" xfId="1267" applyFont="1" applyBorder="1" applyAlignment="1">
      <alignment horizontal="center" vertical="center" wrapText="1"/>
    </xf>
    <xf numFmtId="0" fontId="13" fillId="0" borderId="76" xfId="1267" applyFont="1" applyBorder="1" applyAlignment="1">
      <alignment horizontal="center" vertical="center" wrapText="1"/>
    </xf>
    <xf numFmtId="0" fontId="13" fillId="0" borderId="77" xfId="1267" applyFont="1" applyBorder="1" applyAlignment="1">
      <alignment horizontal="center" vertical="center" wrapText="1"/>
    </xf>
    <xf numFmtId="0" fontId="50" fillId="23" borderId="71" xfId="1267" applyFont="1" applyFill="1" applyBorder="1" applyAlignment="1">
      <alignment horizontal="center" vertical="center" wrapText="1"/>
    </xf>
    <xf numFmtId="0" fontId="50" fillId="23" borderId="73" xfId="1267" applyFont="1" applyFill="1" applyBorder="1" applyAlignment="1">
      <alignment horizontal="center" vertical="center" wrapText="1"/>
    </xf>
    <xf numFmtId="0" fontId="5" fillId="11" borderId="2" xfId="1" applyFont="1" applyFill="1" applyBorder="1" applyAlignment="1">
      <alignment horizontal="left" vertical="top" wrapText="1"/>
    </xf>
    <xf numFmtId="0" fontId="5" fillId="11" borderId="10" xfId="1" applyFont="1" applyFill="1" applyBorder="1" applyAlignment="1">
      <alignment horizontal="left" vertical="top" wrapText="1"/>
    </xf>
    <xf numFmtId="0" fontId="5" fillId="11" borderId="2" xfId="1" applyFont="1" applyFill="1" applyBorder="1" applyAlignment="1">
      <alignment horizontal="left" vertical="center" wrapText="1"/>
    </xf>
    <xf numFmtId="0" fontId="5" fillId="11" borderId="10" xfId="1" applyFont="1" applyFill="1" applyBorder="1" applyAlignment="1">
      <alignment horizontal="left" vertical="center" wrapText="1"/>
    </xf>
    <xf numFmtId="0" fontId="6" fillId="11" borderId="15" xfId="0" applyFont="1" applyFill="1" applyBorder="1" applyAlignment="1">
      <alignment horizontal="center" vertical="center" wrapText="1"/>
    </xf>
    <xf numFmtId="0" fontId="6" fillId="11" borderId="5" xfId="0" applyFont="1" applyFill="1" applyBorder="1" applyAlignment="1">
      <alignment horizontal="center" vertical="center" wrapText="1"/>
    </xf>
    <xf numFmtId="0" fontId="6" fillId="11" borderId="4" xfId="0" applyFont="1" applyFill="1" applyBorder="1" applyAlignment="1">
      <alignment horizontal="center" vertical="center" wrapText="1"/>
    </xf>
    <xf numFmtId="0" fontId="6" fillId="0" borderId="15" xfId="0" applyFont="1" applyBorder="1" applyAlignment="1">
      <alignment horizontal="left" vertical="center" wrapText="1"/>
    </xf>
    <xf numFmtId="0" fontId="0" fillId="0" borderId="5" xfId="0" applyBorder="1" applyAlignment="1">
      <alignment horizontal="left" vertical="center" wrapText="1"/>
    </xf>
    <xf numFmtId="0" fontId="0" fillId="0" borderId="4" xfId="0" applyBorder="1" applyAlignment="1">
      <alignment horizontal="left" vertical="center" wrapText="1"/>
    </xf>
    <xf numFmtId="0" fontId="6" fillId="0" borderId="15" xfId="0" applyFont="1" applyBorder="1" applyAlignment="1">
      <alignment horizontal="left" vertical="top" wrapText="1"/>
    </xf>
    <xf numFmtId="0" fontId="6" fillId="0" borderId="5" xfId="0" applyFont="1" applyBorder="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center" wrapText="1"/>
    </xf>
    <xf numFmtId="0" fontId="6" fillId="0" borderId="4" xfId="0" applyFont="1" applyBorder="1" applyAlignment="1">
      <alignment horizontal="left" vertical="center" wrapText="1"/>
    </xf>
    <xf numFmtId="0" fontId="6" fillId="0" borderId="17" xfId="0" applyFont="1" applyBorder="1" applyAlignment="1">
      <alignment horizontal="left" vertical="center" wrapText="1"/>
    </xf>
    <xf numFmtId="0" fontId="5" fillId="11" borderId="1" xfId="0" applyFont="1" applyFill="1" applyBorder="1" applyAlignment="1">
      <alignment horizontal="center" vertical="center" wrapText="1"/>
    </xf>
    <xf numFmtId="0" fontId="4" fillId="11" borderId="1" xfId="0" applyFont="1" applyFill="1" applyBorder="1" applyAlignment="1">
      <alignment horizontal="center" vertical="center" wrapText="1"/>
    </xf>
    <xf numFmtId="0" fontId="4" fillId="0" borderId="15" xfId="0" applyFont="1" applyBorder="1" applyAlignment="1">
      <alignment horizontal="left" vertical="top" wrapText="1"/>
    </xf>
    <xf numFmtId="0" fontId="4" fillId="0" borderId="5" xfId="0" applyFont="1" applyBorder="1" applyAlignment="1">
      <alignment horizontal="left" vertical="top" wrapText="1"/>
    </xf>
    <xf numFmtId="0" fontId="4" fillId="0" borderId="4" xfId="0" applyFont="1" applyBorder="1" applyAlignment="1">
      <alignment horizontal="left" vertical="top" wrapText="1"/>
    </xf>
    <xf numFmtId="0" fontId="6" fillId="11" borderId="1" xfId="0" applyFont="1" applyFill="1" applyBorder="1" applyAlignment="1">
      <alignment horizontal="center" vertical="center" wrapText="1"/>
    </xf>
    <xf numFmtId="0" fontId="5" fillId="11" borderId="16" xfId="0" applyFont="1" applyFill="1" applyBorder="1" applyAlignment="1">
      <alignment horizontal="center" vertical="center" wrapText="1"/>
    </xf>
  </cellXfs>
  <cellStyles count="1268">
    <cellStyle name="Accent2 2" xfId="29" xr:uid="{00000000-0005-0000-0000-000000000000}"/>
    <cellStyle name="Accent6 2" xfId="30" xr:uid="{00000000-0005-0000-0000-000001000000}"/>
    <cellStyle name="Comma 2" xfId="2" xr:uid="{00000000-0005-0000-0000-000002000000}"/>
    <cellStyle name="Currency 2" xfId="4" xr:uid="{00000000-0005-0000-0000-000003000000}"/>
    <cellStyle name="Currency 2 2" xfId="1187" xr:uid="{00000000-0005-0000-0000-000004000000}"/>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75" builtinId="9" hidden="1"/>
    <cellStyle name="Followed Hyperlink" xfId="677" builtinId="9" hidden="1"/>
    <cellStyle name="Followed Hyperlink" xfId="679" builtinId="9" hidden="1"/>
    <cellStyle name="Followed Hyperlink" xfId="681" builtinId="9" hidden="1"/>
    <cellStyle name="Followed Hyperlink" xfId="68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1" builtinId="9" hidden="1"/>
    <cellStyle name="Followed Hyperlink" xfId="733" builtinId="9" hidden="1"/>
    <cellStyle name="Followed Hyperlink" xfId="735" builtinId="9" hidden="1"/>
    <cellStyle name="Followed Hyperlink" xfId="737" builtinId="9" hidden="1"/>
    <cellStyle name="Followed Hyperlink" xfId="739" builtinId="9" hidden="1"/>
    <cellStyle name="Followed Hyperlink" xfId="741" builtinId="9" hidden="1"/>
    <cellStyle name="Followed Hyperlink" xfId="743" builtinId="9" hidden="1"/>
    <cellStyle name="Followed Hyperlink" xfId="745" builtinId="9" hidden="1"/>
    <cellStyle name="Followed Hyperlink" xfId="747" builtinId="9" hidden="1"/>
    <cellStyle name="Followed Hyperlink" xfId="749" builtinId="9" hidden="1"/>
    <cellStyle name="Followed Hyperlink" xfId="751" builtinId="9" hidden="1"/>
    <cellStyle name="Followed Hyperlink" xfId="753" builtinId="9" hidden="1"/>
    <cellStyle name="Followed Hyperlink" xfId="755" builtinId="9" hidden="1"/>
    <cellStyle name="Followed Hyperlink" xfId="757" builtinId="9" hidden="1"/>
    <cellStyle name="Followed Hyperlink" xfId="759" builtinId="9" hidden="1"/>
    <cellStyle name="Followed Hyperlink" xfId="761" builtinId="9" hidden="1"/>
    <cellStyle name="Followed Hyperlink" xfId="763" builtinId="9" hidden="1"/>
    <cellStyle name="Followed Hyperlink" xfId="765" builtinId="9" hidden="1"/>
    <cellStyle name="Followed Hyperlink" xfId="767" builtinId="9" hidden="1"/>
    <cellStyle name="Followed Hyperlink" xfId="769" builtinId="9" hidden="1"/>
    <cellStyle name="Followed Hyperlink" xfId="771" builtinId="9" hidden="1"/>
    <cellStyle name="Followed Hyperlink" xfId="773" builtinId="9" hidden="1"/>
    <cellStyle name="Followed Hyperlink" xfId="775" builtinId="9" hidden="1"/>
    <cellStyle name="Followed Hyperlink" xfId="777" builtinId="9" hidden="1"/>
    <cellStyle name="Followed Hyperlink" xfId="779" builtinId="9" hidden="1"/>
    <cellStyle name="Followed Hyperlink" xfId="781" builtinId="9" hidden="1"/>
    <cellStyle name="Followed Hyperlink" xfId="783" builtinId="9" hidden="1"/>
    <cellStyle name="Followed Hyperlink" xfId="785" builtinId="9" hidden="1"/>
    <cellStyle name="Followed Hyperlink" xfId="787" builtinId="9" hidden="1"/>
    <cellStyle name="Followed Hyperlink" xfId="789" builtinId="9" hidden="1"/>
    <cellStyle name="Followed Hyperlink" xfId="791" builtinId="9" hidden="1"/>
    <cellStyle name="Followed Hyperlink" xfId="793" builtinId="9" hidden="1"/>
    <cellStyle name="Followed Hyperlink" xfId="795" builtinId="9" hidden="1"/>
    <cellStyle name="Followed Hyperlink" xfId="797" builtinId="9" hidden="1"/>
    <cellStyle name="Followed Hyperlink" xfId="799" builtinId="9" hidden="1"/>
    <cellStyle name="Followed Hyperlink" xfId="801" builtinId="9" hidden="1"/>
    <cellStyle name="Followed Hyperlink" xfId="803" builtinId="9" hidden="1"/>
    <cellStyle name="Followed Hyperlink" xfId="805" builtinId="9" hidden="1"/>
    <cellStyle name="Followed Hyperlink" xfId="807" builtinId="9" hidden="1"/>
    <cellStyle name="Followed Hyperlink" xfId="809" builtinId="9" hidden="1"/>
    <cellStyle name="Followed Hyperlink" xfId="811" builtinId="9" hidden="1"/>
    <cellStyle name="Followed Hyperlink" xfId="813" builtinId="9" hidden="1"/>
    <cellStyle name="Followed Hyperlink" xfId="815" builtinId="9" hidden="1"/>
    <cellStyle name="Followed Hyperlink" xfId="817" builtinId="9" hidden="1"/>
    <cellStyle name="Followed Hyperlink" xfId="819" builtinId="9" hidden="1"/>
    <cellStyle name="Followed Hyperlink" xfId="821" builtinId="9" hidden="1"/>
    <cellStyle name="Followed Hyperlink" xfId="823" builtinId="9" hidden="1"/>
    <cellStyle name="Followed Hyperlink" xfId="825" builtinId="9" hidden="1"/>
    <cellStyle name="Followed Hyperlink" xfId="827" builtinId="9" hidden="1"/>
    <cellStyle name="Followed Hyperlink" xfId="829" builtinId="9" hidden="1"/>
    <cellStyle name="Followed Hyperlink" xfId="831" builtinId="9" hidden="1"/>
    <cellStyle name="Followed Hyperlink" xfId="833" builtinId="9" hidden="1"/>
    <cellStyle name="Followed Hyperlink" xfId="835" builtinId="9" hidden="1"/>
    <cellStyle name="Followed Hyperlink" xfId="837" builtinId="9" hidden="1"/>
    <cellStyle name="Followed Hyperlink" xfId="839" builtinId="9" hidden="1"/>
    <cellStyle name="Followed Hyperlink" xfId="841" builtinId="9" hidden="1"/>
    <cellStyle name="Followed Hyperlink" xfId="843" builtinId="9" hidden="1"/>
    <cellStyle name="Followed Hyperlink" xfId="845" builtinId="9" hidden="1"/>
    <cellStyle name="Followed Hyperlink" xfId="847" builtinId="9" hidden="1"/>
    <cellStyle name="Followed Hyperlink" xfId="849" builtinId="9" hidden="1"/>
    <cellStyle name="Followed Hyperlink" xfId="851" builtinId="9" hidden="1"/>
    <cellStyle name="Followed Hyperlink" xfId="853" builtinId="9" hidden="1"/>
    <cellStyle name="Followed Hyperlink" xfId="855" builtinId="9" hidden="1"/>
    <cellStyle name="Followed Hyperlink" xfId="857" builtinId="9" hidden="1"/>
    <cellStyle name="Followed Hyperlink" xfId="859" builtinId="9" hidden="1"/>
    <cellStyle name="Followed Hyperlink" xfId="861" builtinId="9" hidden="1"/>
    <cellStyle name="Followed Hyperlink" xfId="863" builtinId="9" hidden="1"/>
    <cellStyle name="Followed Hyperlink" xfId="865" builtinId="9" hidden="1"/>
    <cellStyle name="Followed Hyperlink" xfId="867" builtinId="9" hidden="1"/>
    <cellStyle name="Followed Hyperlink" xfId="869" builtinId="9" hidden="1"/>
    <cellStyle name="Followed Hyperlink" xfId="871" builtinId="9" hidden="1"/>
    <cellStyle name="Followed Hyperlink" xfId="873"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3" builtinId="9" hidden="1"/>
    <cellStyle name="Followed Hyperlink" xfId="1184" builtinId="9" hidden="1"/>
    <cellStyle name="Followed Hyperlink" xfId="1185" builtinId="9" hidden="1"/>
    <cellStyle name="Followed Hyperlink" xfId="1186"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74" builtinId="8" hidden="1"/>
    <cellStyle name="Hyperlink" xfId="676" builtinId="8" hidden="1"/>
    <cellStyle name="Hyperlink" xfId="678" builtinId="8" hidden="1"/>
    <cellStyle name="Hyperlink" xfId="680" builtinId="8" hidden="1"/>
    <cellStyle name="Hyperlink" xfId="68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0" builtinId="8" hidden="1"/>
    <cellStyle name="Hyperlink" xfId="732" builtinId="8" hidden="1"/>
    <cellStyle name="Hyperlink" xfId="734" builtinId="8" hidden="1"/>
    <cellStyle name="Hyperlink" xfId="736" builtinId="8" hidden="1"/>
    <cellStyle name="Hyperlink" xfId="738" builtinId="8" hidden="1"/>
    <cellStyle name="Hyperlink" xfId="740" builtinId="8" hidden="1"/>
    <cellStyle name="Hyperlink" xfId="742" builtinId="8" hidden="1"/>
    <cellStyle name="Hyperlink" xfId="744" builtinId="8" hidden="1"/>
    <cellStyle name="Hyperlink" xfId="746" builtinId="8" hidden="1"/>
    <cellStyle name="Hyperlink" xfId="748" builtinId="8" hidden="1"/>
    <cellStyle name="Hyperlink" xfId="750" builtinId="8" hidden="1"/>
    <cellStyle name="Hyperlink" xfId="752" builtinId="8" hidden="1"/>
    <cellStyle name="Hyperlink" xfId="754" builtinId="8" hidden="1"/>
    <cellStyle name="Hyperlink" xfId="756" builtinId="8" hidden="1"/>
    <cellStyle name="Hyperlink" xfId="758" builtinId="8" hidden="1"/>
    <cellStyle name="Hyperlink" xfId="760" builtinId="8" hidden="1"/>
    <cellStyle name="Hyperlink" xfId="762" builtinId="8" hidden="1"/>
    <cellStyle name="Hyperlink" xfId="764" builtinId="8" hidden="1"/>
    <cellStyle name="Hyperlink" xfId="766" builtinId="8" hidden="1"/>
    <cellStyle name="Hyperlink" xfId="768" builtinId="8" hidden="1"/>
    <cellStyle name="Hyperlink" xfId="770" builtinId="8" hidden="1"/>
    <cellStyle name="Hyperlink" xfId="772" builtinId="8" hidden="1"/>
    <cellStyle name="Hyperlink" xfId="774" builtinId="8" hidden="1"/>
    <cellStyle name="Hyperlink" xfId="776" builtinId="8" hidden="1"/>
    <cellStyle name="Hyperlink" xfId="778" builtinId="8" hidden="1"/>
    <cellStyle name="Hyperlink" xfId="780" builtinId="8" hidden="1"/>
    <cellStyle name="Hyperlink" xfId="782" builtinId="8" hidden="1"/>
    <cellStyle name="Hyperlink" xfId="784" builtinId="8" hidden="1"/>
    <cellStyle name="Hyperlink" xfId="786" builtinId="8" hidden="1"/>
    <cellStyle name="Hyperlink" xfId="788" builtinId="8" hidden="1"/>
    <cellStyle name="Hyperlink" xfId="790" builtinId="8" hidden="1"/>
    <cellStyle name="Hyperlink" xfId="792" builtinId="8" hidden="1"/>
    <cellStyle name="Hyperlink" xfId="794" builtinId="8" hidden="1"/>
    <cellStyle name="Hyperlink" xfId="796" builtinId="8" hidden="1"/>
    <cellStyle name="Hyperlink" xfId="798" builtinId="8" hidden="1"/>
    <cellStyle name="Hyperlink" xfId="800" builtinId="8" hidden="1"/>
    <cellStyle name="Hyperlink" xfId="802" builtinId="8" hidden="1"/>
    <cellStyle name="Hyperlink" xfId="804" builtinId="8" hidden="1"/>
    <cellStyle name="Hyperlink" xfId="806" builtinId="8" hidden="1"/>
    <cellStyle name="Hyperlink" xfId="808" builtinId="8" hidden="1"/>
    <cellStyle name="Hyperlink" xfId="810" builtinId="8" hidden="1"/>
    <cellStyle name="Hyperlink" xfId="812" builtinId="8" hidden="1"/>
    <cellStyle name="Hyperlink" xfId="814" builtinId="8" hidden="1"/>
    <cellStyle name="Hyperlink" xfId="816" builtinId="8" hidden="1"/>
    <cellStyle name="Hyperlink" xfId="818" builtinId="8" hidden="1"/>
    <cellStyle name="Hyperlink" xfId="820" builtinId="8" hidden="1"/>
    <cellStyle name="Hyperlink" xfId="822" builtinId="8" hidden="1"/>
    <cellStyle name="Hyperlink" xfId="824" builtinId="8" hidden="1"/>
    <cellStyle name="Hyperlink" xfId="826" builtinId="8" hidden="1"/>
    <cellStyle name="Hyperlink" xfId="828" builtinId="8" hidden="1"/>
    <cellStyle name="Hyperlink" xfId="830" builtinId="8" hidden="1"/>
    <cellStyle name="Hyperlink" xfId="832" builtinId="8" hidden="1"/>
    <cellStyle name="Hyperlink" xfId="834" builtinId="8" hidden="1"/>
    <cellStyle name="Hyperlink" xfId="836" builtinId="8" hidden="1"/>
    <cellStyle name="Hyperlink" xfId="838" builtinId="8" hidden="1"/>
    <cellStyle name="Hyperlink" xfId="840" builtinId="8" hidden="1"/>
    <cellStyle name="Hyperlink" xfId="842" builtinId="8" hidden="1"/>
    <cellStyle name="Hyperlink" xfId="844" builtinId="8" hidden="1"/>
    <cellStyle name="Hyperlink" xfId="846" builtinId="8" hidden="1"/>
    <cellStyle name="Hyperlink" xfId="848" builtinId="8" hidden="1"/>
    <cellStyle name="Hyperlink" xfId="850" builtinId="8" hidden="1"/>
    <cellStyle name="Hyperlink" xfId="852" builtinId="8" hidden="1"/>
    <cellStyle name="Hyperlink" xfId="854" builtinId="8" hidden="1"/>
    <cellStyle name="Hyperlink" xfId="856" builtinId="8" hidden="1"/>
    <cellStyle name="Hyperlink" xfId="858" builtinId="8" hidden="1"/>
    <cellStyle name="Hyperlink" xfId="860" builtinId="8" hidden="1"/>
    <cellStyle name="Hyperlink" xfId="862" builtinId="8" hidden="1"/>
    <cellStyle name="Hyperlink" xfId="864" builtinId="8" hidden="1"/>
    <cellStyle name="Hyperlink" xfId="866" builtinId="8" hidden="1"/>
    <cellStyle name="Hyperlink" xfId="868" builtinId="8" hidden="1"/>
    <cellStyle name="Hyperlink" xfId="870" builtinId="8" hidden="1"/>
    <cellStyle name="Hyperlink" xfId="872"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2"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2" xfId="5" xr:uid="{00000000-0005-0000-0000-0000C0040000}"/>
    <cellStyle name="Normal" xfId="0" builtinId="0"/>
    <cellStyle name="Normal 10" xfId="6" xr:uid="{00000000-0005-0000-0000-0000C2040000}"/>
    <cellStyle name="Normal 10 2" xfId="1188" xr:uid="{00000000-0005-0000-0000-0000C3040000}"/>
    <cellStyle name="Normal 11" xfId="874" xr:uid="{00000000-0005-0000-0000-0000C4040000}"/>
    <cellStyle name="Normal 2" xfId="3" xr:uid="{00000000-0005-0000-0000-0000C5040000}"/>
    <cellStyle name="Normal 2 10" xfId="7" xr:uid="{00000000-0005-0000-0000-0000C6040000}"/>
    <cellStyle name="Normal 2 10 2" xfId="1189" xr:uid="{00000000-0005-0000-0000-0000C7040000}"/>
    <cellStyle name="Normal 2 11" xfId="1267" xr:uid="{00000000-0005-0000-0000-0000C8040000}"/>
    <cellStyle name="Normal 2 2" xfId="8" xr:uid="{00000000-0005-0000-0000-0000C9040000}"/>
    <cellStyle name="Normal 2 2 2" xfId="1190" xr:uid="{00000000-0005-0000-0000-0000CA040000}"/>
    <cellStyle name="Normal 2 3" xfId="9" xr:uid="{00000000-0005-0000-0000-0000CB040000}"/>
    <cellStyle name="Normal 2 3 2" xfId="1191" xr:uid="{00000000-0005-0000-0000-0000CC040000}"/>
    <cellStyle name="Normal 2 4" xfId="10" xr:uid="{00000000-0005-0000-0000-0000CD040000}"/>
    <cellStyle name="Normal 2 4 2" xfId="1192" xr:uid="{00000000-0005-0000-0000-0000CE040000}"/>
    <cellStyle name="Normal 2 5" xfId="11" xr:uid="{00000000-0005-0000-0000-0000CF040000}"/>
    <cellStyle name="Normal 2 5 2" xfId="1193" xr:uid="{00000000-0005-0000-0000-0000D0040000}"/>
    <cellStyle name="Normal 2 6" xfId="12" xr:uid="{00000000-0005-0000-0000-0000D1040000}"/>
    <cellStyle name="Normal 2 6 2" xfId="1194" xr:uid="{00000000-0005-0000-0000-0000D2040000}"/>
    <cellStyle name="Normal 2 7" xfId="13" xr:uid="{00000000-0005-0000-0000-0000D3040000}"/>
    <cellStyle name="Normal 2 7 2" xfId="1195" xr:uid="{00000000-0005-0000-0000-0000D4040000}"/>
    <cellStyle name="Normal 2 8" xfId="14" xr:uid="{00000000-0005-0000-0000-0000D5040000}"/>
    <cellStyle name="Normal 2 8 2" xfId="1196" xr:uid="{00000000-0005-0000-0000-0000D6040000}"/>
    <cellStyle name="Normal 2 9" xfId="15" xr:uid="{00000000-0005-0000-0000-0000D7040000}"/>
    <cellStyle name="Normal 2 9 2" xfId="1197" xr:uid="{00000000-0005-0000-0000-0000D8040000}"/>
    <cellStyle name="Normal 3" xfId="16" xr:uid="{00000000-0005-0000-0000-0000D9040000}"/>
    <cellStyle name="Normal 3 2" xfId="1" xr:uid="{00000000-0005-0000-0000-0000DA040000}"/>
    <cellStyle name="Normal 3 3" xfId="31" xr:uid="{00000000-0005-0000-0000-0000DB040000}"/>
    <cellStyle name="Normal 4" xfId="17" xr:uid="{00000000-0005-0000-0000-0000DC040000}"/>
    <cellStyle name="Normal 4 2" xfId="1198" xr:uid="{00000000-0005-0000-0000-0000DD040000}"/>
    <cellStyle name="Normal 5" xfId="18" xr:uid="{00000000-0005-0000-0000-0000DE040000}"/>
    <cellStyle name="Normal 5 2" xfId="1199" xr:uid="{00000000-0005-0000-0000-0000DF040000}"/>
    <cellStyle name="Normal 6" xfId="19" xr:uid="{00000000-0005-0000-0000-0000E0040000}"/>
    <cellStyle name="Normal 6 2" xfId="20" xr:uid="{00000000-0005-0000-0000-0000E1040000}"/>
    <cellStyle name="Normal 6 2 2" xfId="1201" xr:uid="{00000000-0005-0000-0000-0000E2040000}"/>
    <cellStyle name="Normal 6 3" xfId="21" xr:uid="{00000000-0005-0000-0000-0000E3040000}"/>
    <cellStyle name="Normal 6 3 2" xfId="1202" xr:uid="{00000000-0005-0000-0000-0000E4040000}"/>
    <cellStyle name="Normal 6 4" xfId="22" xr:uid="{00000000-0005-0000-0000-0000E5040000}"/>
    <cellStyle name="Normal 6 4 2" xfId="1203" xr:uid="{00000000-0005-0000-0000-0000E6040000}"/>
    <cellStyle name="Normal 6 5" xfId="23" xr:uid="{00000000-0005-0000-0000-0000E7040000}"/>
    <cellStyle name="Normal 6 5 2" xfId="1204" xr:uid="{00000000-0005-0000-0000-0000E8040000}"/>
    <cellStyle name="Normal 6 6" xfId="24" xr:uid="{00000000-0005-0000-0000-0000E9040000}"/>
    <cellStyle name="Normal 6 6 2" xfId="1205" xr:uid="{00000000-0005-0000-0000-0000EA040000}"/>
    <cellStyle name="Normal 6 7" xfId="1200" xr:uid="{00000000-0005-0000-0000-0000EB040000}"/>
    <cellStyle name="Normal 7" xfId="25" xr:uid="{00000000-0005-0000-0000-0000EC040000}"/>
    <cellStyle name="Normal 7 2" xfId="1206" xr:uid="{00000000-0005-0000-0000-0000ED040000}"/>
    <cellStyle name="Normal 7 3" xfId="26" xr:uid="{00000000-0005-0000-0000-0000EE040000}"/>
    <cellStyle name="Normal 7 3 2" xfId="1207" xr:uid="{00000000-0005-0000-0000-0000EF040000}"/>
    <cellStyle name="Normal 8" xfId="27" xr:uid="{00000000-0005-0000-0000-0000F0040000}"/>
    <cellStyle name="Normal 9" xfId="28" xr:uid="{00000000-0005-0000-0000-0000F1040000}"/>
    <cellStyle name="Normal 9 2" xfId="1208" xr:uid="{00000000-0005-0000-0000-0000F2040000}"/>
    <cellStyle name="Percent" xfId="1181" builtinId="5"/>
  </cellStyles>
  <dxfs count="170">
    <dxf>
      <font>
        <color rgb="FF9C6500"/>
      </font>
      <fill>
        <patternFill>
          <bgColor rgb="FFFFEB9C"/>
        </patternFill>
      </fill>
    </dxf>
    <dxf>
      <font>
        <color rgb="FF9C6500"/>
      </font>
      <fill>
        <patternFill>
          <bgColor rgb="FFFFEB9C"/>
        </patternFill>
      </fill>
    </dxf>
    <dxf>
      <font>
        <b val="0"/>
        <i/>
        <color rgb="FF0070C0"/>
      </font>
      <fill>
        <patternFill patternType="none">
          <bgColor auto="1"/>
        </patternFill>
      </fill>
    </dxf>
    <dxf>
      <font>
        <b val="0"/>
        <i/>
        <color rgb="FF0070C0"/>
      </font>
      <fill>
        <patternFill patternType="none">
          <bgColor auto="1"/>
        </patternFill>
      </fill>
    </dxf>
    <dxf>
      <font>
        <b val="0"/>
        <i/>
        <color rgb="FF7030A0"/>
      </font>
      <fill>
        <patternFill patternType="none">
          <bgColor auto="1"/>
        </patternFill>
      </fill>
    </dxf>
    <dxf>
      <font>
        <b val="0"/>
        <i/>
        <color rgb="FF9C0006"/>
      </font>
      <fill>
        <patternFill patternType="none">
          <bgColor auto="1"/>
        </patternFill>
      </fill>
    </dxf>
    <dxf>
      <font>
        <b val="0"/>
        <i/>
        <color rgb="FF9C0006"/>
      </font>
      <fill>
        <patternFill patternType="none">
          <bgColor auto="1"/>
        </patternFill>
      </fill>
    </dxf>
    <dxf>
      <font>
        <b val="0"/>
        <i/>
        <color rgb="FF0070C0"/>
      </font>
    </dxf>
    <dxf>
      <font>
        <b val="0"/>
        <i/>
        <color rgb="FF0070C0"/>
      </font>
    </dxf>
    <dxf>
      <font>
        <b val="0"/>
        <i/>
        <color rgb="FF7030A0"/>
      </font>
    </dxf>
    <dxf>
      <font>
        <b val="0"/>
        <i/>
        <color rgb="FFC00000"/>
      </font>
    </dxf>
    <dxf>
      <font>
        <b val="0"/>
        <i/>
        <color rgb="FFC00000"/>
      </font>
      <fill>
        <patternFill patternType="none">
          <bgColor auto="1"/>
        </patternFill>
      </fill>
    </dxf>
    <dxf>
      <font>
        <b val="0"/>
        <i/>
        <color rgb="FF0070C0"/>
      </font>
      <fill>
        <patternFill patternType="none">
          <bgColor auto="1"/>
        </patternFill>
      </fill>
    </dxf>
    <dxf>
      <font>
        <b val="0"/>
        <i/>
        <color rgb="FFC00000"/>
      </font>
      <fill>
        <patternFill patternType="none">
          <fgColor auto="1"/>
          <bgColor auto="1"/>
        </patternFill>
      </fill>
    </dxf>
    <dxf>
      <font>
        <b val="0"/>
        <i/>
        <color rgb="FF0070C0"/>
      </font>
      <fill>
        <patternFill patternType="none">
          <bgColor auto="1"/>
        </patternFill>
      </fill>
    </dxf>
    <dxf>
      <font>
        <b val="0"/>
        <i/>
        <color rgb="FFC00000"/>
      </font>
      <fill>
        <patternFill patternType="none">
          <fgColor auto="1"/>
          <bgColor auto="1"/>
        </patternFill>
      </fill>
    </dxf>
    <dxf>
      <font>
        <b val="0"/>
        <i/>
        <color rgb="FF0070C0"/>
      </font>
      <fill>
        <patternFill patternType="none">
          <bgColor auto="1"/>
        </patternFill>
      </fill>
    </dxf>
    <dxf>
      <font>
        <b val="0"/>
        <i/>
        <color rgb="FFC00000"/>
      </font>
      <fill>
        <patternFill patternType="none">
          <fgColor auto="1"/>
          <bgColor auto="1"/>
        </patternFill>
      </fill>
    </dxf>
    <dxf>
      <font>
        <color rgb="FF0070C0"/>
      </font>
      <fill>
        <patternFill patternType="none">
          <bgColor auto="1"/>
        </patternFill>
      </fill>
    </dxf>
    <dxf>
      <font>
        <b val="0"/>
        <i/>
        <color rgb="FF7030A0"/>
      </font>
      <fill>
        <patternFill patternType="none">
          <bgColor auto="1"/>
        </patternFill>
      </fill>
    </dxf>
    <dxf>
      <font>
        <b val="0"/>
        <i/>
        <color rgb="FFC00000"/>
      </font>
      <fill>
        <patternFill patternType="none">
          <bgColor auto="1"/>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b val="0"/>
        <i val="0"/>
        <color theme="1" tint="0.499984740745262"/>
      </font>
      <fill>
        <patternFill patternType="none">
          <bgColor auto="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color theme="1" tint="0.499984740745262"/>
      </font>
      <fill>
        <patternFill patternType="none">
          <bgColor auto="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color theme="1"/>
      </font>
      <fill>
        <patternFill patternType="none">
          <fgColor auto="1"/>
          <bgColor auto="1"/>
        </patternFill>
      </fill>
    </dxf>
    <dxf>
      <font>
        <color rgb="FFC00000"/>
      </font>
      <fill>
        <patternFill patternType="solid">
          <bgColor theme="9" tint="0.7999816888943144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ill>
        <patternFill>
          <bgColor rgb="FFFFC7CE"/>
        </patternFill>
      </fill>
    </dxf>
    <dxf>
      <font>
        <b val="0"/>
        <i/>
        <color rgb="FF0070C0"/>
      </font>
    </dxf>
    <dxf>
      <font>
        <b val="0"/>
        <i/>
        <color rgb="FF0070C0"/>
      </font>
    </dxf>
    <dxf>
      <font>
        <b val="0"/>
        <i/>
        <color rgb="FF7030A0"/>
      </font>
    </dxf>
    <dxf>
      <font>
        <b val="0"/>
        <i/>
        <color rgb="FFC00000"/>
      </font>
    </dxf>
    <dxf>
      <font>
        <b val="0"/>
        <i/>
        <color rgb="FFC00000"/>
      </font>
      <fill>
        <patternFill patternType="none">
          <bgColor auto="1"/>
        </patternFill>
      </fill>
    </dxf>
    <dxf>
      <font>
        <b val="0"/>
        <i/>
        <color rgb="FF0070C0"/>
      </font>
    </dxf>
    <dxf>
      <font>
        <b val="0"/>
        <i/>
        <color rgb="FF0070C0"/>
      </font>
    </dxf>
    <dxf>
      <font>
        <b val="0"/>
        <i/>
        <color rgb="FF7030A0"/>
      </font>
    </dxf>
    <dxf>
      <font>
        <b val="0"/>
        <i/>
        <color rgb="FFC00000"/>
      </font>
    </dxf>
    <dxf>
      <font>
        <b val="0"/>
        <i/>
        <color rgb="FFC00000"/>
      </font>
      <fill>
        <patternFill patternType="none">
          <bgColor auto="1"/>
        </patternFill>
      </fill>
    </dxf>
    <dxf>
      <font>
        <b val="0"/>
        <i/>
        <color rgb="FF0070C0"/>
      </font>
    </dxf>
    <dxf>
      <font>
        <b val="0"/>
        <i/>
        <color rgb="FF0070C0"/>
      </font>
    </dxf>
    <dxf>
      <font>
        <b val="0"/>
        <i/>
        <color rgb="FF7030A0"/>
      </font>
    </dxf>
    <dxf>
      <font>
        <b val="0"/>
        <i/>
        <color rgb="FFC00000"/>
      </font>
    </dxf>
    <dxf>
      <font>
        <b val="0"/>
        <i/>
        <color rgb="FFC00000"/>
      </font>
      <fill>
        <patternFill patternType="none">
          <bgColor auto="1"/>
        </patternFill>
      </fill>
    </dxf>
    <dxf>
      <font>
        <b val="0"/>
        <i/>
        <color rgb="FF0070C0"/>
      </font>
    </dxf>
    <dxf>
      <font>
        <b val="0"/>
        <i/>
        <color rgb="FF0070C0"/>
      </font>
    </dxf>
    <dxf>
      <font>
        <b val="0"/>
        <i/>
        <color rgb="FF7030A0"/>
      </font>
    </dxf>
    <dxf>
      <font>
        <b val="0"/>
        <i/>
        <color rgb="FFC00000"/>
      </font>
    </dxf>
    <dxf>
      <font>
        <b val="0"/>
        <i/>
        <color rgb="FFC00000"/>
      </font>
      <fill>
        <patternFill patternType="none">
          <bgColor auto="1"/>
        </patternFill>
      </fill>
    </dxf>
    <dxf>
      <font>
        <b val="0"/>
        <i/>
        <color rgb="FF0070C0"/>
      </font>
    </dxf>
    <dxf>
      <font>
        <b val="0"/>
        <i/>
        <color rgb="FF0070C0"/>
      </font>
    </dxf>
    <dxf>
      <font>
        <b val="0"/>
        <i/>
        <color rgb="FF7030A0"/>
      </font>
    </dxf>
    <dxf>
      <font>
        <b val="0"/>
        <i/>
        <color rgb="FFC00000"/>
      </font>
    </dxf>
    <dxf>
      <font>
        <b val="0"/>
        <i/>
        <color rgb="FFC00000"/>
      </font>
      <fill>
        <patternFill patternType="none">
          <bgColor auto="1"/>
        </patternFill>
      </fill>
    </dxf>
    <dxf>
      <font>
        <b val="0"/>
        <i/>
        <color rgb="FF0070C0"/>
      </font>
      <fill>
        <patternFill patternType="none">
          <bgColor auto="1"/>
        </patternFill>
      </fill>
    </dxf>
    <dxf>
      <font>
        <b val="0"/>
        <i/>
        <color rgb="FFC00000"/>
      </font>
      <fill>
        <patternFill patternType="none">
          <fgColor auto="1"/>
          <bgColor auto="1"/>
        </patternFill>
      </fill>
    </dxf>
    <dxf>
      <font>
        <color rgb="FF0070C0"/>
      </font>
      <fill>
        <patternFill patternType="none">
          <bgColor auto="1"/>
        </patternFill>
      </fill>
    </dxf>
    <dxf>
      <font>
        <b val="0"/>
        <i/>
        <color rgb="FF7030A0"/>
      </font>
      <fill>
        <patternFill patternType="none">
          <bgColor auto="1"/>
        </patternFill>
      </fill>
    </dxf>
    <dxf>
      <font>
        <b val="0"/>
        <i/>
        <color rgb="FFC00000"/>
      </font>
      <fill>
        <patternFill patternType="none">
          <bgColor auto="1"/>
        </patternFill>
      </fill>
    </dxf>
    <dxf>
      <font>
        <b val="0"/>
        <i/>
        <color rgb="FF0070C0"/>
      </font>
      <fill>
        <patternFill patternType="none">
          <bgColor auto="1"/>
        </patternFill>
      </fill>
    </dxf>
    <dxf>
      <font>
        <b val="0"/>
        <i/>
        <color rgb="FFC00000"/>
      </font>
      <fill>
        <patternFill patternType="none">
          <fgColor auto="1"/>
          <bgColor auto="1"/>
        </patternFill>
      </fill>
    </dxf>
    <dxf>
      <font>
        <color rgb="FF0070C0"/>
      </font>
      <fill>
        <patternFill patternType="none">
          <bgColor auto="1"/>
        </patternFill>
      </fill>
    </dxf>
    <dxf>
      <font>
        <b val="0"/>
        <i/>
        <color rgb="FF7030A0"/>
      </font>
      <fill>
        <patternFill patternType="none">
          <bgColor auto="1"/>
        </patternFill>
      </fill>
    </dxf>
    <dxf>
      <font>
        <b val="0"/>
        <i/>
        <color rgb="FFC00000"/>
      </font>
      <fill>
        <patternFill patternType="none">
          <bgColor auto="1"/>
        </patternFill>
      </fill>
    </dxf>
    <dxf>
      <font>
        <b val="0"/>
        <i/>
        <color rgb="FF0070C0"/>
      </font>
    </dxf>
    <dxf>
      <font>
        <b val="0"/>
        <i/>
        <color rgb="FF0070C0"/>
      </font>
    </dxf>
    <dxf>
      <font>
        <b val="0"/>
        <i/>
        <color rgb="FF7030A0"/>
      </font>
    </dxf>
    <dxf>
      <font>
        <b val="0"/>
        <i/>
        <color rgb="FFC00000"/>
      </font>
    </dxf>
    <dxf>
      <font>
        <b val="0"/>
        <i/>
        <color rgb="FFC00000"/>
      </font>
      <fill>
        <patternFill patternType="none">
          <bgColor auto="1"/>
        </patternFill>
      </fill>
    </dxf>
    <dxf>
      <font>
        <b val="0"/>
        <i/>
        <color rgb="FF0070C0"/>
      </font>
    </dxf>
    <dxf>
      <font>
        <b val="0"/>
        <i/>
        <color rgb="FF0070C0"/>
      </font>
    </dxf>
    <dxf>
      <font>
        <b val="0"/>
        <i/>
        <color rgb="FF7030A0"/>
      </font>
    </dxf>
    <dxf>
      <font>
        <b val="0"/>
        <i/>
        <color rgb="FFC00000"/>
      </font>
    </dxf>
    <dxf>
      <font>
        <b val="0"/>
        <i/>
        <color rgb="FFC00000"/>
      </font>
      <fill>
        <patternFill patternType="none">
          <bgColor auto="1"/>
        </patternFill>
      </fill>
    </dxf>
    <dxf>
      <font>
        <b val="0"/>
        <i/>
        <color rgb="FF0070C0"/>
      </font>
    </dxf>
    <dxf>
      <font>
        <b val="0"/>
        <i/>
        <color rgb="FF0070C0"/>
      </font>
    </dxf>
    <dxf>
      <font>
        <b val="0"/>
        <i/>
        <color rgb="FF7030A0"/>
      </font>
    </dxf>
    <dxf>
      <font>
        <b val="0"/>
        <i/>
        <color rgb="FFC00000"/>
      </font>
    </dxf>
    <dxf>
      <font>
        <b val="0"/>
        <i/>
        <color rgb="FFC00000"/>
      </font>
      <fill>
        <patternFill patternType="none">
          <bgColor auto="1"/>
        </patternFill>
      </fill>
    </dxf>
    <dxf>
      <font>
        <b val="0"/>
        <i/>
        <color rgb="FF0070C0"/>
      </font>
      <fill>
        <patternFill patternType="none">
          <bgColor auto="1"/>
        </patternFill>
      </fill>
    </dxf>
    <dxf>
      <font>
        <b val="0"/>
        <i/>
        <color rgb="FFC00000"/>
      </font>
      <fill>
        <patternFill patternType="none">
          <fgColor auto="1"/>
          <bgColor auto="1"/>
        </patternFill>
      </fill>
    </dxf>
    <dxf>
      <font>
        <b val="0"/>
        <i/>
        <color rgb="FF0070C0"/>
      </font>
      <fill>
        <patternFill patternType="none">
          <bgColor auto="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b val="0"/>
        <i/>
        <color rgb="FF0070C0"/>
      </font>
      <fill>
        <patternFill patternType="none">
          <bgColor auto="1"/>
        </patternFill>
      </fill>
    </dxf>
    <dxf>
      <font>
        <b val="0"/>
        <i/>
        <color rgb="FF7030A0"/>
      </font>
      <fill>
        <patternFill patternType="none">
          <bgColor auto="1"/>
        </patternFill>
      </fill>
    </dxf>
    <dxf>
      <font>
        <b val="0"/>
        <i/>
        <color rgb="FF9C0006"/>
      </font>
      <fill>
        <patternFill patternType="none">
          <bgColor auto="1"/>
        </patternFill>
      </fill>
    </dxf>
    <dxf>
      <font>
        <b val="0"/>
        <i/>
        <color rgb="FF9C0006"/>
      </font>
      <fill>
        <patternFill patternType="none">
          <bgColor auto="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ill>
        <patternFill>
          <bgColor rgb="FFFFC7CE"/>
        </patternFill>
      </fill>
    </dxf>
    <dxf>
      <font>
        <b val="0"/>
        <i/>
        <color rgb="FF0070C0"/>
      </font>
    </dxf>
    <dxf>
      <font>
        <b val="0"/>
        <i/>
        <color rgb="FF0070C0"/>
      </font>
    </dxf>
    <dxf>
      <font>
        <b val="0"/>
        <i/>
        <color rgb="FF7030A0"/>
      </font>
    </dxf>
    <dxf>
      <font>
        <b val="0"/>
        <i/>
        <color rgb="FFC00000"/>
      </font>
    </dxf>
    <dxf>
      <font>
        <b val="0"/>
        <i/>
        <color rgb="FFC00000"/>
      </font>
      <fill>
        <patternFill patternType="none">
          <bgColor auto="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ill>
        <patternFill>
          <bgColor rgb="FFFFC7CE"/>
        </patternFill>
      </fill>
    </dxf>
    <dxf>
      <font>
        <color rgb="FF006100"/>
      </font>
      <fill>
        <patternFill>
          <bgColor rgb="FFC6EFCE"/>
        </patternFill>
      </fill>
    </dxf>
    <dxf>
      <font>
        <color rgb="FF9C0006"/>
      </font>
      <fill>
        <patternFill>
          <bgColor rgb="FFFFC7CE"/>
        </patternFill>
      </fill>
    </dxf>
    <dxf>
      <font>
        <b val="0"/>
        <i/>
        <color rgb="FF0070C0"/>
      </font>
      <fill>
        <patternFill patternType="none">
          <bgColor auto="1"/>
        </patternFill>
      </fill>
    </dxf>
    <dxf>
      <font>
        <b val="0"/>
        <i/>
        <color rgb="FFC00000"/>
      </font>
      <fill>
        <patternFill patternType="none">
          <fgColor auto="1"/>
          <bgColor auto="1"/>
        </patternFill>
      </fill>
    </dxf>
    <dxf>
      <font>
        <color rgb="FF0070C0"/>
      </font>
      <fill>
        <patternFill patternType="none">
          <bgColor auto="1"/>
        </patternFill>
      </fill>
    </dxf>
    <dxf>
      <font>
        <b val="0"/>
        <i/>
        <color rgb="FF7030A0"/>
      </font>
      <fill>
        <patternFill patternType="none">
          <bgColor auto="1"/>
        </patternFill>
      </fill>
    </dxf>
    <dxf>
      <font>
        <b val="0"/>
        <i/>
        <color rgb="FFC00000"/>
      </font>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none" spc="0" normalizeH="0" baseline="0">
                <a:solidFill>
                  <a:schemeClr val="tx1">
                    <a:lumMod val="65000"/>
                    <a:lumOff val="35000"/>
                  </a:schemeClr>
                </a:solidFill>
                <a:latin typeface="+mn-lt"/>
                <a:ea typeface="+mj-ea"/>
                <a:cs typeface="+mj-cs"/>
              </a:defRPr>
            </a:pPr>
            <a:r>
              <a:rPr lang="en-US" sz="1800" b="1">
                <a:latin typeface="+mn-lt"/>
              </a:rPr>
              <a:t>MVP Distribution</a:t>
            </a:r>
          </a:p>
        </c:rich>
      </c:tx>
      <c:overlay val="0"/>
      <c:spPr>
        <a:noFill/>
        <a:ln>
          <a:noFill/>
        </a:ln>
        <a:effectLst/>
      </c:spPr>
      <c:txPr>
        <a:bodyPr rot="0" spcFirstLastPara="1" vertOverflow="ellipsis" vert="horz" wrap="square" anchor="ctr" anchorCtr="1"/>
        <a:lstStyle/>
        <a:p>
          <a:pPr>
            <a:defRPr sz="1800" b="1" i="0" u="none" strike="noStrike" kern="1200" cap="none" spc="0" normalizeH="0" baseline="0">
              <a:solidFill>
                <a:schemeClr val="tx1">
                  <a:lumMod val="65000"/>
                  <a:lumOff val="35000"/>
                </a:schemeClr>
              </a:solidFill>
              <a:latin typeface="+mn-lt"/>
              <a:ea typeface="+mj-ea"/>
              <a:cs typeface="+mj-cs"/>
            </a:defRPr>
          </a:pPr>
          <a:endParaRPr lang="en-US"/>
        </a:p>
      </c:txPr>
    </c:title>
    <c:autoTitleDeleted val="0"/>
    <c:plotArea>
      <c:layout/>
      <c:barChart>
        <c:barDir val="col"/>
        <c:grouping val="stacked"/>
        <c:varyColors val="0"/>
        <c:ser>
          <c:idx val="0"/>
          <c:order val="0"/>
          <c:tx>
            <c:strRef>
              <c:f>UCDEffortSpread!$E$4</c:f>
              <c:strCache>
                <c:ptCount val="1"/>
                <c:pt idx="0">
                  <c:v>Initiation</c:v>
                </c:pt>
              </c:strCache>
            </c:strRef>
          </c:tx>
          <c:spPr>
            <a:solidFill>
              <a:schemeClr val="accent1"/>
            </a:solidFill>
            <a:ln>
              <a:noFill/>
            </a:ln>
            <a:effectLst/>
          </c:spPr>
          <c:invertIfNegative val="0"/>
          <c:val>
            <c:numRef>
              <c:f>UCDEffortSpread!$E$5:$E$54</c:f>
              <c:numCache>
                <c:formatCode>0.0;[Red]0.0</c:formatCode>
                <c:ptCount val="50"/>
                <c:pt idx="0">
                  <c:v>80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0-029C-4CD2-982C-0FE8D3FC79A8}"/>
            </c:ext>
          </c:extLst>
        </c:ser>
        <c:ser>
          <c:idx val="3"/>
          <c:order val="3"/>
          <c:tx>
            <c:strRef>
              <c:f>UCDEffortSpread!$H$4</c:f>
              <c:strCache>
                <c:ptCount val="1"/>
                <c:pt idx="0">
                  <c:v>Documentation</c:v>
                </c:pt>
              </c:strCache>
            </c:strRef>
          </c:tx>
          <c:spPr>
            <a:solidFill>
              <a:schemeClr val="accent4"/>
            </a:solidFill>
            <a:ln>
              <a:noFill/>
            </a:ln>
            <a:effectLst/>
          </c:spPr>
          <c:invertIfNegative val="0"/>
          <c:val>
            <c:numRef>
              <c:f>UCDEffortSpread!$H$5:$H$54</c:f>
              <c:numCache>
                <c:formatCode>0.0;[Red]0.0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1-029C-4CD2-982C-0FE8D3FC79A8}"/>
            </c:ext>
          </c:extLst>
        </c:ser>
        <c:ser>
          <c:idx val="6"/>
          <c:order val="6"/>
          <c:tx>
            <c:strRef>
              <c:f>UCDEffortSpread!$K$4</c:f>
              <c:strCache>
                <c:ptCount val="1"/>
                <c:pt idx="0">
                  <c:v>Design &amp; Review</c:v>
                </c:pt>
              </c:strCache>
            </c:strRef>
          </c:tx>
          <c:spPr>
            <a:solidFill>
              <a:schemeClr val="accent1">
                <a:lumMod val="60000"/>
              </a:schemeClr>
            </a:solidFill>
            <a:ln>
              <a:noFill/>
            </a:ln>
            <a:effectLst/>
          </c:spPr>
          <c:invertIfNegative val="0"/>
          <c:val>
            <c:numRef>
              <c:f>UCDEffortSpread!$K$5:$K$54</c:f>
              <c:numCache>
                <c:formatCode>0.0;[Red]0.0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2-029C-4CD2-982C-0FE8D3FC79A8}"/>
            </c:ext>
          </c:extLst>
        </c:ser>
        <c:ser>
          <c:idx val="9"/>
          <c:order val="9"/>
          <c:tx>
            <c:strRef>
              <c:f>UCDEffortSpread!$N$4</c:f>
              <c:strCache>
                <c:ptCount val="1"/>
                <c:pt idx="0">
                  <c:v>RWD Skinning</c:v>
                </c:pt>
              </c:strCache>
            </c:strRef>
          </c:tx>
          <c:spPr>
            <a:solidFill>
              <a:schemeClr val="accent4">
                <a:lumMod val="60000"/>
              </a:schemeClr>
            </a:solidFill>
            <a:ln>
              <a:noFill/>
            </a:ln>
            <a:effectLst/>
          </c:spPr>
          <c:invertIfNegative val="0"/>
          <c:val>
            <c:numRef>
              <c:f>UCDEffortSpread!$N$5:$N$54</c:f>
              <c:numCache>
                <c:formatCode>0.0;[Red]0.0</c:formatCode>
                <c:ptCount val="50"/>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3-029C-4CD2-982C-0FE8D3FC79A8}"/>
            </c:ext>
          </c:extLst>
        </c:ser>
        <c:ser>
          <c:idx val="12"/>
          <c:order val="12"/>
          <c:tx>
            <c:strRef>
              <c:f>UCDEffortSpread!$Q$4</c:f>
              <c:strCache>
                <c:ptCount val="1"/>
                <c:pt idx="0">
                  <c:v>JS MVC</c:v>
                </c:pt>
              </c:strCache>
            </c:strRef>
          </c:tx>
          <c:spPr>
            <a:solidFill>
              <a:schemeClr val="accent1">
                <a:lumMod val="80000"/>
                <a:lumOff val="20000"/>
              </a:schemeClr>
            </a:solidFill>
            <a:ln>
              <a:noFill/>
            </a:ln>
            <a:effectLst/>
          </c:spPr>
          <c:invertIfNegative val="0"/>
          <c:val>
            <c:numRef>
              <c:f>UCDEffortSpread!$Q$5:$Q$54</c:f>
              <c:numCache>
                <c:formatCode>0.0;[Red]0.0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4-029C-4CD2-982C-0FE8D3FC79A8}"/>
            </c:ext>
          </c:extLst>
        </c:ser>
        <c:ser>
          <c:idx val="15"/>
          <c:order val="15"/>
          <c:tx>
            <c:strRef>
              <c:f>UCDEffortSpread!$T$4</c:f>
              <c:strCache>
                <c:ptCount val="1"/>
                <c:pt idx="0">
                  <c:v>Hybrid</c:v>
                </c:pt>
              </c:strCache>
            </c:strRef>
          </c:tx>
          <c:spPr>
            <a:solidFill>
              <a:schemeClr val="accent4">
                <a:lumMod val="80000"/>
                <a:lumOff val="20000"/>
              </a:schemeClr>
            </a:solidFill>
            <a:ln>
              <a:noFill/>
            </a:ln>
            <a:effectLst/>
          </c:spPr>
          <c:invertIfNegative val="0"/>
          <c:val>
            <c:numRef>
              <c:f>UCDEffortSpread!$T$5:$T$54</c:f>
              <c:numCache>
                <c:formatCode>0.0;[Red]0.0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5-029C-4CD2-982C-0FE8D3FC79A8}"/>
            </c:ext>
          </c:extLst>
        </c:ser>
        <c:ser>
          <c:idx val="18"/>
          <c:order val="18"/>
          <c:tx>
            <c:strRef>
              <c:f>UCDEffortSpread!$W$4</c:f>
              <c:strCache>
                <c:ptCount val="1"/>
                <c:pt idx="0">
                  <c:v>UI Testing &amp; Comp.</c:v>
                </c:pt>
              </c:strCache>
            </c:strRef>
          </c:tx>
          <c:spPr>
            <a:solidFill>
              <a:schemeClr val="accent1">
                <a:lumMod val="80000"/>
              </a:schemeClr>
            </a:solidFill>
            <a:ln>
              <a:noFill/>
            </a:ln>
            <a:effectLst/>
          </c:spPr>
          <c:invertIfNegative val="0"/>
          <c:val>
            <c:numRef>
              <c:f>UCDEffortSpread!$W$5:$W$54</c:f>
              <c:numCache>
                <c:formatCode>0.0;[Red]0.0</c:formatCode>
                <c:ptCount val="50"/>
                <c:pt idx="0">
                  <c:v>1.6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6-029C-4CD2-982C-0FE8D3FC79A8}"/>
            </c:ext>
          </c:extLst>
        </c:ser>
        <c:ser>
          <c:idx val="21"/>
          <c:order val="21"/>
          <c:tx>
            <c:strRef>
              <c:f>UCDEffortSpread!$Z$4</c:f>
              <c:strCache>
                <c:ptCount val="1"/>
                <c:pt idx="0">
                  <c:v>Dev Support</c:v>
                </c:pt>
              </c:strCache>
            </c:strRef>
          </c:tx>
          <c:spPr>
            <a:solidFill>
              <a:schemeClr val="accent4">
                <a:lumMod val="80000"/>
              </a:schemeClr>
            </a:solidFill>
            <a:ln>
              <a:noFill/>
            </a:ln>
            <a:effectLst/>
          </c:spPr>
          <c:invertIfNegative val="0"/>
          <c:val>
            <c:numRef>
              <c:f>UCDEffortSpread!$Z$5:$Z$54</c:f>
              <c:numCache>
                <c:formatCode>0.0;[Red]0.0</c:formatCode>
                <c:ptCount val="50"/>
                <c:pt idx="0">
                  <c:v>1.44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7-029C-4CD2-982C-0FE8D3FC79A8}"/>
            </c:ext>
          </c:extLst>
        </c:ser>
        <c:ser>
          <c:idx val="24"/>
          <c:order val="24"/>
          <c:tx>
            <c:strRef>
              <c:f>UCDEffortSpread!$AC$4</c:f>
              <c:strCache>
                <c:ptCount val="1"/>
                <c:pt idx="0">
                  <c:v>Prog. Management</c:v>
                </c:pt>
              </c:strCache>
            </c:strRef>
          </c:tx>
          <c:spPr>
            <a:solidFill>
              <a:schemeClr val="accent1">
                <a:lumMod val="60000"/>
                <a:lumOff val="40000"/>
              </a:schemeClr>
            </a:solidFill>
            <a:ln>
              <a:noFill/>
            </a:ln>
            <a:effectLst/>
          </c:spPr>
          <c:invertIfNegative val="0"/>
          <c:val>
            <c:numRef>
              <c:f>UCDEffortSpread!$AC$5:$AC$54</c:f>
              <c:numCache>
                <c:formatCode>0.0;[Red]0.0</c:formatCode>
                <c:ptCount val="50"/>
                <c:pt idx="0">
                  <c:v>3.2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8-029C-4CD2-982C-0FE8D3FC79A8}"/>
            </c:ext>
          </c:extLst>
        </c:ser>
        <c:dLbls>
          <c:showLegendKey val="0"/>
          <c:showVal val="0"/>
          <c:showCatName val="0"/>
          <c:showSerName val="0"/>
          <c:showPercent val="0"/>
          <c:showBubbleSize val="0"/>
        </c:dLbls>
        <c:gapWidth val="150"/>
        <c:overlap val="100"/>
        <c:axId val="289773984"/>
        <c:axId val="289774544"/>
        <c:extLst>
          <c:ext xmlns:c15="http://schemas.microsoft.com/office/drawing/2012/chart" uri="{02D57815-91ED-43cb-92C2-25804820EDAC}">
            <c15:filteredBarSeries>
              <c15:ser>
                <c:idx val="1"/>
                <c:order val="1"/>
                <c:tx>
                  <c:strRef>
                    <c:extLst>
                      <c:ext uri="{02D57815-91ED-43cb-92C2-25804820EDAC}">
                        <c15:formulaRef>
                          <c15:sqref>UCDEffortSpread!$F$4</c15:sqref>
                        </c15:formulaRef>
                      </c:ext>
                    </c:extLst>
                    <c:strCache>
                      <c:ptCount val="1"/>
                    </c:strCache>
                  </c:strRef>
                </c:tx>
                <c:spPr>
                  <a:solidFill>
                    <a:schemeClr val="accent2"/>
                  </a:solidFill>
                  <a:ln>
                    <a:noFill/>
                  </a:ln>
                  <a:effectLst/>
                </c:spPr>
                <c:invertIfNegative val="0"/>
                <c:val>
                  <c:numRef>
                    <c:extLst>
                      <c:ext uri="{02D57815-91ED-43cb-92C2-25804820EDAC}">
                        <c15:formulaRef>
                          <c15:sqref>UCDEffortSpread!$F$5:$F$54</c15:sqref>
                        </c15:formulaRef>
                      </c:ext>
                    </c:extLst>
                    <c:numCache>
                      <c:formatCode>0.0;[Red]0.0</c:formatCode>
                      <c:ptCount val="50"/>
                    </c:numCache>
                  </c:numRef>
                </c:val>
                <c:extLst>
                  <c:ex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9-029C-4CD2-982C-0FE8D3FC79A8}"/>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UCDEffortSpread!$G$4</c15:sqref>
                        </c15:formulaRef>
                      </c:ext>
                    </c:extLst>
                    <c:strCache>
                      <c:ptCount val="1"/>
                    </c:strCache>
                  </c:strRef>
                </c:tx>
                <c:spPr>
                  <a:solidFill>
                    <a:schemeClr val="accent3"/>
                  </a:solidFill>
                  <a:ln>
                    <a:noFill/>
                  </a:ln>
                  <a:effectLst/>
                </c:spPr>
                <c:invertIfNegative val="0"/>
                <c:val>
                  <c:numRef>
                    <c:extLst xmlns:c15="http://schemas.microsoft.com/office/drawing/2012/chart">
                      <c:ext xmlns:c15="http://schemas.microsoft.com/office/drawing/2012/chart" uri="{02D57815-91ED-43cb-92C2-25804820EDAC}">
                        <c15:formulaRef>
                          <c15:sqref>UCDEffortSpread!$G$5:$G$54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A-029C-4CD2-982C-0FE8D3FC79A8}"/>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UCDEffortSpread!$I$4</c15:sqref>
                        </c15:formulaRef>
                      </c:ext>
                    </c:extLst>
                    <c:strCache>
                      <c:ptCount val="1"/>
                    </c:strCache>
                  </c:strRef>
                </c:tx>
                <c:spPr>
                  <a:solidFill>
                    <a:schemeClr val="accent5"/>
                  </a:solidFill>
                  <a:ln>
                    <a:noFill/>
                  </a:ln>
                  <a:effectLst/>
                </c:spPr>
                <c:invertIfNegative val="0"/>
                <c:val>
                  <c:numRef>
                    <c:extLst xmlns:c15="http://schemas.microsoft.com/office/drawing/2012/chart">
                      <c:ext xmlns:c15="http://schemas.microsoft.com/office/drawing/2012/chart" uri="{02D57815-91ED-43cb-92C2-25804820EDAC}">
                        <c15:formulaRef>
                          <c15:sqref>UCDEffortSpread!$I$5:$I$54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B-029C-4CD2-982C-0FE8D3FC79A8}"/>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UCDEffortSpread!$J$4</c15:sqref>
                        </c15:formulaRef>
                      </c:ext>
                    </c:extLst>
                    <c:strCache>
                      <c:ptCount val="1"/>
                    </c:strCache>
                  </c:strRef>
                </c:tx>
                <c:spPr>
                  <a:solidFill>
                    <a:schemeClr val="accent6"/>
                  </a:solidFill>
                  <a:ln>
                    <a:noFill/>
                  </a:ln>
                  <a:effectLst/>
                </c:spPr>
                <c:invertIfNegative val="0"/>
                <c:val>
                  <c:numRef>
                    <c:extLst xmlns:c15="http://schemas.microsoft.com/office/drawing/2012/chart">
                      <c:ext xmlns:c15="http://schemas.microsoft.com/office/drawing/2012/chart" uri="{02D57815-91ED-43cb-92C2-25804820EDAC}">
                        <c15:formulaRef>
                          <c15:sqref>UCDEffortSpread!$J$5:$J$54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C-029C-4CD2-982C-0FE8D3FC79A8}"/>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UCDEffortSpread!$L$4</c15:sqref>
                        </c15:formulaRef>
                      </c:ext>
                    </c:extLst>
                    <c:strCache>
                      <c:ptCount val="1"/>
                    </c:strCache>
                  </c:strRef>
                </c:tx>
                <c:spPr>
                  <a:solidFill>
                    <a:schemeClr val="accent2">
                      <a:lumMod val="6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UCDEffortSpread!$L$5:$L$54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D-029C-4CD2-982C-0FE8D3FC79A8}"/>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UCDEffortSpread!$M$4</c15:sqref>
                        </c15:formulaRef>
                      </c:ext>
                    </c:extLst>
                    <c:strCache>
                      <c:ptCount val="1"/>
                    </c:strCache>
                  </c:strRef>
                </c:tx>
                <c:spPr>
                  <a:solidFill>
                    <a:schemeClr val="accent3">
                      <a:lumMod val="6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UCDEffortSpread!$M$5:$M$54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E-029C-4CD2-982C-0FE8D3FC79A8}"/>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UCDEffortSpread!$O$4</c15:sqref>
                        </c15:formulaRef>
                      </c:ext>
                    </c:extLst>
                    <c:strCache>
                      <c:ptCount val="1"/>
                    </c:strCache>
                  </c:strRef>
                </c:tx>
                <c:spPr>
                  <a:solidFill>
                    <a:schemeClr val="accent5">
                      <a:lumMod val="6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UCDEffortSpread!$O$5:$O$54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0F-029C-4CD2-982C-0FE8D3FC79A8}"/>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UCDEffortSpread!$P$4</c15:sqref>
                        </c15:formulaRef>
                      </c:ext>
                    </c:extLst>
                    <c:strCache>
                      <c:ptCount val="1"/>
                    </c:strCache>
                  </c:strRef>
                </c:tx>
                <c:spPr>
                  <a:solidFill>
                    <a:schemeClr val="accent6">
                      <a:lumMod val="6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UCDEffortSpread!$P$5:$P$54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10-029C-4CD2-982C-0FE8D3FC79A8}"/>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UCDEffortSpread!$R$4</c15:sqref>
                        </c15:formulaRef>
                      </c:ext>
                    </c:extLst>
                    <c:strCache>
                      <c:ptCount val="1"/>
                    </c:strCache>
                  </c:strRef>
                </c:tx>
                <c:spPr>
                  <a:solidFill>
                    <a:schemeClr val="accent2">
                      <a:lumMod val="80000"/>
                      <a:lumOff val="2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UCDEffortSpread!$R$5:$R$54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11-029C-4CD2-982C-0FE8D3FC79A8}"/>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UCDEffortSpread!$S$4</c15:sqref>
                        </c15:formulaRef>
                      </c:ext>
                    </c:extLst>
                    <c:strCache>
                      <c:ptCount val="1"/>
                    </c:strCache>
                  </c:strRef>
                </c:tx>
                <c:spPr>
                  <a:solidFill>
                    <a:schemeClr val="accent3">
                      <a:lumMod val="80000"/>
                      <a:lumOff val="2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UCDEffortSpread!$S$5:$S$54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12-029C-4CD2-982C-0FE8D3FC79A8}"/>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UCDEffortSpread!$U$4</c15:sqref>
                        </c15:formulaRef>
                      </c:ext>
                    </c:extLst>
                    <c:strCache>
                      <c:ptCount val="1"/>
                    </c:strCache>
                  </c:strRef>
                </c:tx>
                <c:spPr>
                  <a:solidFill>
                    <a:schemeClr val="accent5">
                      <a:lumMod val="80000"/>
                      <a:lumOff val="2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UCDEffortSpread!$U$5:$U$54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13-029C-4CD2-982C-0FE8D3FC79A8}"/>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UCDEffortSpread!$V$4</c15:sqref>
                        </c15:formulaRef>
                      </c:ext>
                    </c:extLst>
                    <c:strCache>
                      <c:ptCount val="1"/>
                    </c:strCache>
                  </c:strRef>
                </c:tx>
                <c:spPr>
                  <a:solidFill>
                    <a:schemeClr val="accent6">
                      <a:lumMod val="80000"/>
                      <a:lumOff val="2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UCDEffortSpread!$V$5:$V$54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14-029C-4CD2-982C-0FE8D3FC79A8}"/>
                  </c:ext>
                </c:extLst>
              </c15:ser>
            </c15:filteredBarSeries>
            <c15:filteredBarSeries>
              <c15:ser>
                <c:idx val="19"/>
                <c:order val="19"/>
                <c:tx>
                  <c:strRef>
                    <c:extLst xmlns:c15="http://schemas.microsoft.com/office/drawing/2012/chart">
                      <c:ext xmlns:c15="http://schemas.microsoft.com/office/drawing/2012/chart" uri="{02D57815-91ED-43cb-92C2-25804820EDAC}">
                        <c15:formulaRef>
                          <c15:sqref>UCDEffortSpread!$X$4</c15:sqref>
                        </c15:formulaRef>
                      </c:ext>
                    </c:extLst>
                    <c:strCache>
                      <c:ptCount val="1"/>
                    </c:strCache>
                  </c:strRef>
                </c:tx>
                <c:spPr>
                  <a:solidFill>
                    <a:schemeClr val="accent2">
                      <a:lumMod val="8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UCDEffortSpread!$X$5:$X$54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15-029C-4CD2-982C-0FE8D3FC79A8}"/>
                  </c:ext>
                </c:extLst>
              </c15:ser>
            </c15:filteredBarSeries>
            <c15:filteredBarSeries>
              <c15:ser>
                <c:idx val="20"/>
                <c:order val="20"/>
                <c:tx>
                  <c:strRef>
                    <c:extLst xmlns:c15="http://schemas.microsoft.com/office/drawing/2012/chart">
                      <c:ext xmlns:c15="http://schemas.microsoft.com/office/drawing/2012/chart" uri="{02D57815-91ED-43cb-92C2-25804820EDAC}">
                        <c15:formulaRef>
                          <c15:sqref>UCDEffortSpread!$Y$4</c15:sqref>
                        </c15:formulaRef>
                      </c:ext>
                    </c:extLst>
                    <c:strCache>
                      <c:ptCount val="1"/>
                    </c:strCache>
                  </c:strRef>
                </c:tx>
                <c:spPr>
                  <a:solidFill>
                    <a:schemeClr val="accent3">
                      <a:lumMod val="8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UCDEffortSpread!$Y$5:$Y$54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16-029C-4CD2-982C-0FE8D3FC79A8}"/>
                  </c:ext>
                </c:extLst>
              </c15:ser>
            </c15:filteredBarSeries>
            <c15:filteredBarSeries>
              <c15:ser>
                <c:idx val="22"/>
                <c:order val="22"/>
                <c:tx>
                  <c:strRef>
                    <c:extLst xmlns:c15="http://schemas.microsoft.com/office/drawing/2012/chart">
                      <c:ext xmlns:c15="http://schemas.microsoft.com/office/drawing/2012/chart" uri="{02D57815-91ED-43cb-92C2-25804820EDAC}">
                        <c15:formulaRef>
                          <c15:sqref>UCDEffortSpread!$AA$4</c15:sqref>
                        </c15:formulaRef>
                      </c:ext>
                    </c:extLst>
                    <c:strCache>
                      <c:ptCount val="1"/>
                    </c:strCache>
                  </c:strRef>
                </c:tx>
                <c:spPr>
                  <a:solidFill>
                    <a:schemeClr val="accent5">
                      <a:lumMod val="8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UCDEffortSpread!$AA$5:$AA$54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17-029C-4CD2-982C-0FE8D3FC79A8}"/>
                  </c:ext>
                </c:extLst>
              </c15:ser>
            </c15:filteredBarSeries>
            <c15:filteredBarSeries>
              <c15:ser>
                <c:idx val="23"/>
                <c:order val="23"/>
                <c:tx>
                  <c:strRef>
                    <c:extLst xmlns:c15="http://schemas.microsoft.com/office/drawing/2012/chart">
                      <c:ext xmlns:c15="http://schemas.microsoft.com/office/drawing/2012/chart" uri="{02D57815-91ED-43cb-92C2-25804820EDAC}">
                        <c15:formulaRef>
                          <c15:sqref>UCDEffortSpread!$AB$4</c15:sqref>
                        </c15:formulaRef>
                      </c:ext>
                    </c:extLst>
                    <c:strCache>
                      <c:ptCount val="1"/>
                    </c:strCache>
                  </c:strRef>
                </c:tx>
                <c:spPr>
                  <a:solidFill>
                    <a:schemeClr val="accent6">
                      <a:lumMod val="8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UCDEffortSpread!$AB$5:$AB$54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18-029C-4CD2-982C-0FE8D3FC79A8}"/>
                  </c:ext>
                </c:extLst>
              </c15:ser>
            </c15:filteredBarSeries>
            <c15:filteredBarSeries>
              <c15:ser>
                <c:idx val="25"/>
                <c:order val="25"/>
                <c:tx>
                  <c:strRef>
                    <c:extLst xmlns:c15="http://schemas.microsoft.com/office/drawing/2012/chart">
                      <c:ext xmlns:c15="http://schemas.microsoft.com/office/drawing/2012/chart" uri="{02D57815-91ED-43cb-92C2-25804820EDAC}">
                        <c15:formulaRef>
                          <c15:sqref>UCDEffortSpread!$AD$4</c15:sqref>
                        </c15:formulaRef>
                      </c:ext>
                    </c:extLst>
                    <c:strCache>
                      <c:ptCount val="1"/>
                    </c:strCache>
                  </c:strRef>
                </c:tx>
                <c:spPr>
                  <a:solidFill>
                    <a:schemeClr val="accent2">
                      <a:lumMod val="60000"/>
                      <a:lumOff val="4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UCDEffortSpread!$AD$5:$AD$54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19-029C-4CD2-982C-0FE8D3FC79A8}"/>
                  </c:ext>
                </c:extLst>
              </c15:ser>
            </c15:filteredBarSeries>
            <c15:filteredBarSeries>
              <c15:ser>
                <c:idx val="26"/>
                <c:order val="26"/>
                <c:tx>
                  <c:strRef>
                    <c:extLst xmlns:c15="http://schemas.microsoft.com/office/drawing/2012/chart">
                      <c:ext xmlns:c15="http://schemas.microsoft.com/office/drawing/2012/chart" uri="{02D57815-91ED-43cb-92C2-25804820EDAC}">
                        <c15:formulaRef>
                          <c15:sqref>UCDEffortSpread!$AE$4</c15:sqref>
                        </c15:formulaRef>
                      </c:ext>
                    </c:extLst>
                    <c:strCache>
                      <c:ptCount val="1"/>
                    </c:strCache>
                  </c:strRef>
                </c:tx>
                <c:spPr>
                  <a:solidFill>
                    <a:schemeClr val="accent3">
                      <a:lumMod val="60000"/>
                      <a:lumOff val="40000"/>
                    </a:schemeClr>
                  </a:solidFill>
                  <a:ln>
                    <a:noFill/>
                  </a:ln>
                  <a:effectLst/>
                </c:spPr>
                <c:invertIfNegative val="0"/>
                <c:val>
                  <c:numRef>
                    <c:extLst xmlns:c15="http://schemas.microsoft.com/office/drawing/2012/chart">
                      <c:ext xmlns:c15="http://schemas.microsoft.com/office/drawing/2012/chart" uri="{02D57815-91ED-43cb-92C2-25804820EDAC}">
                        <c15:formulaRef>
                          <c15:sqref>UCDEffortSpread!$AE$5:$AE$54</c15:sqref>
                        </c15:formulaRef>
                      </c:ext>
                    </c:extLst>
                    <c:numCache>
                      <c:formatCode>0.0;[Red]0.0</c:formatCode>
                      <c:ptCount val="50"/>
                    </c:numCache>
                  </c:numRef>
                </c:val>
                <c:extLst xmlns:c15="http://schemas.microsoft.com/office/drawing/2012/chart">
                  <c:ext xmlns:c15="http://schemas.microsoft.com/office/drawing/2012/chart" uri="{02D57815-91ED-43cb-92C2-25804820EDAC}">
                    <c15:filteredCategoryTitle>
                      <c15:cat>
                        <c:multiLvlStrRef>
                          <c:extLst>
                            <c:ext uri="{02D57815-91ED-43cb-92C2-25804820EDAC}">
                              <c15:formulaRef>
                                <c15:sqref>Definition!#REF!</c15:sqref>
                              </c15:formulaRef>
                            </c:ext>
                          </c:extLst>
                        </c:multiLvlStrRef>
                      </c15:cat>
                    </c15:filteredCategoryTitle>
                  </c:ext>
                  <c:ext xmlns:c16="http://schemas.microsoft.com/office/drawing/2014/chart" uri="{C3380CC4-5D6E-409C-BE32-E72D297353CC}">
                    <c16:uniqueId val="{0000001A-029C-4CD2-982C-0FE8D3FC79A8}"/>
                  </c:ext>
                </c:extLst>
              </c15:ser>
            </c15:filteredBarSeries>
          </c:ext>
        </c:extLst>
      </c:barChart>
      <c:catAx>
        <c:axId val="28977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289774544"/>
        <c:crosses val="autoZero"/>
        <c:auto val="1"/>
        <c:lblAlgn val="ctr"/>
        <c:lblOffset val="100"/>
        <c:noMultiLvlLbl val="0"/>
      </c:catAx>
      <c:valAx>
        <c:axId val="28977454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Red]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977398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Effort Distribution</a:t>
            </a:r>
          </a:p>
        </c:rich>
      </c:tx>
      <c:layout>
        <c:manualLayout>
          <c:xMode val="edge"/>
          <c:yMode val="edge"/>
          <c:x val="0.6803519160104986"/>
          <c:y val="3.709427527911576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20949727437916418"/>
          <c:y val="0.22752453641891932"/>
          <c:w val="0.35612390513378955"/>
          <c:h val="0.6726172201816224"/>
        </c:manualLayout>
      </c:layout>
      <c:pieChart>
        <c:varyColors val="1"/>
        <c:ser>
          <c:idx val="0"/>
          <c:order val="0"/>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256F-4870-9837-D7846CCBFD1C}"/>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256F-4870-9837-D7846CCBFD1C}"/>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256F-4870-9837-D7846CCBFD1C}"/>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256F-4870-9837-D7846CCBFD1C}"/>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256F-4870-9837-D7846CCBFD1C}"/>
              </c:ext>
            </c:extLst>
          </c:dPt>
          <c:dLbls>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UCDEffortSpread!$Q$77:$Q$81</c:f>
              <c:strCache>
                <c:ptCount val="5"/>
                <c:pt idx="0">
                  <c:v>Requirements Gathering &amp; Setup</c:v>
                </c:pt>
                <c:pt idx="1">
                  <c:v>Design</c:v>
                </c:pt>
                <c:pt idx="2">
                  <c:v>Development</c:v>
                </c:pt>
                <c:pt idx="3">
                  <c:v>Testing and Integration</c:v>
                </c:pt>
                <c:pt idx="4">
                  <c:v>Program</c:v>
                </c:pt>
              </c:strCache>
            </c:strRef>
          </c:cat>
          <c:val>
            <c:numRef>
              <c:f>UCDEffortSpread!$V$77:$V$81</c:f>
              <c:numCache>
                <c:formatCode>0.00</c:formatCode>
                <c:ptCount val="5"/>
                <c:pt idx="0">
                  <c:v>80</c:v>
                </c:pt>
                <c:pt idx="1">
                  <c:v>0</c:v>
                </c:pt>
                <c:pt idx="2">
                  <c:v>8</c:v>
                </c:pt>
                <c:pt idx="3">
                  <c:v>3.04</c:v>
                </c:pt>
                <c:pt idx="4">
                  <c:v>3.2</c:v>
                </c:pt>
              </c:numCache>
            </c:numRef>
          </c:val>
          <c:extLst>
            <c:ext xmlns:c16="http://schemas.microsoft.com/office/drawing/2014/chart" uri="{C3380CC4-5D6E-409C-BE32-E72D297353CC}">
              <c16:uniqueId val="{0000000A-256F-4870-9837-D7846CCBFD1C}"/>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9525</xdr:colOff>
      <xdr:row>0</xdr:row>
      <xdr:rowOff>28575</xdr:rowOff>
    </xdr:from>
    <xdr:to>
      <xdr:col>15</xdr:col>
      <xdr:colOff>9525</xdr:colOff>
      <xdr:row>0</xdr:row>
      <xdr:rowOff>581025</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8439150" y="28575"/>
          <a:ext cx="2619375" cy="552450"/>
        </a:xfrm>
        <a:prstGeom prst="rect">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Export Effort</a:t>
          </a:r>
        </a:p>
      </xdr:txBody>
    </xdr:sp>
    <xdr:clientData/>
  </xdr:twoCellAnchor>
  <mc:AlternateContent xmlns:mc="http://schemas.openxmlformats.org/markup-compatibility/2006">
    <mc:Choice xmlns:a14="http://schemas.microsoft.com/office/drawing/2010/main" Requires="a14">
      <xdr:twoCellAnchor>
        <xdr:from>
          <xdr:col>13</xdr:col>
          <xdr:colOff>0</xdr:colOff>
          <xdr:row>0</xdr:row>
          <xdr:rowOff>160020</xdr:rowOff>
        </xdr:from>
        <xdr:to>
          <xdr:col>14</xdr:col>
          <xdr:colOff>30480</xdr:colOff>
          <xdr:row>0</xdr:row>
          <xdr:rowOff>495300</xdr:rowOff>
        </xdr:to>
        <xdr:sp macro="" textlink="">
          <xdr:nvSpPr>
            <xdr:cNvPr id="7271" name="Button 103" hidden="1">
              <a:extLst>
                <a:ext uri="{63B3BB69-23CF-44E3-9099-C40C66FF867C}">
                  <a14:compatExt spid="_x0000_s7271"/>
                </a:ext>
                <a:ext uri="{FF2B5EF4-FFF2-40B4-BE49-F238E27FC236}">
                  <a16:creationId xmlns:a16="http://schemas.microsoft.com/office/drawing/2014/main" id="{00000000-0008-0000-0600-00006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800000"/>
                  </a:solidFill>
                  <a:latin typeface="Calibri"/>
                  <a:cs typeface="Calibri"/>
                </a:rPr>
                <a:t>Share Estimate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390524</xdr:colOff>
      <xdr:row>58</xdr:row>
      <xdr:rowOff>23812</xdr:rowOff>
    </xdr:from>
    <xdr:to>
      <xdr:col>34</xdr:col>
      <xdr:colOff>9525</xdr:colOff>
      <xdr:row>75</xdr:row>
      <xdr:rowOff>4762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390524</xdr:colOff>
      <xdr:row>76</xdr:row>
      <xdr:rowOff>14287</xdr:rowOff>
    </xdr:from>
    <xdr:to>
      <xdr:col>15</xdr:col>
      <xdr:colOff>200024</xdr:colOff>
      <xdr:row>95</xdr:row>
      <xdr:rowOff>19050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0"/>
  <sheetViews>
    <sheetView workbookViewId="0">
      <selection activeCell="H12" sqref="H12"/>
    </sheetView>
  </sheetViews>
  <sheetFormatPr defaultColWidth="8.88671875" defaultRowHeight="13.2"/>
  <cols>
    <col min="1" max="1" width="8.88671875" style="1" customWidth="1"/>
    <col min="2" max="4" width="8.88671875" style="1"/>
    <col min="5" max="5" width="5" style="1" customWidth="1"/>
    <col min="6" max="6" width="17" style="1" customWidth="1"/>
    <col min="7" max="7" width="21.44140625" style="1" customWidth="1"/>
    <col min="8" max="8" width="26.33203125" style="1" customWidth="1"/>
    <col min="9" max="9" width="19.44140625" style="1" customWidth="1"/>
    <col min="10" max="10" width="12.109375" style="1" customWidth="1"/>
    <col min="11" max="11" width="6.44140625" style="1" customWidth="1"/>
    <col min="12" max="16384" width="8.88671875" style="1"/>
  </cols>
  <sheetData>
    <row r="1" spans="1:11" s="34" customFormat="1" ht="40.5" customHeight="1">
      <c r="A1" s="33"/>
      <c r="E1" s="310"/>
      <c r="F1" s="311"/>
      <c r="G1" s="311"/>
      <c r="H1" s="311"/>
      <c r="I1" s="311"/>
      <c r="J1" s="311"/>
      <c r="K1" s="312"/>
    </row>
    <row r="2" spans="1:11" ht="23.4">
      <c r="E2" s="32"/>
      <c r="F2" s="26"/>
      <c r="G2" s="21"/>
      <c r="H2" s="21"/>
      <c r="I2" s="21"/>
      <c r="J2" s="21"/>
      <c r="K2" s="22"/>
    </row>
    <row r="3" spans="1:11" ht="24" customHeight="1">
      <c r="E3" s="12"/>
      <c r="F3" s="26"/>
      <c r="G3" s="25"/>
      <c r="H3" s="25"/>
      <c r="I3" s="31" t="s">
        <v>40</v>
      </c>
      <c r="J3" s="25"/>
      <c r="K3" s="13"/>
    </row>
    <row r="4" spans="1:11" ht="20.25" customHeight="1">
      <c r="E4" s="12"/>
      <c r="F4" s="26"/>
      <c r="G4" s="25"/>
      <c r="H4" s="25"/>
      <c r="I4" s="65" t="s">
        <v>113</v>
      </c>
      <c r="J4" s="25"/>
      <c r="K4" s="14"/>
    </row>
    <row r="5" spans="1:11" ht="23.4">
      <c r="E5" s="12"/>
      <c r="F5" s="26"/>
      <c r="G5" s="26"/>
      <c r="H5" s="26"/>
      <c r="I5" s="26"/>
      <c r="J5" s="26"/>
      <c r="K5" s="27"/>
    </row>
    <row r="6" spans="1:11" ht="14.4">
      <c r="E6" s="23"/>
      <c r="F6" s="11"/>
      <c r="G6" s="11"/>
      <c r="H6" s="11"/>
      <c r="I6" s="11"/>
      <c r="J6" s="11"/>
      <c r="K6" s="24"/>
    </row>
    <row r="7" spans="1:11" ht="14.4">
      <c r="E7" s="23"/>
      <c r="F7" s="11"/>
      <c r="G7" s="303" t="s">
        <v>13</v>
      </c>
      <c r="H7" s="313" t="s">
        <v>569</v>
      </c>
      <c r="I7" s="314"/>
      <c r="J7" s="11"/>
      <c r="K7" s="24"/>
    </row>
    <row r="8" spans="1:11" ht="14.4">
      <c r="E8" s="23"/>
      <c r="F8" s="11"/>
      <c r="G8" s="303" t="s">
        <v>39</v>
      </c>
      <c r="H8" s="313" t="s">
        <v>570</v>
      </c>
      <c r="I8" s="314"/>
      <c r="J8" s="11"/>
      <c r="K8" s="24"/>
    </row>
    <row r="9" spans="1:11" ht="14.4">
      <c r="E9" s="23"/>
      <c r="F9" s="11"/>
      <c r="G9" s="303" t="s">
        <v>571</v>
      </c>
      <c r="H9" s="313" t="s">
        <v>572</v>
      </c>
      <c r="I9" s="314"/>
      <c r="J9" s="11"/>
      <c r="K9" s="24"/>
    </row>
    <row r="10" spans="1:11" ht="13.8">
      <c r="E10" s="15"/>
      <c r="F10" s="16"/>
      <c r="G10" s="303" t="s">
        <v>573</v>
      </c>
      <c r="H10" s="315">
        <v>2.2000000000000002</v>
      </c>
      <c r="I10" s="316"/>
      <c r="J10" s="17"/>
      <c r="K10" s="18"/>
    </row>
    <row r="11" spans="1:11" ht="14.25" customHeight="1">
      <c r="E11" s="15"/>
      <c r="F11" s="16"/>
      <c r="G11" s="304" t="s">
        <v>12</v>
      </c>
      <c r="H11" s="317">
        <v>43139</v>
      </c>
      <c r="I11" s="318"/>
      <c r="J11" s="17"/>
      <c r="K11" s="18"/>
    </row>
    <row r="12" spans="1:11" ht="14.25" customHeight="1">
      <c r="E12" s="15"/>
      <c r="F12" s="16"/>
      <c r="G12" s="17"/>
      <c r="H12" s="17"/>
      <c r="I12" s="17"/>
      <c r="J12" s="17"/>
      <c r="K12" s="18"/>
    </row>
    <row r="13" spans="1:11" ht="14.25" customHeight="1">
      <c r="E13" s="15"/>
      <c r="F13" s="16"/>
      <c r="G13" s="17"/>
      <c r="H13" s="17"/>
      <c r="I13" s="17"/>
      <c r="J13" s="17"/>
      <c r="K13" s="18"/>
    </row>
    <row r="14" spans="1:11" ht="14.25" customHeight="1">
      <c r="E14" s="15"/>
      <c r="F14" s="16"/>
      <c r="G14" s="17"/>
      <c r="H14" s="17"/>
      <c r="I14" s="17"/>
      <c r="J14" s="17"/>
      <c r="K14" s="18"/>
    </row>
    <row r="15" spans="1:11" ht="14.25" customHeight="1">
      <c r="E15" s="15"/>
      <c r="F15" s="16"/>
      <c r="G15" s="17"/>
      <c r="H15" s="17"/>
      <c r="I15" s="17"/>
      <c r="J15" s="17"/>
      <c r="K15" s="18"/>
    </row>
    <row r="16" spans="1:11" ht="14.25" customHeight="1">
      <c r="E16" s="15"/>
      <c r="F16" s="16"/>
      <c r="G16" s="10"/>
      <c r="H16" s="10"/>
      <c r="I16" s="10"/>
      <c r="J16" s="10"/>
      <c r="K16" s="19"/>
    </row>
    <row r="17" spans="5:11" ht="14.25" customHeight="1">
      <c r="E17" s="15"/>
      <c r="F17" s="20"/>
      <c r="G17" s="21"/>
      <c r="H17" s="21"/>
      <c r="I17" s="21"/>
      <c r="J17" s="21"/>
      <c r="K17" s="22"/>
    </row>
    <row r="18" spans="5:11" ht="13.8">
      <c r="E18" s="28"/>
      <c r="F18" s="29"/>
      <c r="G18" s="309"/>
      <c r="H18" s="309"/>
      <c r="I18" s="309"/>
      <c r="J18" s="309"/>
      <c r="K18" s="30"/>
    </row>
    <row r="20" spans="5:11" ht="12.75" customHeight="1"/>
  </sheetData>
  <mergeCells count="8">
    <mergeCell ref="G18:H18"/>
    <mergeCell ref="I18:J18"/>
    <mergeCell ref="E1:K1"/>
    <mergeCell ref="H9:I9"/>
    <mergeCell ref="H8:I8"/>
    <mergeCell ref="H7:I7"/>
    <mergeCell ref="H10:I10"/>
    <mergeCell ref="H11:I11"/>
  </mergeCells>
  <pageMargins left="0.75" right="0.75" top="1" bottom="1" header="0.5" footer="0.5"/>
  <pageSetup orientation="portrait" horizontalDpi="4294967292" verticalDpi="429496729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4" tint="0.39997558519241921"/>
  </sheetPr>
  <dimension ref="B1:S88"/>
  <sheetViews>
    <sheetView tabSelected="1" workbookViewId="0">
      <selection activeCell="C9" sqref="C9"/>
    </sheetView>
  </sheetViews>
  <sheetFormatPr defaultColWidth="8.88671875" defaultRowHeight="13.8"/>
  <cols>
    <col min="1" max="1" width="4.44140625" style="2" customWidth="1"/>
    <col min="2" max="2" width="21.6640625" style="2" bestFit="1" customWidth="1"/>
    <col min="3" max="3" width="48.6640625" style="5" customWidth="1"/>
    <col min="4" max="4" width="12.109375" style="5" bestFit="1" customWidth="1"/>
    <col min="5" max="5" width="12.109375" style="5" customWidth="1"/>
    <col min="6" max="6" width="8.33203125" style="5" customWidth="1"/>
    <col min="7" max="7" width="19.33203125" style="3" bestFit="1" customWidth="1"/>
    <col min="8" max="8" width="8.44140625" style="3" bestFit="1" customWidth="1"/>
    <col min="9" max="9" width="8.44140625" style="2" customWidth="1"/>
    <col min="10" max="10" width="10.33203125" style="2" customWidth="1"/>
    <col min="11" max="12" width="7.88671875" style="2" customWidth="1"/>
    <col min="13" max="13" width="10" style="2" bestFit="1" customWidth="1"/>
    <col min="14" max="14" width="10.109375" style="2" bestFit="1" customWidth="1"/>
    <col min="15" max="17" width="8.88671875" style="2"/>
    <col min="18" max="18" width="7.33203125" style="2" bestFit="1" customWidth="1"/>
    <col min="19" max="19" width="15.33203125" style="2" customWidth="1"/>
    <col min="20" max="16384" width="8.88671875" style="2"/>
  </cols>
  <sheetData>
    <row r="1" spans="2:19" s="35" customFormat="1" ht="47.25" customHeight="1">
      <c r="B1" s="320" t="s">
        <v>121</v>
      </c>
      <c r="C1" s="320"/>
      <c r="D1" s="320"/>
      <c r="E1" s="320"/>
      <c r="F1" s="61"/>
      <c r="G1" s="119" t="s">
        <v>158</v>
      </c>
      <c r="H1" s="336">
        <f>SUM(Definition!X5,Definition!X6)</f>
        <v>8</v>
      </c>
      <c r="I1" s="337"/>
    </row>
    <row r="2" spans="2:19">
      <c r="C2" s="2"/>
      <c r="G2" s="5"/>
      <c r="H2" s="5"/>
      <c r="I2" s="3"/>
      <c r="O2" s="169"/>
      <c r="P2" s="169"/>
      <c r="Q2" s="169"/>
      <c r="R2" s="169"/>
      <c r="S2" s="169"/>
    </row>
    <row r="3" spans="2:19">
      <c r="B3" s="338" t="s">
        <v>413</v>
      </c>
      <c r="C3" s="339"/>
      <c r="D3" s="339"/>
      <c r="E3" s="340"/>
      <c r="G3" s="326" t="s">
        <v>125</v>
      </c>
      <c r="H3" s="328">
        <v>13</v>
      </c>
      <c r="O3" s="169"/>
      <c r="P3" s="169"/>
      <c r="Q3" s="169"/>
      <c r="R3" s="169"/>
      <c r="S3" s="169"/>
    </row>
    <row r="4" spans="2:19">
      <c r="B4" s="122" t="s">
        <v>60</v>
      </c>
      <c r="C4" s="81" t="s">
        <v>61</v>
      </c>
      <c r="D4" s="122" t="s">
        <v>6</v>
      </c>
      <c r="E4" s="180" t="s">
        <v>264</v>
      </c>
      <c r="G4" s="327"/>
      <c r="H4" s="329"/>
      <c r="I4" s="181" t="s">
        <v>38</v>
      </c>
      <c r="J4" s="182"/>
      <c r="K4" s="116">
        <f>IF(effort_UI_PageCount&lt;=Definition!K22,Definition!O22,IF(effort_UI_PageCount&lt;=Definition!K23,Definition!O23,IF(effort_UI_PageCount&gt;Definition!K24,Definition!O24,0)))</f>
        <v>0.05</v>
      </c>
      <c r="O4" s="169"/>
      <c r="P4" s="169"/>
      <c r="Q4" s="169"/>
      <c r="R4" s="169"/>
      <c r="S4" s="169"/>
    </row>
    <row r="5" spans="2:19">
      <c r="B5" s="38" t="s">
        <v>5</v>
      </c>
      <c r="C5" s="38" t="s">
        <v>580</v>
      </c>
      <c r="D5" s="36" t="s">
        <v>0</v>
      </c>
      <c r="E5" s="36" t="s">
        <v>437</v>
      </c>
      <c r="G5" s="323" t="s">
        <v>26</v>
      </c>
      <c r="H5" s="324"/>
      <c r="I5" s="324"/>
      <c r="J5" s="324"/>
      <c r="K5" s="324"/>
      <c r="L5" s="324"/>
      <c r="M5" s="325"/>
      <c r="O5" s="169"/>
      <c r="P5" s="169"/>
      <c r="Q5" s="169"/>
      <c r="R5" s="169"/>
      <c r="S5" s="169"/>
    </row>
    <row r="6" spans="2:19">
      <c r="B6" s="38"/>
      <c r="C6" s="38"/>
      <c r="D6" s="36"/>
      <c r="E6" s="36"/>
      <c r="G6" s="124" t="s">
        <v>1</v>
      </c>
      <c r="H6" s="131" t="s">
        <v>257</v>
      </c>
      <c r="I6" s="131" t="s">
        <v>22</v>
      </c>
      <c r="J6" s="131" t="s">
        <v>0</v>
      </c>
      <c r="K6" s="131" t="s">
        <v>21</v>
      </c>
      <c r="L6" s="131" t="s">
        <v>258</v>
      </c>
      <c r="M6" s="131" t="s">
        <v>2</v>
      </c>
      <c r="O6" s="169"/>
      <c r="P6" s="169"/>
      <c r="Q6" s="169"/>
      <c r="R6" s="169"/>
      <c r="S6" s="169"/>
    </row>
    <row r="7" spans="2:19">
      <c r="B7" s="38"/>
      <c r="C7" s="38"/>
      <c r="D7" s="36"/>
      <c r="E7" s="36"/>
      <c r="G7" s="42" t="str">
        <f>Definition!C4</f>
        <v>Templates</v>
      </c>
      <c r="H7" s="37">
        <f>Definition!K4</f>
        <v>0</v>
      </c>
      <c r="I7" s="37">
        <f>Definition!L4</f>
        <v>0</v>
      </c>
      <c r="J7" s="37">
        <f>Definition!M4</f>
        <v>0</v>
      </c>
      <c r="K7" s="37">
        <f>Definition!N4</f>
        <v>0</v>
      </c>
      <c r="L7" s="37">
        <f>Definition!O4</f>
        <v>0</v>
      </c>
      <c r="M7" s="37">
        <f>SUM(H7:L7)</f>
        <v>0</v>
      </c>
      <c r="O7" s="169"/>
      <c r="P7" s="169"/>
      <c r="Q7" s="169"/>
      <c r="R7" s="169"/>
      <c r="S7" s="169"/>
    </row>
    <row r="8" spans="2:19">
      <c r="B8" s="38"/>
      <c r="C8" s="38"/>
      <c r="D8" s="36"/>
      <c r="E8" s="36"/>
      <c r="G8" s="42" t="str">
        <f>Definition!C5</f>
        <v>Components</v>
      </c>
      <c r="H8" s="37">
        <f>Definition!K5</f>
        <v>0</v>
      </c>
      <c r="I8" s="37">
        <f>Definition!L5</f>
        <v>0</v>
      </c>
      <c r="J8" s="37">
        <f>Definition!M5</f>
        <v>1</v>
      </c>
      <c r="K8" s="37">
        <f>Definition!N5</f>
        <v>0</v>
      </c>
      <c r="L8" s="37">
        <f>Definition!O5</f>
        <v>0</v>
      </c>
      <c r="M8" s="37">
        <f>SUM(H8:L8)</f>
        <v>1</v>
      </c>
      <c r="O8" s="169"/>
      <c r="P8" s="169"/>
      <c r="Q8" s="169"/>
      <c r="R8" s="169"/>
      <c r="S8" s="169"/>
    </row>
    <row r="9" spans="2:19">
      <c r="B9" s="38"/>
      <c r="C9" s="38"/>
      <c r="D9" s="36"/>
      <c r="E9" s="36"/>
      <c r="G9" s="42" t="str">
        <f>Definition!C6</f>
        <v xml:space="preserve">JS Interaction Modules </v>
      </c>
      <c r="H9" s="37">
        <f>Definition!K6</f>
        <v>0</v>
      </c>
      <c r="I9" s="37">
        <f>Definition!L6</f>
        <v>0</v>
      </c>
      <c r="J9" s="37">
        <f>Definition!M6</f>
        <v>0</v>
      </c>
      <c r="K9" s="37">
        <f>Definition!N6</f>
        <v>0</v>
      </c>
      <c r="L9" s="37">
        <f>Definition!O6</f>
        <v>0</v>
      </c>
      <c r="M9" s="37">
        <f>SUM(H9:L9)</f>
        <v>0</v>
      </c>
      <c r="O9" s="169"/>
      <c r="P9" s="169"/>
      <c r="Q9" s="169"/>
      <c r="R9" s="169"/>
      <c r="S9" s="169"/>
    </row>
    <row r="10" spans="2:19" ht="12.75" customHeight="1">
      <c r="B10" s="38"/>
      <c r="C10" s="38"/>
      <c r="D10" s="36"/>
      <c r="E10" s="36"/>
      <c r="F10" s="3"/>
      <c r="G10" s="341" t="s">
        <v>114</v>
      </c>
      <c r="H10" s="330">
        <f>Definition!X5</f>
        <v>8</v>
      </c>
      <c r="I10" s="332" t="s">
        <v>126</v>
      </c>
      <c r="J10" s="333"/>
      <c r="K10" s="330">
        <f>Definition!X6</f>
        <v>0</v>
      </c>
      <c r="L10" s="326" t="s">
        <v>37</v>
      </c>
      <c r="M10" s="321">
        <f>effort_UI</f>
        <v>8</v>
      </c>
      <c r="O10" s="169"/>
      <c r="P10" s="169"/>
      <c r="Q10" s="169"/>
      <c r="R10" s="169"/>
      <c r="S10" s="169"/>
    </row>
    <row r="11" spans="2:19">
      <c r="B11" s="38"/>
      <c r="C11" s="38"/>
      <c r="D11" s="36"/>
      <c r="E11" s="36"/>
      <c r="F11" s="3"/>
      <c r="G11" s="342"/>
      <c r="H11" s="331"/>
      <c r="I11" s="334"/>
      <c r="J11" s="335"/>
      <c r="K11" s="331"/>
      <c r="L11" s="327"/>
      <c r="M11" s="322"/>
      <c r="O11" s="169"/>
      <c r="P11" s="169"/>
      <c r="Q11" s="169"/>
      <c r="R11" s="169"/>
      <c r="S11" s="169"/>
    </row>
    <row r="12" spans="2:19">
      <c r="B12" s="38"/>
      <c r="C12" s="38"/>
      <c r="D12" s="36"/>
      <c r="E12" s="36"/>
      <c r="F12" s="3"/>
      <c r="O12" s="169"/>
      <c r="P12" s="169"/>
      <c r="Q12" s="169"/>
      <c r="R12" s="169"/>
      <c r="S12" s="169"/>
    </row>
    <row r="13" spans="2:19">
      <c r="B13" s="38"/>
      <c r="C13" s="38"/>
      <c r="D13" s="36"/>
      <c r="E13" s="36"/>
      <c r="F13" s="3"/>
      <c r="G13" s="130" t="s">
        <v>48</v>
      </c>
      <c r="H13" s="130"/>
      <c r="I13" s="47" t="s">
        <v>33</v>
      </c>
      <c r="O13" s="169"/>
      <c r="P13" s="169"/>
      <c r="Q13" s="169"/>
      <c r="R13" s="169"/>
      <c r="S13" s="169"/>
    </row>
    <row r="14" spans="2:19">
      <c r="B14" s="38"/>
      <c r="C14" s="38"/>
      <c r="D14" s="36"/>
      <c r="E14" s="36"/>
      <c r="F14" s="3"/>
      <c r="G14" s="124" t="s">
        <v>1</v>
      </c>
      <c r="H14" s="131" t="s">
        <v>257</v>
      </c>
      <c r="I14" s="131" t="s">
        <v>22</v>
      </c>
      <c r="J14" s="131" t="s">
        <v>0</v>
      </c>
      <c r="K14" s="131" t="s">
        <v>21</v>
      </c>
      <c r="L14" s="131">
        <v>0</v>
      </c>
      <c r="M14" s="131" t="s">
        <v>124</v>
      </c>
      <c r="O14" s="3"/>
      <c r="P14" s="117"/>
      <c r="Q14" s="169"/>
    </row>
    <row r="15" spans="2:19">
      <c r="B15" s="38"/>
      <c r="C15" s="38"/>
      <c r="D15" s="36"/>
      <c r="E15" s="36"/>
      <c r="F15" s="3"/>
      <c r="G15" s="42" t="str">
        <f>Definition!C4</f>
        <v>Templates</v>
      </c>
      <c r="H15" s="68">
        <v>0</v>
      </c>
      <c r="I15" s="68">
        <v>0</v>
      </c>
      <c r="J15" s="68">
        <v>0</v>
      </c>
      <c r="K15" s="68">
        <v>0</v>
      </c>
      <c r="L15" s="68">
        <v>0</v>
      </c>
      <c r="M15" s="37">
        <f>SUM(H15:L15)</f>
        <v>0</v>
      </c>
      <c r="P15" s="117"/>
      <c r="Q15" s="169"/>
    </row>
    <row r="16" spans="2:19">
      <c r="B16" s="38"/>
      <c r="C16" s="38"/>
      <c r="D16" s="36"/>
      <c r="E16" s="36"/>
      <c r="F16" s="3"/>
      <c r="G16" s="42" t="str">
        <f>Definition!C5</f>
        <v>Components</v>
      </c>
      <c r="H16" s="68">
        <v>1</v>
      </c>
      <c r="I16" s="68">
        <v>1</v>
      </c>
      <c r="J16" s="68">
        <v>1</v>
      </c>
      <c r="K16" s="68">
        <v>1</v>
      </c>
      <c r="L16" s="68">
        <v>1</v>
      </c>
      <c r="M16" s="37">
        <f t="shared" ref="M16:M18" si="0">SUM(H16:L16)</f>
        <v>5</v>
      </c>
      <c r="P16" s="117"/>
      <c r="Q16" s="169"/>
      <c r="R16" s="117"/>
    </row>
    <row r="17" spans="2:14">
      <c r="B17" s="38"/>
      <c r="C17" s="38"/>
      <c r="D17" s="36"/>
      <c r="E17" s="36"/>
      <c r="F17" s="3"/>
      <c r="G17" s="42" t="str">
        <f>Definition!C6</f>
        <v xml:space="preserve">JS Interaction Modules </v>
      </c>
      <c r="H17" s="68">
        <v>0</v>
      </c>
      <c r="I17" s="68">
        <v>0</v>
      </c>
      <c r="J17" s="68">
        <v>0</v>
      </c>
      <c r="K17" s="68">
        <v>0</v>
      </c>
      <c r="L17" s="68">
        <v>0</v>
      </c>
      <c r="M17" s="37">
        <f t="shared" si="0"/>
        <v>0</v>
      </c>
    </row>
    <row r="18" spans="2:14">
      <c r="B18" s="38"/>
      <c r="C18" s="38"/>
      <c r="D18" s="36"/>
      <c r="E18" s="36"/>
      <c r="F18" s="3"/>
      <c r="G18" s="49" t="s">
        <v>77</v>
      </c>
      <c r="H18" s="68">
        <v>0</v>
      </c>
      <c r="I18" s="68">
        <v>0</v>
      </c>
      <c r="J18" s="68">
        <v>0</v>
      </c>
      <c r="K18" s="68">
        <v>0</v>
      </c>
      <c r="L18" s="68">
        <v>0</v>
      </c>
      <c r="M18" s="37">
        <f t="shared" si="0"/>
        <v>0</v>
      </c>
    </row>
    <row r="19" spans="2:14">
      <c r="B19" s="38"/>
      <c r="C19" s="38"/>
      <c r="D19" s="36"/>
      <c r="E19" s="36"/>
      <c r="F19" s="3"/>
    </row>
    <row r="20" spans="2:14">
      <c r="B20" s="38"/>
      <c r="C20" s="38"/>
      <c r="D20" s="36"/>
      <c r="E20" s="36"/>
      <c r="F20" s="3"/>
    </row>
    <row r="21" spans="2:14">
      <c r="B21" s="38"/>
      <c r="C21" s="38"/>
      <c r="D21" s="36"/>
      <c r="E21" s="36"/>
      <c r="F21" s="3"/>
    </row>
    <row r="22" spans="2:14">
      <c r="B22" s="38"/>
      <c r="C22" s="38"/>
      <c r="D22" s="36"/>
      <c r="E22" s="36"/>
      <c r="F22" s="3"/>
    </row>
    <row r="23" spans="2:14">
      <c r="B23" s="38"/>
      <c r="C23" s="38"/>
      <c r="D23" s="36"/>
      <c r="E23" s="36"/>
      <c r="F23" s="3"/>
      <c r="I23" s="319"/>
      <c r="J23" s="319"/>
      <c r="K23" s="319"/>
      <c r="L23" s="319"/>
      <c r="M23" s="319"/>
      <c r="N23" s="319"/>
    </row>
    <row r="24" spans="2:14">
      <c r="B24" s="38"/>
      <c r="C24" s="38"/>
      <c r="D24" s="36"/>
      <c r="E24" s="36"/>
      <c r="F24" s="3"/>
    </row>
    <row r="25" spans="2:14">
      <c r="B25" s="38"/>
      <c r="C25" s="38"/>
      <c r="D25" s="36"/>
      <c r="E25" s="36"/>
      <c r="F25" s="3"/>
    </row>
    <row r="26" spans="2:14">
      <c r="B26" s="38"/>
      <c r="C26" s="38"/>
      <c r="D26" s="36"/>
      <c r="E26" s="36"/>
      <c r="F26" s="3"/>
    </row>
    <row r="27" spans="2:14">
      <c r="B27" s="38"/>
      <c r="C27" s="38"/>
      <c r="D27" s="36"/>
      <c r="E27" s="36"/>
      <c r="F27" s="3"/>
    </row>
    <row r="28" spans="2:14">
      <c r="B28" s="38"/>
      <c r="C28" s="38"/>
      <c r="D28" s="36"/>
      <c r="E28" s="36"/>
      <c r="F28" s="2"/>
    </row>
    <row r="29" spans="2:14">
      <c r="B29" s="38"/>
      <c r="C29" s="38"/>
      <c r="D29" s="36"/>
      <c r="E29" s="36"/>
      <c r="F29" s="2"/>
    </row>
    <row r="30" spans="2:14">
      <c r="B30" s="38"/>
      <c r="C30" s="38"/>
      <c r="D30" s="36"/>
      <c r="E30" s="36"/>
    </row>
    <row r="31" spans="2:14">
      <c r="B31" s="38"/>
      <c r="C31" s="38"/>
      <c r="D31" s="36"/>
      <c r="E31" s="36"/>
    </row>
    <row r="32" spans="2:14">
      <c r="B32" s="38"/>
      <c r="C32" s="38"/>
      <c r="D32" s="36"/>
      <c r="E32" s="36"/>
    </row>
    <row r="33" spans="2:5">
      <c r="B33" s="38"/>
      <c r="C33" s="38"/>
      <c r="D33" s="36"/>
      <c r="E33" s="36"/>
    </row>
    <row r="34" spans="2:5">
      <c r="B34" s="38"/>
      <c r="C34" s="38"/>
      <c r="D34" s="36"/>
      <c r="E34" s="36"/>
    </row>
    <row r="35" spans="2:5">
      <c r="B35" s="38"/>
      <c r="C35" s="38"/>
      <c r="D35" s="36"/>
      <c r="E35" s="36"/>
    </row>
    <row r="36" spans="2:5">
      <c r="B36" s="38"/>
      <c r="C36" s="38"/>
      <c r="D36" s="36"/>
      <c r="E36" s="36"/>
    </row>
    <row r="37" spans="2:5">
      <c r="B37" s="38"/>
      <c r="C37" s="38"/>
      <c r="D37" s="36"/>
      <c r="E37" s="36"/>
    </row>
    <row r="38" spans="2:5">
      <c r="B38" s="38"/>
      <c r="C38" s="38"/>
      <c r="D38" s="36"/>
      <c r="E38" s="36"/>
    </row>
    <row r="39" spans="2:5">
      <c r="B39" s="38"/>
      <c r="C39" s="38"/>
      <c r="D39" s="36"/>
      <c r="E39" s="36"/>
    </row>
    <row r="40" spans="2:5">
      <c r="B40" s="38"/>
      <c r="C40" s="38"/>
      <c r="D40" s="36"/>
      <c r="E40" s="36"/>
    </row>
    <row r="41" spans="2:5">
      <c r="B41" s="38"/>
      <c r="C41" s="38"/>
      <c r="D41" s="36"/>
      <c r="E41" s="36"/>
    </row>
    <row r="42" spans="2:5">
      <c r="B42" s="38"/>
      <c r="C42" s="38"/>
      <c r="D42" s="36"/>
      <c r="E42" s="36"/>
    </row>
    <row r="43" spans="2:5">
      <c r="B43" s="38"/>
      <c r="C43" s="38"/>
      <c r="D43" s="36"/>
      <c r="E43" s="36"/>
    </row>
    <row r="44" spans="2:5">
      <c r="B44" s="38"/>
      <c r="C44" s="38"/>
      <c r="D44" s="36"/>
      <c r="E44" s="36"/>
    </row>
    <row r="45" spans="2:5">
      <c r="B45" s="38"/>
      <c r="C45" s="38"/>
      <c r="D45" s="36"/>
      <c r="E45" s="36"/>
    </row>
    <row r="46" spans="2:5">
      <c r="B46" s="38"/>
      <c r="C46" s="38"/>
      <c r="D46" s="36"/>
      <c r="E46" s="36"/>
    </row>
    <row r="47" spans="2:5">
      <c r="B47" s="38"/>
      <c r="C47" s="38"/>
      <c r="D47" s="36"/>
      <c r="E47" s="36"/>
    </row>
    <row r="48" spans="2:5">
      <c r="B48" s="38"/>
      <c r="C48" s="38"/>
      <c r="D48" s="36"/>
      <c r="E48" s="36"/>
    </row>
    <row r="49" spans="2:5">
      <c r="B49" s="38"/>
      <c r="C49" s="38"/>
      <c r="D49" s="36"/>
      <c r="E49" s="36"/>
    </row>
    <row r="50" spans="2:5">
      <c r="B50" s="38"/>
      <c r="C50" s="38"/>
      <c r="D50" s="36"/>
      <c r="E50" s="36"/>
    </row>
    <row r="51" spans="2:5">
      <c r="B51" s="38"/>
      <c r="C51" s="38"/>
      <c r="D51" s="36"/>
      <c r="E51" s="36"/>
    </row>
    <row r="52" spans="2:5">
      <c r="B52" s="38"/>
      <c r="C52" s="38"/>
      <c r="D52" s="36"/>
      <c r="E52" s="36"/>
    </row>
    <row r="53" spans="2:5">
      <c r="B53" s="38"/>
      <c r="C53" s="38"/>
      <c r="D53" s="36"/>
      <c r="E53" s="36"/>
    </row>
    <row r="54" spans="2:5">
      <c r="B54" s="38"/>
      <c r="C54" s="38"/>
      <c r="D54" s="36"/>
      <c r="E54" s="36"/>
    </row>
    <row r="55" spans="2:5">
      <c r="B55" s="38"/>
      <c r="C55" s="38"/>
      <c r="D55" s="36"/>
      <c r="E55" s="36"/>
    </row>
    <row r="56" spans="2:5">
      <c r="B56" s="38"/>
      <c r="C56" s="38"/>
      <c r="D56" s="36"/>
      <c r="E56" s="36"/>
    </row>
    <row r="57" spans="2:5">
      <c r="B57" s="38"/>
      <c r="C57" s="38"/>
      <c r="D57" s="36"/>
      <c r="E57" s="36"/>
    </row>
    <row r="58" spans="2:5">
      <c r="B58" s="38"/>
      <c r="C58" s="38"/>
      <c r="D58" s="36"/>
      <c r="E58" s="36"/>
    </row>
    <row r="59" spans="2:5">
      <c r="B59" s="38"/>
      <c r="C59" s="38"/>
      <c r="D59" s="36"/>
      <c r="E59" s="36"/>
    </row>
    <row r="60" spans="2:5">
      <c r="B60" s="38"/>
      <c r="C60" s="38"/>
      <c r="D60" s="36"/>
      <c r="E60" s="36"/>
    </row>
    <row r="61" spans="2:5">
      <c r="B61" s="38"/>
      <c r="C61" s="38"/>
      <c r="D61" s="36"/>
      <c r="E61" s="36"/>
    </row>
    <row r="62" spans="2:5">
      <c r="B62" s="38"/>
      <c r="C62" s="38"/>
      <c r="D62" s="36"/>
      <c r="E62" s="36"/>
    </row>
    <row r="63" spans="2:5">
      <c r="B63" s="38"/>
      <c r="C63" s="38"/>
      <c r="D63" s="36"/>
      <c r="E63" s="36"/>
    </row>
    <row r="64" spans="2:5">
      <c r="B64" s="38"/>
      <c r="C64" s="38"/>
      <c r="D64" s="36"/>
      <c r="E64" s="36"/>
    </row>
    <row r="65" spans="2:5">
      <c r="B65" s="38"/>
      <c r="C65" s="38"/>
      <c r="D65" s="36"/>
      <c r="E65" s="36"/>
    </row>
    <row r="66" spans="2:5">
      <c r="B66" s="38"/>
      <c r="C66" s="38"/>
      <c r="D66" s="36"/>
      <c r="E66" s="36"/>
    </row>
    <row r="67" spans="2:5">
      <c r="B67" s="38"/>
      <c r="C67" s="38"/>
      <c r="D67" s="36"/>
      <c r="E67" s="36"/>
    </row>
    <row r="68" spans="2:5">
      <c r="B68" s="38"/>
      <c r="C68" s="38"/>
      <c r="D68" s="36"/>
      <c r="E68" s="36"/>
    </row>
    <row r="69" spans="2:5">
      <c r="B69" s="38"/>
      <c r="C69" s="38"/>
      <c r="D69" s="36"/>
      <c r="E69" s="36"/>
    </row>
    <row r="70" spans="2:5">
      <c r="B70" s="38"/>
      <c r="C70" s="38"/>
      <c r="D70" s="36"/>
      <c r="E70" s="36"/>
    </row>
    <row r="71" spans="2:5">
      <c r="B71" s="38"/>
      <c r="C71" s="38"/>
      <c r="D71" s="36"/>
      <c r="E71" s="36"/>
    </row>
    <row r="72" spans="2:5">
      <c r="B72" s="38"/>
      <c r="C72" s="38"/>
      <c r="D72" s="36"/>
      <c r="E72" s="36"/>
    </row>
    <row r="73" spans="2:5">
      <c r="B73" s="38"/>
      <c r="C73" s="38"/>
      <c r="D73" s="36"/>
      <c r="E73" s="36"/>
    </row>
    <row r="74" spans="2:5">
      <c r="B74" s="38"/>
      <c r="C74" s="38"/>
      <c r="D74" s="36"/>
      <c r="E74" s="36"/>
    </row>
    <row r="75" spans="2:5">
      <c r="B75" s="38"/>
      <c r="C75" s="38"/>
      <c r="D75" s="36"/>
      <c r="E75" s="36"/>
    </row>
    <row r="76" spans="2:5">
      <c r="B76" s="38"/>
      <c r="C76" s="38"/>
      <c r="D76" s="36"/>
      <c r="E76" s="36"/>
    </row>
    <row r="77" spans="2:5">
      <c r="B77" s="38"/>
      <c r="C77" s="38"/>
      <c r="D77" s="36"/>
      <c r="E77" s="36"/>
    </row>
    <row r="78" spans="2:5">
      <c r="B78" s="38"/>
      <c r="C78" s="38"/>
      <c r="D78" s="36"/>
      <c r="E78" s="36"/>
    </row>
    <row r="79" spans="2:5">
      <c r="B79" s="38"/>
      <c r="C79" s="38"/>
      <c r="D79" s="36"/>
      <c r="E79" s="36"/>
    </row>
    <row r="80" spans="2:5">
      <c r="B80" s="38"/>
      <c r="C80" s="38"/>
      <c r="D80" s="36"/>
      <c r="E80" s="36"/>
    </row>
    <row r="81" spans="2:5">
      <c r="B81" s="38"/>
      <c r="C81" s="38"/>
      <c r="D81" s="36"/>
      <c r="E81" s="36"/>
    </row>
    <row r="82" spans="2:5">
      <c r="B82" s="38"/>
      <c r="C82" s="38"/>
      <c r="D82" s="36"/>
      <c r="E82" s="36"/>
    </row>
    <row r="83" spans="2:5">
      <c r="B83" s="38"/>
      <c r="C83" s="38"/>
      <c r="D83" s="36"/>
      <c r="E83" s="36"/>
    </row>
    <row r="84" spans="2:5">
      <c r="B84" s="38"/>
      <c r="C84" s="38"/>
      <c r="D84" s="36"/>
      <c r="E84" s="36"/>
    </row>
    <row r="85" spans="2:5">
      <c r="B85" s="38"/>
      <c r="C85" s="38"/>
      <c r="D85" s="36"/>
      <c r="E85" s="36"/>
    </row>
    <row r="86" spans="2:5">
      <c r="B86" s="38"/>
      <c r="C86" s="38"/>
      <c r="D86" s="36"/>
      <c r="E86" s="36"/>
    </row>
    <row r="87" spans="2:5">
      <c r="B87" s="38"/>
      <c r="C87" s="38"/>
      <c r="D87" s="36"/>
      <c r="E87" s="36"/>
    </row>
    <row r="88" spans="2:5">
      <c r="B88" s="38"/>
      <c r="C88" s="38"/>
      <c r="D88" s="36"/>
      <c r="E88" s="36"/>
    </row>
  </sheetData>
  <autoFilter ref="B4:E14" xr:uid="{00000000-0009-0000-0000-000001000000}"/>
  <mergeCells count="13">
    <mergeCell ref="I23:N23"/>
    <mergeCell ref="B1:E1"/>
    <mergeCell ref="M10:M11"/>
    <mergeCell ref="G5:M5"/>
    <mergeCell ref="G3:G4"/>
    <mergeCell ref="H3:H4"/>
    <mergeCell ref="K10:K11"/>
    <mergeCell ref="L10:L11"/>
    <mergeCell ref="I10:J11"/>
    <mergeCell ref="H1:I1"/>
    <mergeCell ref="B3:E3"/>
    <mergeCell ref="G10:G11"/>
    <mergeCell ref="H10:H11"/>
  </mergeCells>
  <conditionalFormatting sqref="F30:F1048576">
    <cfRule type="cellIs" dxfId="169" priority="192" operator="equal">
      <formula>"NA"</formula>
    </cfRule>
    <cfRule type="cellIs" dxfId="168" priority="193" operator="equal">
      <formula>"High"</formula>
    </cfRule>
    <cfRule type="cellIs" dxfId="167" priority="194" operator="equal">
      <formula>"Medium"</formula>
    </cfRule>
    <cfRule type="cellIs" dxfId="166" priority="195" operator="equal">
      <formula>"Low"</formula>
    </cfRule>
  </conditionalFormatting>
  <conditionalFormatting sqref="B4">
    <cfRule type="cellIs" dxfId="165" priority="13" operator="equal">
      <formula>"NA"</formula>
    </cfRule>
    <cfRule type="cellIs" dxfId="164" priority="14" operator="equal">
      <formula>"High"</formula>
    </cfRule>
    <cfRule type="cellIs" dxfId="163" priority="15" operator="equal">
      <formula>"Medium"</formula>
    </cfRule>
    <cfRule type="cellIs" dxfId="162" priority="16" operator="equal">
      <formula>"Low"</formula>
    </cfRule>
  </conditionalFormatting>
  <conditionalFormatting sqref="I13">
    <cfRule type="containsText" dxfId="161" priority="7" operator="containsText" text="Yes">
      <formula>NOT(ISERROR(SEARCH("Yes",I13)))</formula>
    </cfRule>
    <cfRule type="containsText" dxfId="160" priority="8" operator="containsText" text="No">
      <formula>NOT(ISERROR(SEARCH("No",I13)))</formula>
    </cfRule>
  </conditionalFormatting>
  <conditionalFormatting sqref="D4:E1048576">
    <cfRule type="cellIs" dxfId="159" priority="2" operator="equal">
      <formula>"High"</formula>
    </cfRule>
    <cfRule type="cellIs" dxfId="158" priority="4" operator="equal">
      <formula>"Medium"</formula>
    </cfRule>
    <cfRule type="cellIs" dxfId="157" priority="5" operator="equal">
      <formula>"Low"</formula>
    </cfRule>
  </conditionalFormatting>
  <conditionalFormatting sqref="D1:D2 D4:D1048576">
    <cfRule type="cellIs" dxfId="156" priority="1" operator="equal">
      <formula>"Advanced"</formula>
    </cfRule>
    <cfRule type="cellIs" dxfId="155" priority="6" operator="equal">
      <formula>"Minor"</formula>
    </cfRule>
  </conditionalFormatting>
  <dataValidations count="4">
    <dataValidation type="list" allowBlank="1" showInputMessage="1" showErrorMessage="1" sqref="I13" xr:uid="{00000000-0002-0000-0100-000000000000}">
      <formula1>compute_YesNo</formula1>
    </dataValidation>
    <dataValidation type="list" allowBlank="1" showInputMessage="1" showErrorMessage="1" sqref="D5:D88" xr:uid="{00000000-0002-0000-0100-000001000000}">
      <formula1>definition_Complexity</formula1>
    </dataValidation>
    <dataValidation type="list" allowBlank="1" showInputMessage="1" showErrorMessage="1" sqref="B5:B88" xr:uid="{00000000-0002-0000-0100-000002000000}">
      <formula1>definition_UI</formula1>
    </dataValidation>
    <dataValidation type="list" allowBlank="1" showInputMessage="1" showErrorMessage="1" sqref="E5:E88" xr:uid="{00000000-0002-0000-0100-000003000000}">
      <formula1>definition_Module</formula1>
    </dataValidation>
  </dataValidations>
  <pageMargins left="0.75" right="0.75" top="1" bottom="1" header="0.5" footer="0.5"/>
  <pageSetup orientation="portrait" horizontalDpi="4294967292" verticalDpi="4294967292"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4" tint="0.39997558519241921"/>
  </sheetPr>
  <dimension ref="B1:T136"/>
  <sheetViews>
    <sheetView workbookViewId="0">
      <selection activeCell="B5" sqref="B5"/>
    </sheetView>
  </sheetViews>
  <sheetFormatPr defaultColWidth="8.88671875" defaultRowHeight="13.8"/>
  <cols>
    <col min="1" max="1" width="4.44140625" style="2" customWidth="1"/>
    <col min="2" max="2" width="25.44140625" style="2" customWidth="1"/>
    <col min="3" max="3" width="48.6640625" style="5" customWidth="1"/>
    <col min="4" max="4" width="12.109375" style="5" bestFit="1" customWidth="1"/>
    <col min="5" max="5" width="12.109375" style="5" customWidth="1"/>
    <col min="6" max="6" width="7.88671875" style="5" customWidth="1"/>
    <col min="7" max="7" width="25" style="3" bestFit="1" customWidth="1"/>
    <col min="8" max="8" width="10.33203125" style="3" customWidth="1"/>
    <col min="9" max="9" width="9.6640625" style="2" customWidth="1"/>
    <col min="10" max="10" width="10.33203125" style="2" customWidth="1"/>
    <col min="11" max="11" width="8.88671875" style="2" customWidth="1"/>
    <col min="12" max="12" width="8.109375" style="2" customWidth="1"/>
    <col min="13" max="13" width="10.44140625" style="2" customWidth="1"/>
    <col min="14" max="16384" width="8.88671875" style="2"/>
  </cols>
  <sheetData>
    <row r="1" spans="2:20" s="35" customFormat="1" ht="47.25" customHeight="1">
      <c r="B1" s="320" t="s">
        <v>116</v>
      </c>
      <c r="C1" s="320"/>
      <c r="D1" s="320"/>
      <c r="E1" s="320"/>
      <c r="F1" s="61"/>
      <c r="G1" s="119" t="s">
        <v>244</v>
      </c>
      <c r="H1" s="336">
        <f>effort_SPA</f>
        <v>0</v>
      </c>
      <c r="I1" s="337"/>
    </row>
    <row r="2" spans="2:20">
      <c r="F2" s="3"/>
      <c r="I2" s="5"/>
      <c r="P2" s="118"/>
      <c r="Q2" s="113"/>
      <c r="R2" s="73"/>
    </row>
    <row r="3" spans="2:20">
      <c r="B3" s="338" t="s">
        <v>411</v>
      </c>
      <c r="C3" s="339"/>
      <c r="D3" s="339"/>
      <c r="E3" s="340"/>
      <c r="F3" s="3"/>
      <c r="G3" s="323" t="s">
        <v>26</v>
      </c>
      <c r="H3" s="324"/>
      <c r="I3" s="324"/>
      <c r="J3" s="324"/>
      <c r="K3" s="324"/>
      <c r="L3" s="324"/>
      <c r="M3" s="325"/>
      <c r="P3" s="118"/>
      <c r="Q3" s="113"/>
      <c r="R3" s="113"/>
    </row>
    <row r="4" spans="2:20">
      <c r="B4" s="161" t="s">
        <v>60</v>
      </c>
      <c r="C4" s="162" t="s">
        <v>61</v>
      </c>
      <c r="D4" s="163" t="s">
        <v>6</v>
      </c>
      <c r="E4" s="163" t="s">
        <v>264</v>
      </c>
      <c r="F4" s="3"/>
      <c r="G4" s="124" t="s">
        <v>1</v>
      </c>
      <c r="H4" s="131" t="s">
        <v>257</v>
      </c>
      <c r="I4" s="131" t="s">
        <v>22</v>
      </c>
      <c r="J4" s="131" t="s">
        <v>0</v>
      </c>
      <c r="K4" s="131" t="s">
        <v>21</v>
      </c>
      <c r="L4" s="131" t="s">
        <v>258</v>
      </c>
      <c r="M4" s="131" t="s">
        <v>2</v>
      </c>
      <c r="N4" s="169"/>
      <c r="O4" s="169"/>
      <c r="P4" s="169"/>
      <c r="Q4" s="169"/>
      <c r="R4" s="169"/>
      <c r="S4" s="169"/>
      <c r="T4" s="169"/>
    </row>
    <row r="5" spans="2:20">
      <c r="B5" s="38"/>
      <c r="C5" s="167"/>
      <c r="D5" s="36"/>
      <c r="E5" s="186"/>
      <c r="F5" s="3"/>
      <c r="G5" s="42" t="str">
        <f>Definition!C8</f>
        <v>Services</v>
      </c>
      <c r="H5" s="37">
        <f>Definition!K9</f>
        <v>0</v>
      </c>
      <c r="I5" s="37">
        <f>Definition!L9</f>
        <v>0</v>
      </c>
      <c r="J5" s="37">
        <f>Definition!M9</f>
        <v>0</v>
      </c>
      <c r="K5" s="37">
        <f>Definition!N9</f>
        <v>0</v>
      </c>
      <c r="L5" s="37">
        <f>Definition!O9</f>
        <v>0</v>
      </c>
      <c r="M5" s="37">
        <f>SUM(H5:L5)</f>
        <v>0</v>
      </c>
      <c r="N5" s="169"/>
      <c r="O5" s="169"/>
      <c r="P5" s="169"/>
      <c r="R5" s="169"/>
      <c r="S5" s="169"/>
      <c r="T5" s="169"/>
    </row>
    <row r="6" spans="2:20">
      <c r="B6" s="38"/>
      <c r="C6" s="167"/>
      <c r="D6" s="36"/>
      <c r="E6" s="186"/>
      <c r="F6" s="3"/>
      <c r="G6" s="42" t="str">
        <f>Definition!C9</f>
        <v>Views</v>
      </c>
      <c r="H6" s="37">
        <f>Definition!K10</f>
        <v>0</v>
      </c>
      <c r="I6" s="37">
        <f>Definition!L10</f>
        <v>0</v>
      </c>
      <c r="J6" s="37">
        <f>Definition!M10</f>
        <v>0</v>
      </c>
      <c r="K6" s="37">
        <f>Definition!N10</f>
        <v>0</v>
      </c>
      <c r="L6" s="37">
        <f>Definition!O10</f>
        <v>0</v>
      </c>
      <c r="M6" s="37">
        <f t="shared" ref="M6:M10" si="0">SUM(H6:L6)</f>
        <v>0</v>
      </c>
      <c r="N6" s="169"/>
      <c r="O6" s="169"/>
      <c r="P6" s="169"/>
      <c r="R6" s="169"/>
      <c r="S6" s="169"/>
      <c r="T6" s="169"/>
    </row>
    <row r="7" spans="2:20">
      <c r="B7" s="38"/>
      <c r="C7" s="167"/>
      <c r="D7" s="36"/>
      <c r="E7" s="186"/>
      <c r="F7" s="3"/>
      <c r="G7" s="42" t="str">
        <f>Definition!C10</f>
        <v>Controllers</v>
      </c>
      <c r="H7" s="37">
        <f>Definition!K11</f>
        <v>0</v>
      </c>
      <c r="I7" s="37">
        <f>Definition!L11</f>
        <v>0</v>
      </c>
      <c r="J7" s="37">
        <f>Definition!M11</f>
        <v>0</v>
      </c>
      <c r="K7" s="37">
        <f>Definition!N11</f>
        <v>0</v>
      </c>
      <c r="L7" s="37">
        <f>Definition!O11</f>
        <v>0</v>
      </c>
      <c r="M7" s="37">
        <f t="shared" si="0"/>
        <v>0</v>
      </c>
      <c r="N7" s="169"/>
      <c r="O7" s="169"/>
      <c r="P7" s="169"/>
      <c r="R7" s="169"/>
      <c r="S7" s="169"/>
      <c r="T7" s="169"/>
    </row>
    <row r="8" spans="2:20">
      <c r="B8" s="38"/>
      <c r="C8" s="167"/>
      <c r="D8" s="36"/>
      <c r="E8" s="186"/>
      <c r="F8" s="3"/>
      <c r="G8" s="42" t="str">
        <f>Definition!C11</f>
        <v>Components</v>
      </c>
      <c r="H8" s="37">
        <f>Definition!K12</f>
        <v>0</v>
      </c>
      <c r="I8" s="37">
        <f>Definition!L12</f>
        <v>0</v>
      </c>
      <c r="J8" s="37">
        <f>Definition!M12</f>
        <v>0</v>
      </c>
      <c r="K8" s="37">
        <f>Definition!N12</f>
        <v>0</v>
      </c>
      <c r="L8" s="37">
        <f>Definition!O12</f>
        <v>0</v>
      </c>
      <c r="M8" s="37">
        <f t="shared" si="0"/>
        <v>0</v>
      </c>
      <c r="N8" s="169"/>
      <c r="O8" s="169"/>
      <c r="P8" s="169"/>
      <c r="R8" s="169"/>
      <c r="S8" s="169"/>
      <c r="T8" s="169"/>
    </row>
    <row r="9" spans="2:20">
      <c r="B9" s="38"/>
      <c r="C9" s="167"/>
      <c r="D9" s="36"/>
      <c r="E9" s="186"/>
      <c r="F9" s="3"/>
      <c r="G9" s="42" t="str">
        <f>Definition!C12</f>
        <v>Test Automation</v>
      </c>
      <c r="H9" s="37">
        <f>Definition!K13</f>
        <v>0</v>
      </c>
      <c r="I9" s="37">
        <f>Definition!L13</f>
        <v>0</v>
      </c>
      <c r="J9" s="37">
        <f>Definition!M13</f>
        <v>0</v>
      </c>
      <c r="K9" s="37">
        <f>Definition!N13</f>
        <v>0</v>
      </c>
      <c r="L9" s="37">
        <f>Definition!O13</f>
        <v>0</v>
      </c>
      <c r="M9" s="37">
        <f t="shared" si="0"/>
        <v>0</v>
      </c>
      <c r="N9" s="169"/>
      <c r="O9" s="169"/>
      <c r="P9" s="169"/>
      <c r="R9" s="169"/>
      <c r="S9" s="169"/>
      <c r="T9" s="169"/>
    </row>
    <row r="10" spans="2:20">
      <c r="B10" s="38"/>
      <c r="C10" s="167"/>
      <c r="D10" s="36"/>
      <c r="E10" s="186"/>
      <c r="F10" s="3"/>
      <c r="G10" s="42" t="str">
        <f>Definition!C13</f>
        <v>App Building</v>
      </c>
      <c r="H10" s="37">
        <f>Definition!K14</f>
        <v>0</v>
      </c>
      <c r="I10" s="37">
        <f>Definition!L14</f>
        <v>0</v>
      </c>
      <c r="J10" s="37">
        <f>Definition!M14</f>
        <v>0</v>
      </c>
      <c r="K10" s="37">
        <f>Definition!N14</f>
        <v>0</v>
      </c>
      <c r="L10" s="37">
        <f>Definition!O14</f>
        <v>0</v>
      </c>
      <c r="M10" s="37">
        <f t="shared" si="0"/>
        <v>0</v>
      </c>
      <c r="N10" s="169"/>
      <c r="O10" s="169"/>
      <c r="P10" s="170"/>
      <c r="R10" s="169"/>
      <c r="S10" s="169"/>
      <c r="T10" s="169"/>
    </row>
    <row r="11" spans="2:20">
      <c r="B11" s="38"/>
      <c r="C11" s="167"/>
      <c r="D11" s="36"/>
      <c r="E11" s="186"/>
      <c r="F11" s="3"/>
      <c r="G11" s="166" t="s">
        <v>245</v>
      </c>
      <c r="H11" s="37">
        <f>effort_SPA_Dev</f>
        <v>0</v>
      </c>
      <c r="I11" s="344" t="s">
        <v>189</v>
      </c>
      <c r="J11" s="345"/>
      <c r="K11" s="346"/>
      <c r="L11" s="350">
        <f>effort_SPA</f>
        <v>0</v>
      </c>
      <c r="M11" s="351"/>
      <c r="N11" s="169"/>
      <c r="O11" s="169"/>
      <c r="P11" s="170"/>
      <c r="Q11" s="169"/>
      <c r="R11" s="169"/>
      <c r="S11" s="169"/>
      <c r="T11" s="169"/>
    </row>
    <row r="12" spans="2:20">
      <c r="B12" s="38"/>
      <c r="C12" s="167"/>
      <c r="D12" s="36"/>
      <c r="E12" s="186"/>
      <c r="F12" s="3"/>
      <c r="G12" s="166" t="s">
        <v>228</v>
      </c>
      <c r="H12" s="37">
        <f>effort_SPA_Catalogue</f>
        <v>0</v>
      </c>
      <c r="I12" s="347"/>
      <c r="J12" s="348"/>
      <c r="K12" s="349"/>
      <c r="L12" s="352"/>
      <c r="M12" s="353"/>
      <c r="N12" s="169"/>
      <c r="O12" s="169"/>
      <c r="P12" s="170"/>
      <c r="Q12" s="169"/>
      <c r="R12" s="169"/>
      <c r="S12" s="169"/>
      <c r="T12" s="169"/>
    </row>
    <row r="13" spans="2:20">
      <c r="B13" s="38"/>
      <c r="C13" s="167"/>
      <c r="D13" s="36"/>
      <c r="E13" s="186"/>
      <c r="F13" s="3"/>
      <c r="N13" s="169"/>
      <c r="O13" s="169"/>
      <c r="P13" s="169"/>
      <c r="Q13" s="170"/>
      <c r="R13" s="169"/>
      <c r="S13" s="169"/>
      <c r="T13" s="169"/>
    </row>
    <row r="14" spans="2:20">
      <c r="B14" s="38"/>
      <c r="C14" s="167"/>
      <c r="D14" s="36"/>
      <c r="E14" s="186"/>
      <c r="F14" s="3"/>
      <c r="G14" s="135" t="s">
        <v>48</v>
      </c>
      <c r="H14" s="47" t="s">
        <v>33</v>
      </c>
      <c r="J14" s="62"/>
      <c r="N14" s="169"/>
      <c r="O14" s="169"/>
      <c r="P14" s="169"/>
      <c r="Q14" s="170"/>
      <c r="R14" s="169"/>
      <c r="S14" s="169"/>
      <c r="T14" s="169"/>
    </row>
    <row r="15" spans="2:20">
      <c r="B15" s="38"/>
      <c r="C15" s="167"/>
      <c r="D15" s="36"/>
      <c r="E15" s="186"/>
      <c r="F15" s="3"/>
      <c r="G15" s="132" t="s">
        <v>1</v>
      </c>
      <c r="H15" s="133" t="s">
        <v>257</v>
      </c>
      <c r="I15" s="134" t="s">
        <v>22</v>
      </c>
      <c r="J15" s="134" t="s">
        <v>0</v>
      </c>
      <c r="K15" s="134" t="s">
        <v>21</v>
      </c>
      <c r="L15" s="134" t="s">
        <v>258</v>
      </c>
      <c r="M15" s="134" t="s">
        <v>2</v>
      </c>
      <c r="N15" s="169"/>
      <c r="O15" s="169"/>
      <c r="P15" s="169"/>
      <c r="Q15" s="170"/>
      <c r="R15" s="169"/>
      <c r="S15" s="169"/>
      <c r="T15" s="169"/>
    </row>
    <row r="16" spans="2:20">
      <c r="B16" s="38"/>
      <c r="C16" s="167"/>
      <c r="D16" s="36"/>
      <c r="E16" s="186"/>
      <c r="F16" s="3"/>
      <c r="G16" s="63" t="str">
        <f>Definition!C8</f>
        <v>Services</v>
      </c>
      <c r="H16" s="67">
        <v>1</v>
      </c>
      <c r="I16" s="67">
        <v>1</v>
      </c>
      <c r="J16" s="67">
        <v>1</v>
      </c>
      <c r="K16" s="67">
        <v>1</v>
      </c>
      <c r="L16" s="67">
        <v>1</v>
      </c>
      <c r="M16" s="64">
        <f>SUM(H16:L16)</f>
        <v>5</v>
      </c>
      <c r="N16" s="169"/>
      <c r="O16" s="169"/>
      <c r="P16" s="169"/>
      <c r="Q16" s="169"/>
      <c r="R16" s="169"/>
      <c r="S16" s="169"/>
      <c r="T16" s="169"/>
    </row>
    <row r="17" spans="2:20">
      <c r="B17" s="38"/>
      <c r="C17" s="167"/>
      <c r="D17" s="36"/>
      <c r="E17" s="186"/>
      <c r="F17" s="3"/>
      <c r="G17" s="63" t="str">
        <f>Definition!C9</f>
        <v>Views</v>
      </c>
      <c r="H17" s="67">
        <v>1</v>
      </c>
      <c r="I17" s="67">
        <v>1</v>
      </c>
      <c r="J17" s="67">
        <v>1</v>
      </c>
      <c r="K17" s="67">
        <v>1</v>
      </c>
      <c r="L17" s="67">
        <v>1</v>
      </c>
      <c r="M17" s="64">
        <f t="shared" ref="M17:M21" si="1">SUM(H17:L17)</f>
        <v>5</v>
      </c>
      <c r="N17" s="169"/>
      <c r="O17" s="169"/>
      <c r="P17" s="169"/>
      <c r="Q17" s="169"/>
      <c r="R17" s="169"/>
      <c r="S17" s="169"/>
      <c r="T17" s="169"/>
    </row>
    <row r="18" spans="2:20">
      <c r="B18" s="38"/>
      <c r="C18" s="167"/>
      <c r="D18" s="36"/>
      <c r="E18" s="186"/>
      <c r="F18" s="2"/>
      <c r="G18" s="63" t="str">
        <f>Definition!C10</f>
        <v>Controllers</v>
      </c>
      <c r="H18" s="67">
        <v>1</v>
      </c>
      <c r="I18" s="67">
        <v>1</v>
      </c>
      <c r="J18" s="67">
        <v>1</v>
      </c>
      <c r="K18" s="67">
        <v>1</v>
      </c>
      <c r="L18" s="67">
        <v>1</v>
      </c>
      <c r="M18" s="64">
        <f t="shared" si="1"/>
        <v>5</v>
      </c>
      <c r="N18" s="169"/>
      <c r="O18" s="169"/>
      <c r="P18" s="169"/>
      <c r="Q18" s="169"/>
      <c r="R18" s="169"/>
      <c r="S18" s="169"/>
      <c r="T18" s="169"/>
    </row>
    <row r="19" spans="2:20">
      <c r="B19" s="38"/>
      <c r="C19" s="167"/>
      <c r="D19" s="36"/>
      <c r="E19" s="186"/>
      <c r="F19" s="2"/>
      <c r="G19" s="63" t="str">
        <f>Definition!C11</f>
        <v>Components</v>
      </c>
      <c r="H19" s="67">
        <v>1</v>
      </c>
      <c r="I19" s="67">
        <v>1</v>
      </c>
      <c r="J19" s="67">
        <v>1</v>
      </c>
      <c r="K19" s="67">
        <v>1</v>
      </c>
      <c r="L19" s="67">
        <v>1</v>
      </c>
      <c r="M19" s="64">
        <f t="shared" si="1"/>
        <v>5</v>
      </c>
      <c r="N19" s="169"/>
      <c r="O19" s="169"/>
      <c r="P19" s="169"/>
      <c r="Q19" s="169"/>
      <c r="R19" s="169"/>
      <c r="S19" s="169"/>
      <c r="T19" s="169"/>
    </row>
    <row r="20" spans="2:20">
      <c r="B20" s="38"/>
      <c r="C20" s="167"/>
      <c r="D20" s="36"/>
      <c r="E20" s="186"/>
      <c r="G20" s="63" t="str">
        <f>Definition!C12</f>
        <v>Test Automation</v>
      </c>
      <c r="H20" s="67">
        <v>1</v>
      </c>
      <c r="I20" s="67">
        <v>1</v>
      </c>
      <c r="J20" s="67">
        <v>1</v>
      </c>
      <c r="K20" s="67">
        <v>1</v>
      </c>
      <c r="L20" s="67">
        <v>1</v>
      </c>
      <c r="M20" s="64">
        <f t="shared" si="1"/>
        <v>5</v>
      </c>
      <c r="N20" s="169"/>
      <c r="O20" s="169"/>
      <c r="P20" s="169"/>
      <c r="Q20" s="169"/>
      <c r="R20" s="169"/>
      <c r="S20" s="169"/>
      <c r="T20" s="169"/>
    </row>
    <row r="21" spans="2:20">
      <c r="B21" s="38"/>
      <c r="C21" s="167"/>
      <c r="D21" s="36"/>
      <c r="E21" s="186"/>
      <c r="G21" s="63" t="str">
        <f>Definition!C13</f>
        <v>App Building</v>
      </c>
      <c r="H21" s="67">
        <v>1</v>
      </c>
      <c r="I21" s="67">
        <v>1</v>
      </c>
      <c r="J21" s="67">
        <v>1</v>
      </c>
      <c r="K21" s="67">
        <v>1</v>
      </c>
      <c r="L21" s="67">
        <v>1</v>
      </c>
      <c r="M21" s="64">
        <f t="shared" si="1"/>
        <v>5</v>
      </c>
      <c r="N21" s="169"/>
      <c r="O21" s="169"/>
      <c r="P21" s="169"/>
      <c r="Q21" s="169"/>
      <c r="R21" s="169"/>
      <c r="S21" s="169"/>
      <c r="T21" s="169"/>
    </row>
    <row r="22" spans="2:20">
      <c r="B22" s="38"/>
      <c r="C22" s="167"/>
      <c r="D22" s="36"/>
      <c r="E22" s="186"/>
      <c r="N22" s="169"/>
      <c r="O22" s="169"/>
      <c r="P22" s="169"/>
      <c r="Q22" s="169"/>
      <c r="R22" s="169"/>
      <c r="S22" s="169"/>
      <c r="T22" s="169"/>
    </row>
    <row r="23" spans="2:20">
      <c r="B23" s="38"/>
      <c r="C23" s="167"/>
      <c r="D23" s="36"/>
      <c r="E23" s="186"/>
      <c r="G23" s="354" t="s">
        <v>143</v>
      </c>
      <c r="H23" s="355"/>
      <c r="I23" s="355"/>
      <c r="J23" s="355"/>
      <c r="K23" s="355"/>
      <c r="L23" s="356"/>
      <c r="M23" s="169"/>
      <c r="N23" s="169"/>
      <c r="O23" s="169"/>
      <c r="P23" s="169"/>
      <c r="Q23" s="169"/>
      <c r="R23" s="169"/>
      <c r="S23" s="169"/>
      <c r="T23" s="169"/>
    </row>
    <row r="24" spans="2:20">
      <c r="B24" s="38"/>
      <c r="C24" s="167"/>
      <c r="D24" s="36"/>
      <c r="E24" s="186"/>
      <c r="G24" s="77" t="s">
        <v>267</v>
      </c>
      <c r="H24" s="75" t="s">
        <v>11</v>
      </c>
      <c r="I24" s="76" t="s">
        <v>2</v>
      </c>
      <c r="J24" s="101" t="s">
        <v>243</v>
      </c>
      <c r="K24" s="330">
        <f>IF(L24=1,SUM(J25:J27),0)</f>
        <v>0</v>
      </c>
      <c r="L24" s="199">
        <v>0</v>
      </c>
      <c r="M24" s="169"/>
      <c r="N24" s="169"/>
      <c r="O24" s="169"/>
      <c r="P24" s="169"/>
      <c r="Q24" s="169"/>
      <c r="R24" s="169"/>
      <c r="S24" s="169"/>
      <c r="T24" s="169"/>
    </row>
    <row r="25" spans="2:20">
      <c r="B25" s="38"/>
      <c r="C25" s="167"/>
      <c r="D25" s="36"/>
      <c r="E25" s="186"/>
      <c r="G25" s="43" t="s">
        <v>102</v>
      </c>
      <c r="H25" s="71">
        <v>1</v>
      </c>
      <c r="I25" s="43">
        <v>15</v>
      </c>
      <c r="J25" s="102">
        <f>IF(H25=1,Definition!C72*I25,0)</f>
        <v>7.5</v>
      </c>
      <c r="K25" s="343"/>
      <c r="L25" s="169"/>
      <c r="M25" s="169"/>
      <c r="N25" s="169"/>
      <c r="O25" s="169"/>
      <c r="P25" s="169"/>
      <c r="Q25" s="169"/>
      <c r="R25" s="169"/>
      <c r="S25" s="169"/>
      <c r="T25" s="169"/>
    </row>
    <row r="26" spans="2:20">
      <c r="B26" s="38"/>
      <c r="C26" s="167"/>
      <c r="D26" s="36"/>
      <c r="E26" s="186"/>
      <c r="G26" s="43" t="s">
        <v>491</v>
      </c>
      <c r="H26" s="71">
        <v>1</v>
      </c>
      <c r="I26" s="84" t="s">
        <v>133</v>
      </c>
      <c r="J26" s="102">
        <f>IF(H26=1,Definition!C73*effort_SPA_Dev,0)</f>
        <v>0</v>
      </c>
      <c r="K26" s="343"/>
      <c r="L26" s="169"/>
      <c r="M26" s="169"/>
      <c r="N26" s="169"/>
      <c r="O26" s="169"/>
      <c r="P26" s="169"/>
      <c r="Q26" s="169"/>
      <c r="R26" s="169"/>
      <c r="S26" s="169"/>
      <c r="T26" s="169"/>
    </row>
    <row r="27" spans="2:20">
      <c r="B27" s="38"/>
      <c r="C27" s="167"/>
      <c r="D27" s="36"/>
      <c r="E27" s="186"/>
      <c r="G27" s="43" t="s">
        <v>214</v>
      </c>
      <c r="H27" s="71">
        <v>1</v>
      </c>
      <c r="I27" s="84" t="s">
        <v>133</v>
      </c>
      <c r="J27" s="102">
        <f>IF(H27=1,Definition!C74*effort_SPA_Dev,0)</f>
        <v>0</v>
      </c>
      <c r="K27" s="331"/>
    </row>
    <row r="28" spans="2:20">
      <c r="B28" s="38"/>
      <c r="C28" s="167"/>
      <c r="D28" s="36"/>
      <c r="E28" s="186"/>
      <c r="G28" s="77" t="s">
        <v>137</v>
      </c>
      <c r="H28" s="75" t="s">
        <v>11</v>
      </c>
      <c r="I28" s="76" t="s">
        <v>2</v>
      </c>
      <c r="J28" s="101" t="s">
        <v>243</v>
      </c>
      <c r="K28" s="330">
        <f>IF(L28=1,SUM(J29:J30),0)</f>
        <v>0</v>
      </c>
      <c r="L28" s="199">
        <v>0</v>
      </c>
    </row>
    <row r="29" spans="2:20">
      <c r="B29" s="38"/>
      <c r="C29" s="167"/>
      <c r="D29" s="36"/>
      <c r="E29" s="186"/>
      <c r="G29" s="43" t="s">
        <v>246</v>
      </c>
      <c r="H29" s="71">
        <v>1</v>
      </c>
      <c r="I29" s="43">
        <v>15</v>
      </c>
      <c r="J29" s="102">
        <f>IF(H29=1,Definition!C77*I29,0)</f>
        <v>45</v>
      </c>
      <c r="K29" s="343"/>
    </row>
    <row r="30" spans="2:20">
      <c r="B30" s="38"/>
      <c r="C30" s="167"/>
      <c r="D30" s="36"/>
      <c r="E30" s="186"/>
      <c r="G30" s="43" t="s">
        <v>247</v>
      </c>
      <c r="H30" s="71">
        <v>1</v>
      </c>
      <c r="I30" s="43">
        <v>15</v>
      </c>
      <c r="J30" s="102">
        <f>IF(H30=1,Definition!C78*I30,0)</f>
        <v>7.5</v>
      </c>
      <c r="K30" s="331"/>
    </row>
    <row r="31" spans="2:20">
      <c r="B31" s="38"/>
      <c r="C31" s="167"/>
      <c r="D31" s="36"/>
      <c r="E31" s="186"/>
      <c r="G31" s="77" t="s">
        <v>210</v>
      </c>
      <c r="H31" s="75" t="s">
        <v>11</v>
      </c>
      <c r="I31" s="76" t="s">
        <v>2</v>
      </c>
      <c r="J31" s="101" t="s">
        <v>243</v>
      </c>
      <c r="K31" s="330">
        <f>IF(L31=1,SUM(J32:J33),0)</f>
        <v>0</v>
      </c>
      <c r="L31" s="199">
        <v>0</v>
      </c>
    </row>
    <row r="32" spans="2:20">
      <c r="B32" s="38"/>
      <c r="C32" s="167"/>
      <c r="D32" s="36"/>
      <c r="E32" s="186"/>
      <c r="G32" s="43" t="s">
        <v>249</v>
      </c>
      <c r="H32" s="71">
        <v>1</v>
      </c>
      <c r="I32" s="43">
        <v>15</v>
      </c>
      <c r="J32" s="102">
        <f>IF(H32=1,Definition!C76*I32,0)</f>
        <v>15</v>
      </c>
      <c r="K32" s="343"/>
    </row>
    <row r="33" spans="2:11">
      <c r="B33" s="38"/>
      <c r="C33" s="167"/>
      <c r="D33" s="36"/>
      <c r="E33" s="186"/>
      <c r="G33" s="43" t="s">
        <v>248</v>
      </c>
      <c r="H33" s="71">
        <v>1</v>
      </c>
      <c r="I33" s="84" t="s">
        <v>133</v>
      </c>
      <c r="J33" s="102">
        <f>IF(H33=1,Definition!C53*effort_SPA_Dev,0)</f>
        <v>0</v>
      </c>
      <c r="K33" s="331"/>
    </row>
    <row r="34" spans="2:11">
      <c r="B34" s="38"/>
      <c r="C34" s="167"/>
      <c r="D34" s="36"/>
      <c r="E34" s="186"/>
      <c r="G34" s="4"/>
      <c r="H34" s="4"/>
    </row>
    <row r="35" spans="2:11">
      <c r="B35" s="38"/>
      <c r="C35" s="167"/>
      <c r="D35" s="36"/>
      <c r="E35" s="186"/>
      <c r="G35" s="4"/>
      <c r="H35" s="4"/>
    </row>
    <row r="36" spans="2:11">
      <c r="B36" s="38"/>
      <c r="C36" s="167"/>
      <c r="D36" s="36"/>
      <c r="E36" s="186"/>
    </row>
    <row r="37" spans="2:11">
      <c r="B37" s="38"/>
      <c r="C37" s="167"/>
      <c r="D37" s="36"/>
      <c r="E37" s="186"/>
    </row>
    <row r="38" spans="2:11">
      <c r="B38" s="38"/>
      <c r="C38" s="167"/>
      <c r="D38" s="36"/>
      <c r="E38" s="186"/>
    </row>
    <row r="39" spans="2:11">
      <c r="B39" s="38"/>
      <c r="C39" s="167"/>
      <c r="D39" s="36"/>
      <c r="E39" s="186"/>
    </row>
    <row r="40" spans="2:11">
      <c r="B40" s="38"/>
      <c r="C40" s="167"/>
      <c r="D40" s="36"/>
      <c r="E40" s="186"/>
    </row>
    <row r="41" spans="2:11">
      <c r="B41" s="38"/>
      <c r="C41" s="167"/>
      <c r="D41" s="36"/>
      <c r="E41" s="186"/>
    </row>
    <row r="42" spans="2:11">
      <c r="B42" s="38"/>
      <c r="C42" s="167"/>
      <c r="D42" s="36"/>
      <c r="E42" s="186"/>
    </row>
    <row r="43" spans="2:11">
      <c r="B43" s="38"/>
      <c r="C43" s="167"/>
      <c r="D43" s="36"/>
      <c r="E43" s="186"/>
    </row>
    <row r="44" spans="2:11">
      <c r="B44" s="38"/>
      <c r="C44" s="167"/>
      <c r="D44" s="36"/>
      <c r="E44" s="186"/>
    </row>
    <row r="45" spans="2:11">
      <c r="B45" s="38"/>
      <c r="C45" s="167"/>
      <c r="D45" s="36"/>
      <c r="E45" s="186"/>
    </row>
    <row r="46" spans="2:11">
      <c r="B46" s="38"/>
      <c r="C46" s="167"/>
      <c r="D46" s="36"/>
      <c r="E46" s="186"/>
    </row>
    <row r="47" spans="2:11">
      <c r="B47" s="38"/>
      <c r="C47" s="167"/>
      <c r="D47" s="36"/>
      <c r="E47" s="186"/>
    </row>
    <row r="48" spans="2:11">
      <c r="B48" s="38"/>
      <c r="C48" s="167"/>
      <c r="D48" s="36"/>
      <c r="E48" s="186"/>
    </row>
    <row r="49" spans="2:5">
      <c r="B49" s="38"/>
      <c r="C49" s="167"/>
      <c r="D49" s="36"/>
      <c r="E49" s="186"/>
    </row>
    <row r="50" spans="2:5">
      <c r="B50" s="38"/>
      <c r="C50" s="167"/>
      <c r="D50" s="36"/>
      <c r="E50" s="186"/>
    </row>
    <row r="51" spans="2:5">
      <c r="B51" s="38"/>
      <c r="C51" s="167"/>
      <c r="D51" s="36"/>
      <c r="E51" s="186"/>
    </row>
    <row r="52" spans="2:5">
      <c r="B52" s="38"/>
      <c r="C52" s="167"/>
      <c r="D52" s="36"/>
      <c r="E52" s="186"/>
    </row>
    <row r="53" spans="2:5">
      <c r="B53" s="38"/>
      <c r="C53" s="167"/>
      <c r="D53" s="36"/>
      <c r="E53" s="186"/>
    </row>
    <row r="54" spans="2:5">
      <c r="B54" s="38"/>
      <c r="C54" s="167"/>
      <c r="D54" s="36"/>
      <c r="E54" s="186"/>
    </row>
    <row r="55" spans="2:5">
      <c r="B55" s="38"/>
      <c r="C55" s="167"/>
      <c r="D55" s="36"/>
      <c r="E55" s="186"/>
    </row>
    <row r="56" spans="2:5">
      <c r="B56" s="38"/>
      <c r="C56" s="167"/>
      <c r="D56" s="36"/>
      <c r="E56" s="186"/>
    </row>
    <row r="57" spans="2:5">
      <c r="B57" s="38"/>
      <c r="C57" s="167"/>
      <c r="D57" s="36"/>
      <c r="E57" s="186"/>
    </row>
    <row r="58" spans="2:5">
      <c r="B58" s="38"/>
      <c r="C58" s="167"/>
      <c r="D58" s="36"/>
      <c r="E58" s="186"/>
    </row>
    <row r="59" spans="2:5">
      <c r="B59" s="38"/>
      <c r="C59" s="167"/>
      <c r="D59" s="36"/>
      <c r="E59" s="186"/>
    </row>
    <row r="60" spans="2:5">
      <c r="B60" s="38"/>
      <c r="C60" s="167"/>
      <c r="D60" s="36"/>
      <c r="E60" s="186"/>
    </row>
    <row r="61" spans="2:5">
      <c r="B61" s="38"/>
      <c r="C61" s="167"/>
      <c r="D61" s="36"/>
      <c r="E61" s="186"/>
    </row>
    <row r="62" spans="2:5">
      <c r="B62" s="38"/>
      <c r="C62" s="167"/>
      <c r="D62" s="36"/>
      <c r="E62" s="186"/>
    </row>
    <row r="63" spans="2:5">
      <c r="B63" s="38"/>
      <c r="C63" s="167"/>
      <c r="D63" s="36"/>
      <c r="E63" s="186"/>
    </row>
    <row r="64" spans="2:5">
      <c r="B64" s="38"/>
      <c r="C64" s="167"/>
      <c r="D64" s="36"/>
      <c r="E64" s="186"/>
    </row>
    <row r="65" spans="2:5">
      <c r="B65" s="38"/>
      <c r="C65" s="167"/>
      <c r="D65" s="36"/>
      <c r="E65" s="186"/>
    </row>
    <row r="66" spans="2:5">
      <c r="B66" s="38"/>
      <c r="C66" s="167"/>
      <c r="D66" s="36"/>
      <c r="E66" s="186"/>
    </row>
    <row r="67" spans="2:5">
      <c r="B67" s="38"/>
      <c r="C67" s="167"/>
      <c r="D67" s="36"/>
      <c r="E67" s="186"/>
    </row>
    <row r="68" spans="2:5">
      <c r="B68" s="38"/>
      <c r="C68" s="167"/>
      <c r="D68" s="36"/>
      <c r="E68" s="186"/>
    </row>
    <row r="69" spans="2:5">
      <c r="B69" s="38"/>
      <c r="C69" s="167"/>
      <c r="D69" s="36"/>
      <c r="E69" s="186"/>
    </row>
    <row r="70" spans="2:5">
      <c r="B70" s="38"/>
      <c r="C70" s="167"/>
      <c r="D70" s="36"/>
      <c r="E70" s="186"/>
    </row>
    <row r="71" spans="2:5">
      <c r="B71" s="38"/>
      <c r="C71" s="167"/>
      <c r="D71" s="36"/>
      <c r="E71" s="186"/>
    </row>
    <row r="72" spans="2:5">
      <c r="B72" s="38"/>
      <c r="C72" s="167"/>
      <c r="D72" s="36"/>
      <c r="E72" s="186"/>
    </row>
    <row r="73" spans="2:5">
      <c r="B73" s="38"/>
      <c r="C73" s="167"/>
      <c r="D73" s="36"/>
      <c r="E73" s="186"/>
    </row>
    <row r="74" spans="2:5">
      <c r="B74" s="38"/>
      <c r="C74" s="167"/>
      <c r="D74" s="36"/>
      <c r="E74" s="186"/>
    </row>
    <row r="75" spans="2:5">
      <c r="B75" s="38"/>
      <c r="C75" s="167"/>
      <c r="D75" s="36"/>
      <c r="E75" s="186"/>
    </row>
    <row r="76" spans="2:5">
      <c r="B76" s="38"/>
      <c r="C76" s="167"/>
      <c r="D76" s="36"/>
      <c r="E76" s="186"/>
    </row>
    <row r="77" spans="2:5">
      <c r="B77" s="38"/>
      <c r="C77" s="167"/>
      <c r="D77" s="36"/>
      <c r="E77" s="186"/>
    </row>
    <row r="78" spans="2:5">
      <c r="B78" s="38"/>
      <c r="C78" s="167"/>
      <c r="D78" s="36"/>
      <c r="E78" s="186"/>
    </row>
    <row r="79" spans="2:5">
      <c r="B79" s="38"/>
      <c r="C79" s="167"/>
      <c r="D79" s="36"/>
      <c r="E79" s="186"/>
    </row>
    <row r="80" spans="2:5">
      <c r="B80" s="38"/>
      <c r="C80" s="167"/>
      <c r="D80" s="36"/>
      <c r="E80" s="186"/>
    </row>
    <row r="81" spans="2:5">
      <c r="B81" s="38"/>
      <c r="C81" s="167"/>
      <c r="D81" s="36"/>
      <c r="E81" s="186"/>
    </row>
    <row r="82" spans="2:5">
      <c r="B82" s="38"/>
      <c r="C82" s="167"/>
      <c r="D82" s="36"/>
      <c r="E82" s="186"/>
    </row>
    <row r="83" spans="2:5">
      <c r="B83" s="38"/>
      <c r="C83" s="167"/>
      <c r="D83" s="36"/>
      <c r="E83" s="186"/>
    </row>
    <row r="84" spans="2:5">
      <c r="B84" s="38"/>
      <c r="C84" s="167"/>
      <c r="D84" s="36"/>
      <c r="E84" s="186"/>
    </row>
    <row r="85" spans="2:5">
      <c r="B85" s="38"/>
      <c r="C85" s="167"/>
      <c r="D85" s="36"/>
      <c r="E85" s="186"/>
    </row>
    <row r="86" spans="2:5">
      <c r="B86" s="38"/>
      <c r="C86" s="167"/>
      <c r="D86" s="36"/>
      <c r="E86" s="186"/>
    </row>
    <row r="87" spans="2:5">
      <c r="B87" s="38"/>
      <c r="C87" s="167"/>
      <c r="D87" s="36"/>
      <c r="E87" s="186"/>
    </row>
    <row r="88" spans="2:5">
      <c r="B88" s="38"/>
      <c r="C88" s="167"/>
      <c r="D88" s="36"/>
      <c r="E88" s="186"/>
    </row>
    <row r="89" spans="2:5">
      <c r="B89" s="38"/>
      <c r="C89" s="167"/>
      <c r="D89" s="36"/>
      <c r="E89" s="186"/>
    </row>
    <row r="90" spans="2:5">
      <c r="B90" s="38"/>
      <c r="C90" s="167"/>
      <c r="D90" s="36"/>
      <c r="E90" s="186"/>
    </row>
    <row r="91" spans="2:5">
      <c r="B91" s="38"/>
      <c r="C91" s="167"/>
      <c r="D91" s="36"/>
      <c r="E91" s="186"/>
    </row>
    <row r="92" spans="2:5">
      <c r="B92" s="38"/>
      <c r="C92" s="167"/>
      <c r="D92" s="36"/>
      <c r="E92" s="186"/>
    </row>
    <row r="93" spans="2:5">
      <c r="B93" s="38"/>
      <c r="C93" s="167"/>
      <c r="D93" s="36"/>
      <c r="E93" s="186"/>
    </row>
    <row r="94" spans="2:5">
      <c r="B94" s="38"/>
      <c r="C94" s="167"/>
      <c r="D94" s="36"/>
      <c r="E94" s="186"/>
    </row>
    <row r="95" spans="2:5">
      <c r="B95" s="38"/>
      <c r="C95" s="167"/>
      <c r="D95" s="36"/>
      <c r="E95" s="186"/>
    </row>
    <row r="96" spans="2:5">
      <c r="B96" s="38"/>
      <c r="C96" s="167"/>
      <c r="D96" s="36"/>
      <c r="E96" s="186"/>
    </row>
    <row r="97" spans="2:5">
      <c r="B97" s="38"/>
      <c r="C97" s="167"/>
      <c r="D97" s="36"/>
      <c r="E97" s="186"/>
    </row>
    <row r="98" spans="2:5">
      <c r="B98" s="38"/>
      <c r="C98" s="167"/>
      <c r="D98" s="36"/>
      <c r="E98" s="186"/>
    </row>
    <row r="99" spans="2:5">
      <c r="B99" s="38"/>
      <c r="C99" s="167"/>
      <c r="D99" s="36"/>
      <c r="E99" s="186"/>
    </row>
    <row r="100" spans="2:5">
      <c r="B100" s="38"/>
      <c r="C100" s="167"/>
      <c r="D100" s="36"/>
      <c r="E100" s="186"/>
    </row>
    <row r="101" spans="2:5">
      <c r="B101" s="38"/>
      <c r="C101" s="167"/>
      <c r="D101" s="36"/>
      <c r="E101" s="186"/>
    </row>
    <row r="102" spans="2:5">
      <c r="B102" s="38"/>
      <c r="C102" s="167"/>
      <c r="D102" s="36"/>
      <c r="E102" s="186"/>
    </row>
    <row r="103" spans="2:5">
      <c r="B103" s="38"/>
      <c r="C103" s="167"/>
      <c r="D103" s="36"/>
      <c r="E103" s="186"/>
    </row>
    <row r="104" spans="2:5">
      <c r="B104" s="38"/>
      <c r="C104" s="167"/>
      <c r="D104" s="36"/>
      <c r="E104" s="186"/>
    </row>
    <row r="105" spans="2:5">
      <c r="B105" s="38"/>
      <c r="C105" s="167"/>
      <c r="D105" s="36"/>
      <c r="E105" s="186"/>
    </row>
    <row r="106" spans="2:5">
      <c r="B106" s="38"/>
      <c r="C106" s="167"/>
      <c r="D106" s="36"/>
      <c r="E106" s="186"/>
    </row>
    <row r="107" spans="2:5">
      <c r="B107" s="38"/>
      <c r="C107" s="167"/>
      <c r="D107" s="36"/>
      <c r="E107" s="186"/>
    </row>
    <row r="108" spans="2:5">
      <c r="B108" s="38"/>
      <c r="C108" s="167"/>
      <c r="D108" s="36"/>
      <c r="E108" s="186"/>
    </row>
    <row r="109" spans="2:5">
      <c r="B109" s="38"/>
      <c r="C109" s="167"/>
      <c r="D109" s="36"/>
      <c r="E109" s="186"/>
    </row>
    <row r="110" spans="2:5">
      <c r="B110" s="38"/>
      <c r="C110" s="38"/>
      <c r="D110" s="36"/>
      <c r="E110" s="186"/>
    </row>
    <row r="111" spans="2:5">
      <c r="B111" s="38"/>
      <c r="C111" s="38"/>
      <c r="D111" s="36"/>
      <c r="E111" s="186"/>
    </row>
    <row r="112" spans="2:5">
      <c r="B112" s="38"/>
      <c r="C112" s="38"/>
      <c r="D112" s="36"/>
      <c r="E112" s="186"/>
    </row>
    <row r="113" spans="2:5">
      <c r="B113" s="38"/>
      <c r="C113" s="38"/>
      <c r="D113" s="36"/>
      <c r="E113" s="186"/>
    </row>
    <row r="114" spans="2:5">
      <c r="B114" s="38"/>
      <c r="C114" s="38"/>
      <c r="D114" s="36"/>
      <c r="E114" s="186"/>
    </row>
    <row r="115" spans="2:5">
      <c r="B115" s="38"/>
      <c r="C115" s="38"/>
      <c r="D115" s="36"/>
      <c r="E115" s="186"/>
    </row>
    <row r="116" spans="2:5">
      <c r="B116" s="38"/>
      <c r="C116" s="38"/>
      <c r="D116" s="36"/>
      <c r="E116" s="186"/>
    </row>
    <row r="117" spans="2:5">
      <c r="B117" s="38"/>
      <c r="C117" s="38"/>
      <c r="D117" s="36"/>
      <c r="E117" s="186"/>
    </row>
    <row r="118" spans="2:5">
      <c r="B118" s="38"/>
      <c r="C118" s="38"/>
      <c r="D118" s="36"/>
      <c r="E118" s="186"/>
    </row>
    <row r="119" spans="2:5">
      <c r="B119" s="38"/>
      <c r="C119" s="38"/>
      <c r="D119" s="36"/>
      <c r="E119" s="186"/>
    </row>
    <row r="120" spans="2:5">
      <c r="B120" s="38"/>
      <c r="C120" s="38"/>
      <c r="D120" s="36"/>
      <c r="E120" s="186"/>
    </row>
    <row r="121" spans="2:5">
      <c r="B121" s="38"/>
      <c r="C121" s="38"/>
      <c r="D121" s="36"/>
      <c r="E121" s="186"/>
    </row>
    <row r="122" spans="2:5">
      <c r="B122" s="38"/>
      <c r="C122" s="38"/>
      <c r="D122" s="36"/>
      <c r="E122" s="186"/>
    </row>
    <row r="123" spans="2:5">
      <c r="B123" s="38"/>
      <c r="C123" s="38"/>
      <c r="D123" s="36"/>
      <c r="E123" s="186"/>
    </row>
    <row r="124" spans="2:5">
      <c r="B124" s="38"/>
      <c r="C124" s="38"/>
      <c r="D124" s="36"/>
      <c r="E124" s="186"/>
    </row>
    <row r="125" spans="2:5">
      <c r="B125" s="38"/>
      <c r="C125" s="38"/>
      <c r="D125" s="36"/>
      <c r="E125" s="186"/>
    </row>
    <row r="126" spans="2:5">
      <c r="B126" s="38"/>
      <c r="C126" s="38"/>
      <c r="D126" s="36"/>
      <c r="E126" s="186"/>
    </row>
    <row r="127" spans="2:5">
      <c r="B127" s="38"/>
      <c r="C127" s="38"/>
      <c r="D127" s="36"/>
      <c r="E127" s="186"/>
    </row>
    <row r="128" spans="2:5">
      <c r="B128" s="38"/>
      <c r="C128" s="38"/>
      <c r="D128" s="36"/>
      <c r="E128" s="186"/>
    </row>
    <row r="129" spans="2:5">
      <c r="B129" s="38"/>
      <c r="C129" s="38"/>
      <c r="D129" s="36"/>
      <c r="E129" s="186"/>
    </row>
    <row r="130" spans="2:5">
      <c r="B130" s="38"/>
      <c r="C130" s="38"/>
      <c r="D130" s="36"/>
      <c r="E130" s="186"/>
    </row>
    <row r="131" spans="2:5">
      <c r="B131" s="38"/>
      <c r="C131" s="38"/>
      <c r="D131" s="36"/>
      <c r="E131" s="186"/>
    </row>
    <row r="132" spans="2:5">
      <c r="B132" s="38"/>
      <c r="C132" s="38"/>
      <c r="D132" s="36"/>
      <c r="E132" s="186"/>
    </row>
    <row r="133" spans="2:5">
      <c r="B133" s="38"/>
      <c r="C133" s="38"/>
      <c r="D133" s="36"/>
      <c r="E133" s="186"/>
    </row>
    <row r="134" spans="2:5">
      <c r="B134" s="38"/>
      <c r="C134" s="38"/>
      <c r="D134" s="36"/>
      <c r="E134" s="186"/>
    </row>
    <row r="135" spans="2:5">
      <c r="B135" s="38"/>
      <c r="C135" s="38"/>
      <c r="D135" s="36"/>
      <c r="E135" s="186"/>
    </row>
    <row r="136" spans="2:5">
      <c r="B136" s="38"/>
      <c r="C136" s="38"/>
      <c r="D136" s="36"/>
      <c r="E136" s="186"/>
    </row>
  </sheetData>
  <autoFilter ref="B4:E123" xr:uid="{00000000-0009-0000-0000-000002000000}"/>
  <mergeCells count="10">
    <mergeCell ref="K31:K33"/>
    <mergeCell ref="K28:K30"/>
    <mergeCell ref="K24:K27"/>
    <mergeCell ref="B1:E1"/>
    <mergeCell ref="B3:E3"/>
    <mergeCell ref="G3:M3"/>
    <mergeCell ref="I11:K12"/>
    <mergeCell ref="L11:M12"/>
    <mergeCell ref="G23:L23"/>
    <mergeCell ref="H1:I1"/>
  </mergeCells>
  <conditionalFormatting sqref="H14">
    <cfRule type="containsText" dxfId="154" priority="27" operator="containsText" text="Yes">
      <formula>NOT(ISERROR(SEARCH("Yes",H14)))</formula>
    </cfRule>
    <cfRule type="containsText" dxfId="153" priority="28" operator="containsText" text="No">
      <formula>NOT(ISERROR(SEARCH("No",H14)))</formula>
    </cfRule>
  </conditionalFormatting>
  <conditionalFormatting sqref="F20 F25:F26 F29 F32:F1048576">
    <cfRule type="cellIs" dxfId="152" priority="23" operator="equal">
      <formula>"NA"</formula>
    </cfRule>
    <cfRule type="cellIs" dxfId="151" priority="24" operator="equal">
      <formula>"High"</formula>
    </cfRule>
    <cfRule type="cellIs" dxfId="150" priority="25" operator="equal">
      <formula>"Medium"</formula>
    </cfRule>
    <cfRule type="cellIs" dxfId="149" priority="26" operator="equal">
      <formula>"Low"</formula>
    </cfRule>
  </conditionalFormatting>
  <conditionalFormatting sqref="D1:D1048576">
    <cfRule type="cellIs" dxfId="148" priority="6" operator="equal">
      <formula>"Advanced"</formula>
    </cfRule>
    <cfRule type="cellIs" dxfId="147" priority="7" operator="equal">
      <formula>"High"</formula>
    </cfRule>
    <cfRule type="cellIs" dxfId="146" priority="8" operator="equal">
      <formula>"Medium"</formula>
    </cfRule>
    <cfRule type="cellIs" dxfId="145" priority="9" operator="equal">
      <formula>"Low"</formula>
    </cfRule>
    <cfRule type="cellIs" dxfId="144" priority="10" operator="equal">
      <formula>"Minor"</formula>
    </cfRule>
  </conditionalFormatting>
  <dataValidations count="5">
    <dataValidation type="list" allowBlank="1" showInputMessage="1" showErrorMessage="1" sqref="H14" xr:uid="{00000000-0002-0000-0200-000000000000}">
      <formula1>compute_YesNo</formula1>
    </dataValidation>
    <dataValidation type="list" allowBlank="1" showInputMessage="1" showErrorMessage="1" sqref="L31 H29:H30 H32:H33 H25:H27 L28 L24" xr:uid="{00000000-0002-0000-0200-000001000000}">
      <formula1>compute_Boolean</formula1>
    </dataValidation>
    <dataValidation type="list" allowBlank="1" showInputMessage="1" showErrorMessage="1" sqref="B5:B136" xr:uid="{00000000-0002-0000-0200-000002000000}">
      <formula1>definition_SPA</formula1>
    </dataValidation>
    <dataValidation type="list" allowBlank="1" showInputMessage="1" showErrorMessage="1" sqref="D5:D136" xr:uid="{00000000-0002-0000-0200-000003000000}">
      <formula1>definition_Complexity</formula1>
    </dataValidation>
    <dataValidation type="list" allowBlank="1" showInputMessage="1" showErrorMessage="1" sqref="E5:E136" xr:uid="{00000000-0002-0000-0200-000004000000}">
      <formula1>definition_Module</formula1>
    </dataValidation>
  </dataValidations>
  <pageMargins left="0.7" right="0.7" top="0.75" bottom="0.75" header="0.3" footer="0.3"/>
  <pageSetup orientation="portrait" horizontalDpi="4294967292" verticalDpi="4294967292" r:id="rId1"/>
  <legacyDrawing r:id="rId2"/>
  <extLst>
    <ext xmlns:x14="http://schemas.microsoft.com/office/spreadsheetml/2009/9/main" uri="{78C0D931-6437-407d-A8EE-F0AAD7539E65}">
      <x14:conditionalFormattings>
        <x14:conditionalFormatting xmlns:xm="http://schemas.microsoft.com/office/excel/2006/main">
          <x14:cfRule type="iconSet" priority="16" id="{2F1DD73C-4BD8-443A-8ABC-1F0209B00301}">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H25</xm:sqref>
        </x14:conditionalFormatting>
        <x14:conditionalFormatting xmlns:xm="http://schemas.microsoft.com/office/excel/2006/main">
          <x14:cfRule type="iconSet" priority="15" id="{35821ED9-D9F5-47B0-AA32-59781D8DF4AF}">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H26</xm:sqref>
        </x14:conditionalFormatting>
        <x14:conditionalFormatting xmlns:xm="http://schemas.microsoft.com/office/excel/2006/main">
          <x14:cfRule type="iconSet" priority="14" id="{62DB1CF2-7ADF-49B1-BB15-5301133588B0}">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H27</xm:sqref>
        </x14:conditionalFormatting>
        <x14:conditionalFormatting xmlns:xm="http://schemas.microsoft.com/office/excel/2006/main">
          <x14:cfRule type="iconSet" priority="13" id="{BA2A13A5-17D5-4961-B3A3-3A46704A3C50}">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L24</xm:sqref>
        </x14:conditionalFormatting>
        <x14:conditionalFormatting xmlns:xm="http://schemas.microsoft.com/office/excel/2006/main">
          <x14:cfRule type="iconSet" priority="12" id="{9B60BBA3-FC82-4EA2-B93E-C63B09531D10}">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L31</xm:sqref>
        </x14:conditionalFormatting>
        <x14:conditionalFormatting xmlns:xm="http://schemas.microsoft.com/office/excel/2006/main">
          <x14:cfRule type="iconSet" priority="11" id="{E7A21C8A-C4BF-418C-92C1-D278A0F3A1ED}">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L28</xm:sqref>
        </x14:conditionalFormatting>
        <x14:conditionalFormatting xmlns:xm="http://schemas.microsoft.com/office/excel/2006/main">
          <x14:cfRule type="iconSet" priority="17" id="{D2345252-7D87-474F-A968-D74DFDC7AB6B}">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H32:H33</xm:sqref>
        </x14:conditionalFormatting>
        <x14:conditionalFormatting xmlns:xm="http://schemas.microsoft.com/office/excel/2006/main">
          <x14:cfRule type="iconSet" priority="18" id="{1C42097A-9720-4DFD-9E04-73734D1156EE}">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H29:H30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theme="4" tint="0.39997558519241921"/>
  </sheetPr>
  <dimension ref="A1:S34"/>
  <sheetViews>
    <sheetView workbookViewId="0">
      <selection activeCell="C14" sqref="C14"/>
    </sheetView>
  </sheetViews>
  <sheetFormatPr defaultColWidth="8.88671875" defaultRowHeight="13.8"/>
  <cols>
    <col min="1" max="1" width="4.44140625" style="2" customWidth="1"/>
    <col min="2" max="2" width="25.88671875" style="2" customWidth="1"/>
    <col min="3" max="3" width="35.109375" style="5" customWidth="1"/>
    <col min="4" max="4" width="12.109375" style="5" bestFit="1" customWidth="1"/>
    <col min="5" max="5" width="15.33203125" style="5" customWidth="1"/>
    <col min="6" max="6" width="9.88671875" style="5" customWidth="1"/>
    <col min="7" max="7" width="22.44140625" style="3" bestFit="1" customWidth="1"/>
    <col min="8" max="8" width="8.44140625" style="3" customWidth="1"/>
    <col min="9" max="9" width="7.44140625" style="2" customWidth="1"/>
    <col min="10" max="10" width="7.44140625" style="2" bestFit="1" customWidth="1"/>
    <col min="11" max="12" width="7.88671875" style="2" customWidth="1"/>
    <col min="13" max="13" width="9.109375" style="2" customWidth="1"/>
    <col min="14" max="16384" width="8.88671875" style="2"/>
  </cols>
  <sheetData>
    <row r="1" spans="2:19" s="35" customFormat="1" ht="47.25" customHeight="1">
      <c r="B1" s="320" t="s">
        <v>147</v>
      </c>
      <c r="C1" s="320"/>
      <c r="D1" s="320"/>
      <c r="E1" s="320"/>
      <c r="F1" s="320"/>
      <c r="G1" s="119" t="s">
        <v>159</v>
      </c>
      <c r="H1" s="336">
        <f>effort_Hybrid</f>
        <v>80</v>
      </c>
      <c r="I1" s="337"/>
      <c r="J1" s="108"/>
      <c r="K1" s="108"/>
      <c r="L1" s="108"/>
      <c r="M1" s="108"/>
    </row>
    <row r="2" spans="2:19">
      <c r="C2" s="2"/>
      <c r="E2" s="2"/>
      <c r="G2" s="5"/>
      <c r="H2" s="5"/>
      <c r="I2" s="3"/>
    </row>
    <row r="3" spans="2:19">
      <c r="B3" s="338" t="s">
        <v>412</v>
      </c>
      <c r="C3" s="339"/>
      <c r="D3" s="339"/>
      <c r="E3" s="340"/>
      <c r="G3" s="111" t="s">
        <v>146</v>
      </c>
      <c r="H3" s="75" t="s">
        <v>11</v>
      </c>
      <c r="I3" s="76" t="s">
        <v>2</v>
      </c>
      <c r="J3" s="112" t="s">
        <v>37</v>
      </c>
    </row>
    <row r="4" spans="2:19">
      <c r="B4" s="122" t="s">
        <v>60</v>
      </c>
      <c r="C4" s="81" t="s">
        <v>61</v>
      </c>
      <c r="D4" s="122" t="s">
        <v>6</v>
      </c>
      <c r="E4" s="81" t="s">
        <v>264</v>
      </c>
      <c r="G4" s="168" t="s">
        <v>145</v>
      </c>
      <c r="H4" s="71">
        <v>1</v>
      </c>
      <c r="I4" s="43">
        <v>4</v>
      </c>
      <c r="J4" s="51">
        <f>Definition!X15</f>
        <v>48</v>
      </c>
      <c r="L4" s="95"/>
    </row>
    <row r="5" spans="2:19">
      <c r="B5" s="41"/>
      <c r="C5" s="38"/>
      <c r="D5" s="36"/>
      <c r="E5" s="186"/>
      <c r="G5" s="168" t="s">
        <v>144</v>
      </c>
      <c r="H5" s="71">
        <v>1</v>
      </c>
      <c r="I5" s="43">
        <v>4</v>
      </c>
      <c r="J5" s="51">
        <f>Definition!X16</f>
        <v>32</v>
      </c>
      <c r="L5" s="95"/>
    </row>
    <row r="6" spans="2:19">
      <c r="B6" s="41"/>
      <c r="C6" s="38"/>
      <c r="D6" s="36"/>
      <c r="E6" s="186"/>
      <c r="G6" s="357" t="s">
        <v>109</v>
      </c>
      <c r="H6" s="358"/>
      <c r="I6" s="359"/>
      <c r="J6" s="51">
        <f>Definition!X17</f>
        <v>0</v>
      </c>
      <c r="L6" s="95"/>
      <c r="Q6" s="73"/>
      <c r="R6" s="73"/>
      <c r="S6" s="73"/>
    </row>
    <row r="7" spans="2:19" ht="12.75" customHeight="1">
      <c r="B7" s="41"/>
      <c r="C7" s="38"/>
      <c r="D7" s="36"/>
      <c r="E7" s="186"/>
      <c r="G7" s="184" t="s">
        <v>114</v>
      </c>
      <c r="H7" s="185"/>
      <c r="I7" s="185"/>
      <c r="J7" s="110">
        <f>effort_Hybrid</f>
        <v>80</v>
      </c>
      <c r="L7" s="95"/>
      <c r="N7" s="169"/>
      <c r="O7" s="169"/>
      <c r="Q7" s="73"/>
      <c r="R7" s="73"/>
      <c r="S7" s="73"/>
    </row>
    <row r="8" spans="2:19">
      <c r="B8" s="41"/>
      <c r="C8" s="38"/>
      <c r="D8" s="36"/>
      <c r="E8" s="186"/>
      <c r="N8" s="169"/>
      <c r="O8" s="169"/>
      <c r="P8" s="169"/>
      <c r="Q8" s="169"/>
      <c r="R8" s="169"/>
      <c r="S8" s="73"/>
    </row>
    <row r="9" spans="2:19">
      <c r="B9" s="41"/>
      <c r="C9" s="38"/>
      <c r="D9" s="36"/>
      <c r="E9" s="186"/>
      <c r="G9" s="323" t="s">
        <v>26</v>
      </c>
      <c r="H9" s="324"/>
      <c r="I9" s="324"/>
      <c r="J9" s="324"/>
      <c r="K9" s="324"/>
      <c r="L9" s="324"/>
      <c r="M9" s="325"/>
      <c r="N9" s="169"/>
      <c r="O9" s="169"/>
      <c r="P9" s="169"/>
      <c r="Q9" s="169"/>
      <c r="R9" s="169"/>
      <c r="S9" s="73"/>
    </row>
    <row r="10" spans="2:19">
      <c r="B10" s="41"/>
      <c r="C10" s="38"/>
      <c r="D10" s="36"/>
      <c r="E10" s="186"/>
      <c r="G10" s="124" t="s">
        <v>1</v>
      </c>
      <c r="H10" s="131" t="s">
        <v>257</v>
      </c>
      <c r="I10" s="131" t="s">
        <v>22</v>
      </c>
      <c r="J10" s="131" t="s">
        <v>0</v>
      </c>
      <c r="K10" s="131" t="s">
        <v>21</v>
      </c>
      <c r="L10" s="131" t="s">
        <v>258</v>
      </c>
      <c r="M10" s="136" t="s">
        <v>2</v>
      </c>
      <c r="N10" s="169"/>
      <c r="O10" s="169"/>
      <c r="P10" s="169"/>
      <c r="Q10" s="169"/>
      <c r="R10" s="169"/>
      <c r="S10" s="73"/>
    </row>
    <row r="11" spans="2:19">
      <c r="B11" s="41"/>
      <c r="C11" s="69"/>
      <c r="D11" s="36"/>
      <c r="E11" s="186"/>
      <c r="F11" s="3"/>
      <c r="G11" s="42" t="s">
        <v>84</v>
      </c>
      <c r="H11" s="37">
        <f>Definition!K16</f>
        <v>0</v>
      </c>
      <c r="I11" s="37">
        <f>Definition!L16</f>
        <v>0</v>
      </c>
      <c r="J11" s="37">
        <f>Definition!M16</f>
        <v>0</v>
      </c>
      <c r="K11" s="37">
        <f>Definition!N16</f>
        <v>0</v>
      </c>
      <c r="L11" s="37">
        <f>Definition!O16</f>
        <v>0</v>
      </c>
      <c r="M11" s="37">
        <f>SUM(H11:L11)</f>
        <v>0</v>
      </c>
      <c r="N11" s="169"/>
      <c r="P11" s="169"/>
      <c r="Q11" s="169"/>
      <c r="R11" s="169"/>
      <c r="S11" s="73"/>
    </row>
    <row r="12" spans="2:19">
      <c r="B12" s="41"/>
      <c r="C12" s="69"/>
      <c r="D12" s="36"/>
      <c r="E12" s="186"/>
      <c r="F12" s="3"/>
      <c r="G12" s="42" t="s">
        <v>85</v>
      </c>
      <c r="H12" s="37">
        <f>Definition!K17</f>
        <v>0</v>
      </c>
      <c r="I12" s="37">
        <f>Definition!L17</f>
        <v>0</v>
      </c>
      <c r="J12" s="37">
        <f>Definition!M17</f>
        <v>0</v>
      </c>
      <c r="K12" s="37">
        <f>Definition!N17</f>
        <v>0</v>
      </c>
      <c r="L12" s="37">
        <f>Definition!O17</f>
        <v>0</v>
      </c>
      <c r="M12" s="37">
        <f t="shared" ref="M12:M13" si="0">SUM(H12:L12)</f>
        <v>0</v>
      </c>
      <c r="N12" s="169"/>
      <c r="P12" s="169"/>
      <c r="Q12" s="169"/>
      <c r="S12" s="73"/>
    </row>
    <row r="13" spans="2:19">
      <c r="B13" s="41"/>
      <c r="C13" s="69"/>
      <c r="D13" s="36"/>
      <c r="E13" s="186"/>
      <c r="F13" s="3"/>
      <c r="G13" s="42" t="s">
        <v>86</v>
      </c>
      <c r="H13" s="37">
        <f>Definition!K18</f>
        <v>0</v>
      </c>
      <c r="I13" s="37">
        <f>Definition!L18</f>
        <v>0</v>
      </c>
      <c r="J13" s="37">
        <f>Definition!M18</f>
        <v>0</v>
      </c>
      <c r="K13" s="37">
        <f>Definition!N18</f>
        <v>0</v>
      </c>
      <c r="L13" s="37">
        <f>Definition!O18</f>
        <v>0</v>
      </c>
      <c r="M13" s="37">
        <f t="shared" si="0"/>
        <v>0</v>
      </c>
      <c r="N13" s="169"/>
      <c r="P13" s="169"/>
      <c r="Q13" s="169"/>
      <c r="S13" s="73"/>
    </row>
    <row r="14" spans="2:19">
      <c r="B14" s="41"/>
      <c r="C14" s="69"/>
      <c r="D14" s="36"/>
      <c r="E14" s="186"/>
      <c r="F14" s="3"/>
      <c r="N14" s="169"/>
      <c r="O14" s="169"/>
      <c r="P14" s="169"/>
      <c r="Q14" s="169"/>
      <c r="S14" s="73"/>
    </row>
    <row r="15" spans="2:19">
      <c r="B15" s="41"/>
      <c r="C15" s="69"/>
      <c r="D15" s="36"/>
      <c r="E15" s="186"/>
      <c r="F15" s="3"/>
      <c r="G15" s="130" t="s">
        <v>48</v>
      </c>
      <c r="H15" s="47" t="s">
        <v>33</v>
      </c>
      <c r="N15" s="169"/>
      <c r="O15" s="169"/>
      <c r="P15" s="169"/>
      <c r="Q15" s="169"/>
      <c r="R15" s="169"/>
      <c r="S15" s="73"/>
    </row>
    <row r="16" spans="2:19">
      <c r="B16" s="41"/>
      <c r="C16" s="69"/>
      <c r="D16" s="36"/>
      <c r="E16" s="186"/>
      <c r="F16" s="3"/>
      <c r="G16" s="124" t="s">
        <v>1</v>
      </c>
      <c r="H16" s="131" t="s">
        <v>257</v>
      </c>
      <c r="I16" s="131" t="s">
        <v>22</v>
      </c>
      <c r="J16" s="131" t="s">
        <v>0</v>
      </c>
      <c r="K16" s="131" t="s">
        <v>21</v>
      </c>
      <c r="L16" s="131" t="s">
        <v>258</v>
      </c>
      <c r="M16" s="131" t="s">
        <v>27</v>
      </c>
      <c r="N16" s="169"/>
      <c r="O16" s="169"/>
      <c r="P16" s="169"/>
      <c r="Q16" s="169"/>
      <c r="R16" s="169"/>
      <c r="S16" s="73"/>
    </row>
    <row r="17" spans="1:19" ht="12.75" customHeight="1">
      <c r="B17" s="41"/>
      <c r="C17" s="69"/>
      <c r="D17" s="36"/>
      <c r="E17" s="186"/>
      <c r="F17" s="3"/>
      <c r="G17" s="42" t="s">
        <v>84</v>
      </c>
      <c r="H17" s="68">
        <v>1</v>
      </c>
      <c r="I17" s="68">
        <v>1</v>
      </c>
      <c r="J17" s="68">
        <v>1</v>
      </c>
      <c r="K17" s="68">
        <v>1</v>
      </c>
      <c r="L17" s="68">
        <v>1</v>
      </c>
      <c r="M17" s="37">
        <f>SUM(H17:L17)</f>
        <v>5</v>
      </c>
      <c r="N17" s="169"/>
      <c r="O17" s="169"/>
      <c r="P17" s="169"/>
      <c r="Q17" s="169"/>
      <c r="R17" s="169"/>
      <c r="S17" s="73"/>
    </row>
    <row r="18" spans="1:19">
      <c r="B18" s="41"/>
      <c r="C18" s="69"/>
      <c r="D18" s="36"/>
      <c r="E18" s="186"/>
      <c r="F18" s="3"/>
      <c r="G18" s="42" t="s">
        <v>85</v>
      </c>
      <c r="H18" s="68">
        <v>1</v>
      </c>
      <c r="I18" s="68">
        <v>1</v>
      </c>
      <c r="J18" s="68">
        <v>1</v>
      </c>
      <c r="K18" s="68">
        <v>1</v>
      </c>
      <c r="L18" s="68">
        <v>1</v>
      </c>
      <c r="M18" s="37">
        <f t="shared" ref="M18:M19" si="1">SUM(H18:L18)</f>
        <v>5</v>
      </c>
      <c r="N18" s="169"/>
      <c r="O18" s="169"/>
      <c r="P18" s="169"/>
      <c r="Q18" s="169"/>
      <c r="R18" s="169"/>
      <c r="S18" s="73"/>
    </row>
    <row r="19" spans="1:19">
      <c r="B19" s="41"/>
      <c r="C19" s="69"/>
      <c r="D19" s="36"/>
      <c r="E19" s="186"/>
      <c r="F19" s="3"/>
      <c r="G19" s="42" t="s">
        <v>86</v>
      </c>
      <c r="H19" s="68">
        <v>1</v>
      </c>
      <c r="I19" s="68">
        <v>1</v>
      </c>
      <c r="J19" s="68">
        <v>1</v>
      </c>
      <c r="K19" s="68">
        <v>1</v>
      </c>
      <c r="L19" s="68">
        <v>1</v>
      </c>
      <c r="M19" s="37">
        <f t="shared" si="1"/>
        <v>5</v>
      </c>
      <c r="N19" s="169"/>
      <c r="O19" s="169"/>
      <c r="P19" s="169"/>
      <c r="Q19" s="169"/>
      <c r="R19" s="169"/>
      <c r="S19" s="73"/>
    </row>
    <row r="20" spans="1:19">
      <c r="B20" s="41"/>
      <c r="C20" s="69"/>
      <c r="D20" s="36"/>
      <c r="E20" s="186"/>
      <c r="F20" s="3"/>
      <c r="H20" s="170"/>
      <c r="I20" s="169"/>
      <c r="J20" s="169"/>
      <c r="K20" s="169"/>
      <c r="L20" s="169"/>
      <c r="M20" s="169"/>
      <c r="N20" s="169"/>
      <c r="P20" s="169"/>
      <c r="Q20" s="169"/>
      <c r="R20" s="169"/>
      <c r="S20" s="73"/>
    </row>
    <row r="21" spans="1:19">
      <c r="F21" s="3"/>
      <c r="H21" s="170"/>
      <c r="I21" s="169"/>
      <c r="J21" s="169"/>
      <c r="K21" s="169"/>
      <c r="L21" s="169"/>
      <c r="M21" s="169"/>
      <c r="N21" s="169"/>
      <c r="Q21" s="73"/>
      <c r="R21" s="73"/>
      <c r="S21" s="73"/>
    </row>
    <row r="22" spans="1:19">
      <c r="F22" s="3"/>
      <c r="H22" s="170"/>
      <c r="I22" s="169"/>
      <c r="J22" s="169"/>
      <c r="K22" s="169"/>
      <c r="L22" s="169"/>
      <c r="M22" s="169"/>
      <c r="N22" s="169"/>
      <c r="Q22" s="73"/>
      <c r="R22" s="73"/>
      <c r="S22" s="73"/>
    </row>
    <row r="23" spans="1:19">
      <c r="F23" s="3"/>
      <c r="H23" s="170"/>
      <c r="I23" s="169"/>
      <c r="J23" s="169"/>
      <c r="K23" s="169"/>
      <c r="L23" s="169"/>
      <c r="M23" s="169"/>
      <c r="N23" s="169"/>
    </row>
    <row r="24" spans="1:19">
      <c r="F24" s="3"/>
      <c r="H24" s="170"/>
      <c r="I24" s="169"/>
      <c r="J24" s="169"/>
      <c r="K24" s="169"/>
      <c r="L24" s="169"/>
      <c r="M24" s="169"/>
      <c r="N24" s="169"/>
    </row>
    <row r="25" spans="1:19" ht="12.75" customHeight="1">
      <c r="H25" s="170"/>
      <c r="I25" s="169"/>
      <c r="J25" s="169"/>
      <c r="K25" s="169"/>
      <c r="L25" s="169"/>
      <c r="M25" s="169"/>
      <c r="N25" s="169"/>
    </row>
    <row r="26" spans="1:19" ht="12.75" customHeight="1">
      <c r="H26" s="170"/>
      <c r="I26" s="169"/>
      <c r="J26" s="169"/>
      <c r="K26" s="169"/>
      <c r="L26" s="169"/>
      <c r="M26" s="169"/>
      <c r="N26" s="169"/>
    </row>
    <row r="27" spans="1:19">
      <c r="F27" s="3"/>
      <c r="H27" s="170"/>
      <c r="I27" s="169"/>
      <c r="J27" s="169"/>
      <c r="K27" s="169"/>
      <c r="L27" s="169"/>
      <c r="M27" s="169"/>
      <c r="N27" s="169"/>
    </row>
    <row r="28" spans="1:19">
      <c r="F28" s="3"/>
      <c r="H28" s="170"/>
      <c r="I28" s="169"/>
      <c r="J28" s="169"/>
      <c r="K28" s="169"/>
      <c r="L28" s="169"/>
      <c r="M28" s="169"/>
      <c r="N28" s="169"/>
    </row>
    <row r="31" spans="1:19">
      <c r="O31" s="3"/>
    </row>
    <row r="32" spans="1:19" s="3" customFormat="1">
      <c r="A32" s="2"/>
      <c r="B32" s="2"/>
      <c r="C32" s="5"/>
      <c r="D32" s="5"/>
      <c r="E32" s="5"/>
      <c r="F32" s="5"/>
      <c r="I32" s="2"/>
      <c r="J32" s="2"/>
      <c r="K32" s="2"/>
      <c r="L32" s="2"/>
      <c r="M32" s="2"/>
      <c r="N32" s="2"/>
      <c r="O32" s="5"/>
    </row>
    <row r="33" spans="1:15" s="5" customFormat="1">
      <c r="A33" s="2"/>
      <c r="B33" s="2"/>
      <c r="G33" s="3"/>
      <c r="H33" s="3"/>
      <c r="I33" s="2"/>
      <c r="J33" s="2"/>
      <c r="K33" s="2"/>
      <c r="L33" s="2"/>
      <c r="M33" s="2"/>
      <c r="N33" s="2"/>
      <c r="O33" s="2"/>
    </row>
    <row r="34" spans="1:15" ht="12.75" customHeight="1"/>
  </sheetData>
  <autoFilter ref="B4:E4" xr:uid="{00000000-0009-0000-0000-000003000000}"/>
  <mergeCells count="5">
    <mergeCell ref="B1:F1"/>
    <mergeCell ref="B3:E3"/>
    <mergeCell ref="G9:M9"/>
    <mergeCell ref="G6:I6"/>
    <mergeCell ref="H1:I1"/>
  </mergeCells>
  <conditionalFormatting sqref="F29:F1048576">
    <cfRule type="cellIs" dxfId="143" priority="44" operator="equal">
      <formula>"NA"</formula>
    </cfRule>
    <cfRule type="cellIs" dxfId="142" priority="45" operator="equal">
      <formula>"High"</formula>
    </cfRule>
    <cfRule type="cellIs" dxfId="141" priority="46" operator="equal">
      <formula>"Medium"</formula>
    </cfRule>
    <cfRule type="cellIs" dxfId="140" priority="47" operator="equal">
      <formula>"Low"</formula>
    </cfRule>
  </conditionalFormatting>
  <conditionalFormatting sqref="D2 D4:D1048576">
    <cfRule type="cellIs" dxfId="139" priority="1" operator="equal">
      <formula>"Advanced"</formula>
    </cfRule>
    <cfRule type="cellIs" dxfId="138" priority="40" operator="equal">
      <formula>"High"</formula>
    </cfRule>
    <cfRule type="cellIs" dxfId="137" priority="41" operator="equal">
      <formula>"Medium"</formula>
    </cfRule>
    <cfRule type="cellIs" dxfId="136" priority="42" operator="equal">
      <formula>"Low"</formula>
    </cfRule>
  </conditionalFormatting>
  <conditionalFormatting sqref="B4">
    <cfRule type="cellIs" dxfId="135" priority="30" operator="equal">
      <formula>"NA"</formula>
    </cfRule>
    <cfRule type="cellIs" dxfId="134" priority="31" operator="equal">
      <formula>"High"</formula>
    </cfRule>
    <cfRule type="cellIs" dxfId="133" priority="32" operator="equal">
      <formula>"Medium"</formula>
    </cfRule>
    <cfRule type="cellIs" dxfId="132" priority="33" operator="equal">
      <formula>"Low"</formula>
    </cfRule>
  </conditionalFormatting>
  <conditionalFormatting sqref="H15">
    <cfRule type="containsText" dxfId="131" priority="24" operator="containsText" text="Yes">
      <formula>NOT(ISERROR(SEARCH("Yes",H15)))</formula>
    </cfRule>
    <cfRule type="containsText" dxfId="130" priority="25" operator="containsText" text="No">
      <formula>NOT(ISERROR(SEARCH("No",H15)))</formula>
    </cfRule>
  </conditionalFormatting>
  <conditionalFormatting sqref="J7">
    <cfRule type="cellIs" dxfId="129" priority="10" operator="equal">
      <formula>"NA"</formula>
    </cfRule>
    <cfRule type="cellIs" dxfId="128" priority="11" operator="equal">
      <formula>"High"</formula>
    </cfRule>
    <cfRule type="cellIs" dxfId="127" priority="12" operator="equal">
      <formula>"Medium"</formula>
    </cfRule>
    <cfRule type="cellIs" dxfId="126" priority="13" operator="equal">
      <formula>"Low"</formula>
    </cfRule>
  </conditionalFormatting>
  <conditionalFormatting sqref="E5:E20">
    <cfRule type="cellIs" dxfId="125" priority="2" operator="equal">
      <formula>"NA"</formula>
    </cfRule>
    <cfRule type="cellIs" dxfId="124" priority="3" operator="equal">
      <formula>"High"</formula>
    </cfRule>
    <cfRule type="cellIs" dxfId="123" priority="4" operator="equal">
      <formula>"Medium"</formula>
    </cfRule>
    <cfRule type="cellIs" dxfId="122" priority="5" operator="equal">
      <formula>"Low"</formula>
    </cfRule>
  </conditionalFormatting>
  <conditionalFormatting sqref="D1:D1048576">
    <cfRule type="cellIs" dxfId="121" priority="43" operator="equal">
      <formula>"Minor"</formula>
    </cfRule>
  </conditionalFormatting>
  <dataValidations count="5">
    <dataValidation type="list" allowBlank="1" showInputMessage="1" showErrorMessage="1" sqref="H15" xr:uid="{00000000-0002-0000-0300-000000000000}">
      <formula1>compute_YesNo</formula1>
    </dataValidation>
    <dataValidation type="list" allowBlank="1" showInputMessage="1" showErrorMessage="1" sqref="D5:D20" xr:uid="{00000000-0002-0000-0300-000001000000}">
      <formula1>definition_Complexity</formula1>
    </dataValidation>
    <dataValidation type="list" allowBlank="1" showInputMessage="1" showErrorMessage="1" sqref="H4:H5" xr:uid="{00000000-0002-0000-0300-000002000000}">
      <formula1>compute_Boolean</formula1>
    </dataValidation>
    <dataValidation type="list" allowBlank="1" showInputMessage="1" showErrorMessage="1" sqref="B5:B20" xr:uid="{00000000-0002-0000-0300-000003000000}">
      <formula1>definition_Hybrid</formula1>
    </dataValidation>
    <dataValidation type="list" allowBlank="1" showInputMessage="1" showErrorMessage="1" sqref="E5:E20" xr:uid="{00000000-0002-0000-0300-000004000000}">
      <formula1>definition_Module</formula1>
    </dataValidation>
  </dataValidations>
  <pageMargins left="0.75" right="0.75" top="1" bottom="1" header="0.5" footer="0.5"/>
  <pageSetup orientation="portrait" horizontalDpi="4294967292" verticalDpi="4294967292" r:id="rId1"/>
  <legacyDrawing r:id="rId2"/>
  <extLst>
    <ext xmlns:x14="http://schemas.microsoft.com/office/spreadsheetml/2009/9/main" uri="{78C0D931-6437-407d-A8EE-F0AAD7539E65}">
      <x14:conditionalFormattings>
        <x14:conditionalFormatting xmlns:xm="http://schemas.microsoft.com/office/excel/2006/main">
          <x14:cfRule type="iconSet" priority="18" id="{49577849-F484-492E-A317-3A736511BB19}">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H4:H5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4" tint="0.39997558519241921"/>
  </sheetPr>
  <dimension ref="B1:M27"/>
  <sheetViews>
    <sheetView workbookViewId="0">
      <selection activeCell="E17" sqref="E17"/>
    </sheetView>
  </sheetViews>
  <sheetFormatPr defaultRowHeight="14.4"/>
  <cols>
    <col min="2" max="2" width="7.88671875" bestFit="1" customWidth="1"/>
    <col min="3" max="3" width="56.88671875" customWidth="1"/>
    <col min="4" max="4" width="9.6640625" bestFit="1" customWidth="1"/>
    <col min="5" max="5" width="10.44140625" bestFit="1" customWidth="1"/>
    <col min="7" max="7" width="27.6640625" customWidth="1"/>
    <col min="8" max="8" width="10.44140625" bestFit="1" customWidth="1"/>
    <col min="9" max="13" width="7.88671875" customWidth="1"/>
  </cols>
  <sheetData>
    <row r="1" spans="2:13" s="35" customFormat="1" ht="54.75" customHeight="1">
      <c r="B1" s="320" t="s">
        <v>495</v>
      </c>
      <c r="C1" s="320"/>
      <c r="D1" s="320"/>
      <c r="E1" s="320"/>
      <c r="F1" s="61"/>
      <c r="G1" s="119" t="s">
        <v>498</v>
      </c>
      <c r="H1" s="336">
        <f>L6</f>
        <v>0</v>
      </c>
      <c r="I1" s="337"/>
    </row>
    <row r="3" spans="2:13">
      <c r="B3" s="364" t="s">
        <v>493</v>
      </c>
      <c r="C3" s="364"/>
      <c r="D3" s="364"/>
      <c r="E3" s="364"/>
      <c r="G3" s="124" t="s">
        <v>1</v>
      </c>
      <c r="H3" s="131" t="s">
        <v>257</v>
      </c>
      <c r="I3" s="131" t="s">
        <v>22</v>
      </c>
      <c r="J3" s="131" t="s">
        <v>0</v>
      </c>
      <c r="K3" s="131" t="s">
        <v>21</v>
      </c>
      <c r="L3" s="131" t="s">
        <v>258</v>
      </c>
      <c r="M3" s="131" t="s">
        <v>2</v>
      </c>
    </row>
    <row r="4" spans="2:13">
      <c r="B4" s="282" t="s">
        <v>60</v>
      </c>
      <c r="C4" s="283" t="s">
        <v>61</v>
      </c>
      <c r="D4" s="284" t="s">
        <v>6</v>
      </c>
      <c r="E4" s="81" t="s">
        <v>264</v>
      </c>
      <c r="G4" s="42" t="str">
        <f>Definition!C14</f>
        <v>Services</v>
      </c>
      <c r="H4" s="37">
        <f>COUNTIFS($B$5:$B$14935, "*Services*", $D$5:$D$14935, "*Advanced*")</f>
        <v>0</v>
      </c>
      <c r="I4" s="37">
        <f>COUNTIFS($B$5:$B$14935, "*Services*", $D$5:$D$14935, "*High*")</f>
        <v>0</v>
      </c>
      <c r="J4" s="37">
        <f>COUNTIFS($B$5:$B$14935, "*Services*", $D$5:$D$14935, "*Medium*")</f>
        <v>0</v>
      </c>
      <c r="K4" s="37">
        <f>COUNTIFS($B$5:$B$14935, "*Services*", $D$5:$D$14935, "*Low*")</f>
        <v>0</v>
      </c>
      <c r="L4" s="37">
        <f>COUNTIFS($B$5:$B$14935, "*Services*", $D$5:$D$14935, "*Minor*")</f>
        <v>0</v>
      </c>
      <c r="M4" s="37">
        <f t="shared" ref="M4:M5" si="0">SUM(H4:L4)</f>
        <v>0</v>
      </c>
    </row>
    <row r="5" spans="2:13">
      <c r="B5" s="285"/>
      <c r="C5" s="288"/>
      <c r="D5" s="286"/>
      <c r="E5" s="186"/>
      <c r="G5" s="42" t="str">
        <f>Definition!C16</f>
        <v>Test Cases</v>
      </c>
      <c r="H5" s="37">
        <f>COUNTIFS($B$5:$B$14935, "*Test Cases*", $D$5:$D$14935, "*Advanced*")</f>
        <v>0</v>
      </c>
      <c r="I5" s="37">
        <f>COUNTIFS($B$5:$B$14935, "*Test Cases*", $D$5:$D$14935, "*High*")</f>
        <v>0</v>
      </c>
      <c r="J5" s="37">
        <f>COUNTIFS($B$5:$B$14935, "*Test Cases*", $D$5:$D$14935, "*Medium*")</f>
        <v>0</v>
      </c>
      <c r="K5" s="37">
        <f>COUNTIFS($B$5:$B$14935, "*Test Cases*", $D$5:$D$14935, "*Low*")</f>
        <v>0</v>
      </c>
      <c r="L5" s="37">
        <f>COUNTIFS($B$5:$B$14935, "*Test Cases*", $D$5:$D$14935, "*Minor*")</f>
        <v>0</v>
      </c>
      <c r="M5" s="37">
        <f t="shared" si="0"/>
        <v>0</v>
      </c>
    </row>
    <row r="6" spans="2:13">
      <c r="B6" s="285"/>
      <c r="C6" s="288"/>
      <c r="D6" s="286"/>
      <c r="E6" s="186"/>
      <c r="G6" s="360"/>
      <c r="H6" s="362"/>
      <c r="I6" s="344" t="s">
        <v>189</v>
      </c>
      <c r="J6" s="345"/>
      <c r="K6" s="346"/>
      <c r="L6" s="350">
        <f>SUM(H4*H11, I4*H12,J4*H13,K4*H14)</f>
        <v>0</v>
      </c>
      <c r="M6" s="351"/>
    </row>
    <row r="7" spans="2:13">
      <c r="B7" s="285"/>
      <c r="C7" s="288"/>
      <c r="D7" s="286"/>
      <c r="E7" s="186"/>
      <c r="G7" s="361"/>
      <c r="H7" s="363"/>
      <c r="I7" s="347"/>
      <c r="J7" s="348"/>
      <c r="K7" s="349"/>
      <c r="L7" s="352"/>
      <c r="M7" s="353"/>
    </row>
    <row r="8" spans="2:13">
      <c r="B8" s="285"/>
      <c r="C8" s="288"/>
      <c r="D8" s="286"/>
      <c r="E8" s="186"/>
    </row>
    <row r="9" spans="2:13">
      <c r="B9" s="285"/>
      <c r="C9" s="288"/>
      <c r="D9" s="286"/>
      <c r="E9" s="186"/>
    </row>
    <row r="10" spans="2:13">
      <c r="B10" s="285"/>
      <c r="C10" s="288"/>
      <c r="D10" s="286"/>
      <c r="E10" s="186"/>
      <c r="G10" s="284" t="s">
        <v>6</v>
      </c>
      <c r="H10" s="284" t="s">
        <v>494</v>
      </c>
    </row>
    <row r="11" spans="2:13">
      <c r="B11" s="285"/>
      <c r="C11" s="288"/>
      <c r="D11" s="286"/>
      <c r="E11" s="186"/>
      <c r="G11" s="286" t="s">
        <v>257</v>
      </c>
      <c r="H11" s="287">
        <v>50</v>
      </c>
      <c r="J11" s="308">
        <v>40</v>
      </c>
    </row>
    <row r="12" spans="2:13">
      <c r="B12" s="285"/>
      <c r="C12" s="288"/>
      <c r="D12" s="286"/>
      <c r="E12" s="186"/>
      <c r="G12" s="286" t="s">
        <v>22</v>
      </c>
      <c r="H12" s="287">
        <v>40</v>
      </c>
      <c r="J12" s="308">
        <v>24</v>
      </c>
    </row>
    <row r="13" spans="2:13">
      <c r="B13" s="285"/>
      <c r="C13" s="288"/>
      <c r="D13" s="286"/>
      <c r="E13" s="186"/>
      <c r="G13" s="286" t="s">
        <v>0</v>
      </c>
      <c r="H13" s="287">
        <v>32</v>
      </c>
      <c r="J13" s="308">
        <v>16</v>
      </c>
    </row>
    <row r="14" spans="2:13">
      <c r="B14" s="285"/>
      <c r="C14" s="285"/>
      <c r="D14" s="286"/>
      <c r="E14" s="186"/>
      <c r="G14" s="286" t="s">
        <v>21</v>
      </c>
      <c r="H14" s="287">
        <v>24</v>
      </c>
      <c r="J14" s="308">
        <v>8</v>
      </c>
    </row>
    <row r="15" spans="2:13">
      <c r="B15" s="285"/>
      <c r="C15" s="285"/>
      <c r="D15" s="286"/>
      <c r="E15" s="186"/>
    </row>
    <row r="16" spans="2:13">
      <c r="B16" s="285"/>
      <c r="C16" s="285"/>
      <c r="D16" s="286"/>
      <c r="E16" s="186"/>
    </row>
    <row r="17" spans="2:5">
      <c r="B17" s="285"/>
      <c r="C17" s="285"/>
      <c r="D17" s="286"/>
      <c r="E17" s="186"/>
    </row>
    <row r="18" spans="2:5">
      <c r="B18" s="285"/>
      <c r="C18" s="285"/>
      <c r="D18" s="286"/>
      <c r="E18" s="186"/>
    </row>
    <row r="19" spans="2:5">
      <c r="B19" s="285"/>
      <c r="C19" s="285"/>
      <c r="D19" s="286"/>
      <c r="E19" s="186"/>
    </row>
    <row r="20" spans="2:5">
      <c r="B20" s="285"/>
      <c r="C20" s="285"/>
      <c r="D20" s="286"/>
      <c r="E20" s="186"/>
    </row>
    <row r="21" spans="2:5">
      <c r="B21" s="285"/>
      <c r="C21" s="285"/>
      <c r="D21" s="286"/>
      <c r="E21" s="186"/>
    </row>
    <row r="22" spans="2:5">
      <c r="B22" s="285"/>
      <c r="C22" s="285"/>
      <c r="D22" s="286"/>
      <c r="E22" s="186"/>
    </row>
    <row r="23" spans="2:5">
      <c r="B23" s="285"/>
      <c r="C23" s="285"/>
      <c r="D23" s="286"/>
      <c r="E23" s="186"/>
    </row>
    <row r="24" spans="2:5">
      <c r="B24" s="285"/>
      <c r="C24" s="285"/>
      <c r="D24" s="286"/>
      <c r="E24" s="186"/>
    </row>
    <row r="25" spans="2:5">
      <c r="B25" s="285"/>
      <c r="C25" s="285"/>
      <c r="D25" s="286"/>
      <c r="E25" s="186"/>
    </row>
    <row r="26" spans="2:5">
      <c r="B26" s="285"/>
      <c r="C26" s="285"/>
      <c r="D26" s="286"/>
      <c r="E26" s="186"/>
    </row>
    <row r="27" spans="2:5">
      <c r="B27" s="285"/>
      <c r="C27" s="285"/>
      <c r="D27" s="286"/>
      <c r="E27" s="186"/>
    </row>
  </sheetData>
  <autoFilter ref="B4:E4" xr:uid="{00000000-0009-0000-0000-000004000000}"/>
  <mergeCells count="7">
    <mergeCell ref="I6:K7"/>
    <mergeCell ref="L6:M7"/>
    <mergeCell ref="G6:G7"/>
    <mergeCell ref="H6:H7"/>
    <mergeCell ref="B1:E1"/>
    <mergeCell ref="H1:I1"/>
    <mergeCell ref="B3:E3"/>
  </mergeCells>
  <conditionalFormatting sqref="D1">
    <cfRule type="cellIs" dxfId="120" priority="56" operator="equal">
      <formula>"Advanced"</formula>
    </cfRule>
    <cfRule type="cellIs" dxfId="119" priority="57" operator="equal">
      <formula>"Minor"</formula>
    </cfRule>
  </conditionalFormatting>
  <conditionalFormatting sqref="D8">
    <cfRule type="cellIs" dxfId="118" priority="46" operator="equal">
      <formula>"Advanced"</formula>
    </cfRule>
    <cfRule type="cellIs" dxfId="117" priority="47" operator="equal">
      <formula>"High"</formula>
    </cfRule>
    <cfRule type="cellIs" dxfId="116" priority="48" operator="equal">
      <formula>"Medium"</formula>
    </cfRule>
    <cfRule type="cellIs" dxfId="115" priority="49" operator="equal">
      <formula>"Low"</formula>
    </cfRule>
    <cfRule type="cellIs" dxfId="114" priority="50" operator="equal">
      <formula>"Minor"</formula>
    </cfRule>
  </conditionalFormatting>
  <conditionalFormatting sqref="D9:D21 D5:D7">
    <cfRule type="cellIs" dxfId="113" priority="51" operator="equal">
      <formula>"Advanced"</formula>
    </cfRule>
    <cfRule type="cellIs" dxfId="112" priority="52" operator="equal">
      <formula>"High"</formula>
    </cfRule>
    <cfRule type="cellIs" dxfId="111" priority="53" operator="equal">
      <formula>"Medium"</formula>
    </cfRule>
    <cfRule type="cellIs" dxfId="110" priority="54" operator="equal">
      <formula>"Low"</formula>
    </cfRule>
    <cfRule type="cellIs" dxfId="109" priority="55" operator="equal">
      <formula>"Minor"</formula>
    </cfRule>
  </conditionalFormatting>
  <conditionalFormatting sqref="D4">
    <cfRule type="cellIs" dxfId="108" priority="36" operator="equal">
      <formula>"Advanced"</formula>
    </cfRule>
    <cfRule type="cellIs" dxfId="107" priority="37" operator="equal">
      <formula>"High"</formula>
    </cfRule>
    <cfRule type="cellIs" dxfId="106" priority="38" operator="equal">
      <formula>"Medium"</formula>
    </cfRule>
    <cfRule type="cellIs" dxfId="105" priority="39" operator="equal">
      <formula>"Low"</formula>
    </cfRule>
    <cfRule type="cellIs" dxfId="104" priority="40" operator="equal">
      <formula>"Minor"</formula>
    </cfRule>
  </conditionalFormatting>
  <conditionalFormatting sqref="D22:D23">
    <cfRule type="cellIs" dxfId="103" priority="32" operator="equal">
      <formula>"High"</formula>
    </cfRule>
    <cfRule type="cellIs" dxfId="102" priority="33" operator="equal">
      <formula>"Medium"</formula>
    </cfRule>
    <cfRule type="cellIs" dxfId="101" priority="34" operator="equal">
      <formula>"Low"</formula>
    </cfRule>
  </conditionalFormatting>
  <conditionalFormatting sqref="D22:D23">
    <cfRule type="cellIs" dxfId="100" priority="31" operator="equal">
      <formula>"Advanced"</formula>
    </cfRule>
    <cfRule type="cellIs" dxfId="99" priority="35" operator="equal">
      <formula>"Minor"</formula>
    </cfRule>
  </conditionalFormatting>
  <conditionalFormatting sqref="D24:D27">
    <cfRule type="cellIs" dxfId="98" priority="27" operator="equal">
      <formula>"High"</formula>
    </cfRule>
    <cfRule type="cellIs" dxfId="97" priority="28" operator="equal">
      <formula>"Medium"</formula>
    </cfRule>
    <cfRule type="cellIs" dxfId="96" priority="29" operator="equal">
      <formula>"Low"</formula>
    </cfRule>
  </conditionalFormatting>
  <conditionalFormatting sqref="D24:D27">
    <cfRule type="cellIs" dxfId="95" priority="26" operator="equal">
      <formula>"Advanced"</formula>
    </cfRule>
    <cfRule type="cellIs" dxfId="94" priority="30" operator="equal">
      <formula>"Minor"</formula>
    </cfRule>
  </conditionalFormatting>
  <conditionalFormatting sqref="G14">
    <cfRule type="cellIs" dxfId="93" priority="21" operator="equal">
      <formula>"Advanced"</formula>
    </cfRule>
    <cfRule type="cellIs" dxfId="92" priority="22" operator="equal">
      <formula>"High"</formula>
    </cfRule>
    <cfRule type="cellIs" dxfId="91" priority="23" operator="equal">
      <formula>"Medium"</formula>
    </cfRule>
    <cfRule type="cellIs" dxfId="90" priority="24" operator="equal">
      <formula>"Low"</formula>
    </cfRule>
    <cfRule type="cellIs" dxfId="89" priority="25" operator="equal">
      <formula>"Minor"</formula>
    </cfRule>
  </conditionalFormatting>
  <conditionalFormatting sqref="G13">
    <cfRule type="cellIs" dxfId="88" priority="16" operator="equal">
      <formula>"Advanced"</formula>
    </cfRule>
    <cfRule type="cellIs" dxfId="87" priority="17" operator="equal">
      <formula>"High"</formula>
    </cfRule>
    <cfRule type="cellIs" dxfId="86" priority="18" operator="equal">
      <formula>"Medium"</formula>
    </cfRule>
    <cfRule type="cellIs" dxfId="85" priority="19" operator="equal">
      <formula>"Low"</formula>
    </cfRule>
    <cfRule type="cellIs" dxfId="84" priority="20" operator="equal">
      <formula>"Minor"</formula>
    </cfRule>
  </conditionalFormatting>
  <conditionalFormatting sqref="G12">
    <cfRule type="cellIs" dxfId="83" priority="11" operator="equal">
      <formula>"Advanced"</formula>
    </cfRule>
    <cfRule type="cellIs" dxfId="82" priority="12" operator="equal">
      <formula>"High"</formula>
    </cfRule>
    <cfRule type="cellIs" dxfId="81" priority="13" operator="equal">
      <formula>"Medium"</formula>
    </cfRule>
    <cfRule type="cellIs" dxfId="80" priority="14" operator="equal">
      <formula>"Low"</formula>
    </cfRule>
    <cfRule type="cellIs" dxfId="79" priority="15" operator="equal">
      <formula>"Minor"</formula>
    </cfRule>
  </conditionalFormatting>
  <conditionalFormatting sqref="G11">
    <cfRule type="cellIs" dxfId="78" priority="6" operator="equal">
      <formula>"Advanced"</formula>
    </cfRule>
    <cfRule type="cellIs" dxfId="77" priority="7" operator="equal">
      <formula>"High"</formula>
    </cfRule>
    <cfRule type="cellIs" dxfId="76" priority="8" operator="equal">
      <formula>"Medium"</formula>
    </cfRule>
    <cfRule type="cellIs" dxfId="75" priority="9" operator="equal">
      <formula>"Low"</formula>
    </cfRule>
    <cfRule type="cellIs" dxfId="74" priority="10" operator="equal">
      <formula>"Minor"</formula>
    </cfRule>
  </conditionalFormatting>
  <conditionalFormatting sqref="G10:H10">
    <cfRule type="cellIs" dxfId="73" priority="1" operator="equal">
      <formula>"Advanced"</formula>
    </cfRule>
    <cfRule type="cellIs" dxfId="72" priority="2" operator="equal">
      <formula>"High"</formula>
    </cfRule>
    <cfRule type="cellIs" dxfId="71" priority="3" operator="equal">
      <formula>"Medium"</formula>
    </cfRule>
    <cfRule type="cellIs" dxfId="70" priority="4" operator="equal">
      <formula>"Low"</formula>
    </cfRule>
    <cfRule type="cellIs" dxfId="69" priority="5" operator="equal">
      <formula>"Minor"</formula>
    </cfRule>
  </conditionalFormatting>
  <dataValidations count="3">
    <dataValidation type="list" allowBlank="1" showInputMessage="1" showErrorMessage="1" sqref="G11:G14 D5:D23" xr:uid="{00000000-0002-0000-0400-000000000000}">
      <formula1>definition_Complexity</formula1>
    </dataValidation>
    <dataValidation type="list" allowBlank="1" showInputMessage="1" showErrorMessage="1" sqref="B22:B27" xr:uid="{00000000-0002-0000-0400-000001000000}">
      <formula1>definition_SPA</formula1>
    </dataValidation>
    <dataValidation type="list" allowBlank="1" showInputMessage="1" showErrorMessage="1" sqref="E5:E27" xr:uid="{00000000-0002-0000-0400-000002000000}">
      <formula1>definition_Module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4" tint="0.39997558519241921"/>
  </sheetPr>
  <dimension ref="A1:AC34"/>
  <sheetViews>
    <sheetView workbookViewId="0">
      <selection activeCell="Q1" sqref="Q1:R1"/>
    </sheetView>
  </sheetViews>
  <sheetFormatPr defaultColWidth="8.88671875" defaultRowHeight="13.8"/>
  <cols>
    <col min="1" max="1" width="4.44140625" style="2" customWidth="1"/>
    <col min="2" max="2" width="33.44140625" style="2" customWidth="1"/>
    <col min="3" max="3" width="9.88671875" style="5" customWidth="1"/>
    <col min="4" max="4" width="8.33203125" style="146" customWidth="1"/>
    <col min="5" max="5" width="5.44140625" style="5" customWidth="1"/>
    <col min="6" max="6" width="5.6640625" style="5" customWidth="1"/>
    <col min="7" max="10" width="6.44140625" style="5" customWidth="1"/>
    <col min="11" max="11" width="9.33203125" style="5" customWidth="1"/>
    <col min="12" max="12" width="9.6640625" style="5" customWidth="1"/>
    <col min="13" max="13" width="10.33203125" style="5" bestFit="1" customWidth="1"/>
    <col min="14" max="14" width="11" style="5" bestFit="1" customWidth="1"/>
    <col min="15" max="15" width="9.6640625" style="5" customWidth="1"/>
    <col min="16" max="16" width="4" style="5" customWidth="1"/>
    <col min="17" max="17" width="24.44140625" style="3" customWidth="1"/>
    <col min="18" max="18" width="10" style="2" bestFit="1" customWidth="1"/>
    <col min="19" max="19" width="17.44140625" style="2" customWidth="1"/>
    <col min="20" max="20" width="7.88671875" style="2" customWidth="1"/>
    <col min="21" max="21" width="7.44140625" style="2" customWidth="1"/>
    <col min="22" max="16384" width="8.88671875" style="2"/>
  </cols>
  <sheetData>
    <row r="1" spans="2:29" s="35" customFormat="1" ht="47.25" customHeight="1">
      <c r="B1" s="320" t="s">
        <v>172</v>
      </c>
      <c r="C1" s="320"/>
      <c r="D1" s="320"/>
      <c r="E1" s="320"/>
      <c r="F1" s="320"/>
      <c r="G1" s="320"/>
      <c r="H1" s="320"/>
      <c r="I1" s="320"/>
      <c r="J1" s="320"/>
      <c r="K1" s="154"/>
      <c r="M1" s="154"/>
      <c r="N1" s="368" t="s">
        <v>167</v>
      </c>
      <c r="O1" s="368"/>
      <c r="P1" s="246"/>
      <c r="Q1" s="336">
        <f>Definition!V19</f>
        <v>3432.5</v>
      </c>
      <c r="R1" s="337"/>
      <c r="S1" s="108"/>
      <c r="T1" s="108"/>
      <c r="U1" s="108"/>
    </row>
    <row r="2" spans="2:29">
      <c r="C2" s="2"/>
      <c r="D2" s="143"/>
      <c r="F2" s="2"/>
      <c r="G2" s="2"/>
      <c r="H2" s="2"/>
      <c r="I2" s="2"/>
      <c r="J2" s="2"/>
      <c r="K2" s="2"/>
      <c r="L2" s="2"/>
      <c r="M2" s="2"/>
      <c r="N2" s="2"/>
      <c r="O2" s="2"/>
    </row>
    <row r="3" spans="2:29" ht="15" customHeight="1">
      <c r="B3" s="141" t="s">
        <v>436</v>
      </c>
      <c r="C3" s="85"/>
      <c r="D3" s="365" t="s">
        <v>197</v>
      </c>
      <c r="E3" s="367"/>
      <c r="F3" s="367"/>
      <c r="G3" s="366"/>
      <c r="H3" s="367" t="s">
        <v>269</v>
      </c>
      <c r="I3" s="367"/>
      <c r="J3" s="366"/>
      <c r="K3" s="365" t="s">
        <v>37</v>
      </c>
      <c r="L3" s="366"/>
      <c r="M3" s="338"/>
      <c r="N3" s="339"/>
      <c r="O3" s="340"/>
      <c r="Q3" s="131" t="s">
        <v>198</v>
      </c>
      <c r="R3" s="152" t="s">
        <v>199</v>
      </c>
    </row>
    <row r="4" spans="2:29">
      <c r="B4" s="122" t="s">
        <v>168</v>
      </c>
      <c r="C4" s="81" t="s">
        <v>169</v>
      </c>
      <c r="D4" s="144" t="s">
        <v>186</v>
      </c>
      <c r="E4" s="122" t="s">
        <v>94</v>
      </c>
      <c r="F4" s="81" t="s">
        <v>95</v>
      </c>
      <c r="G4" s="81" t="s">
        <v>96</v>
      </c>
      <c r="H4" s="122" t="s">
        <v>94</v>
      </c>
      <c r="I4" s="81" t="s">
        <v>95</v>
      </c>
      <c r="J4" s="81" t="s">
        <v>96</v>
      </c>
      <c r="K4" s="149" t="s">
        <v>188</v>
      </c>
      <c r="L4" s="149" t="s">
        <v>187</v>
      </c>
      <c r="M4" s="142" t="s">
        <v>165</v>
      </c>
      <c r="N4" s="142" t="s">
        <v>166</v>
      </c>
      <c r="O4" s="112" t="s">
        <v>196</v>
      </c>
      <c r="Q4" s="131" t="s">
        <v>171</v>
      </c>
      <c r="R4" s="43">
        <f>Definition!T20</f>
        <v>25</v>
      </c>
    </row>
    <row r="5" spans="2:29">
      <c r="B5" s="38" t="s">
        <v>173</v>
      </c>
      <c r="C5" s="38" t="s">
        <v>9</v>
      </c>
      <c r="D5" s="145">
        <v>20</v>
      </c>
      <c r="E5" s="148">
        <v>0.5</v>
      </c>
      <c r="F5" s="148">
        <v>0.25</v>
      </c>
      <c r="G5" s="148">
        <v>0.25</v>
      </c>
      <c r="H5" s="151">
        <v>30</v>
      </c>
      <c r="I5" s="151">
        <v>35</v>
      </c>
      <c r="J5" s="151">
        <v>35</v>
      </c>
      <c r="K5" s="150">
        <f>IF(R$3="Percentage", IF(O5=1, IF(M5=1,D5*(E5*Definition!H$17+F5*Definition!G$17+G5*Definition!F$17),0), 0),  IF(O5=1, IF(M5=1, (H5*Definition!H$17+I5*Definition!G$17+J5*Definition!F$17),  0), 0))</f>
        <v>152.5</v>
      </c>
      <c r="L5" s="150">
        <f>IF(R$3="Percentage", IF(O5=1, IF(N5=1,D5*(E5*Definition!H$18+F5*Definition!G$18+G5*Definition!F$18),0), 0), IF(O5=1, IF(N5=1, (H5*Definition!H$18+I5*Definition!G$18+J5*Definition!F$18), 0), 0))</f>
        <v>1780</v>
      </c>
      <c r="M5" s="96">
        <v>1</v>
      </c>
      <c r="N5" s="96">
        <v>1</v>
      </c>
      <c r="O5" s="96">
        <v>1</v>
      </c>
      <c r="Q5" s="131" t="s">
        <v>191</v>
      </c>
      <c r="R5" s="43">
        <f>Definition!U20</f>
        <v>1</v>
      </c>
    </row>
    <row r="6" spans="2:29">
      <c r="B6" s="38" t="s">
        <v>174</v>
      </c>
      <c r="C6" s="38" t="s">
        <v>9</v>
      </c>
      <c r="D6" s="145">
        <v>20</v>
      </c>
      <c r="E6" s="148">
        <v>0.5</v>
      </c>
      <c r="F6" s="148">
        <v>0.3</v>
      </c>
      <c r="G6" s="148">
        <v>0.2</v>
      </c>
      <c r="H6" s="151">
        <v>50</v>
      </c>
      <c r="I6" s="151">
        <v>25</v>
      </c>
      <c r="J6" s="151">
        <v>25</v>
      </c>
      <c r="K6" s="150">
        <f>IF(R$3="Percentage", IF(O6=1, IF(M6=1,D6*(E6*Definition!H$17+F6*Definition!G$17+G6*Definition!F$17),0), 0),  IF(O6=1, IF(M6=1, (H6*Definition!H$17+I6*Definition!G$17+J6*Definition!F$17),  0), 0))</f>
        <v>0</v>
      </c>
      <c r="L6" s="150">
        <f>IF(R$3="Percentage", IF(O6=1, IF(N6=1,D6*(E6*Definition!H$18+F6*Definition!G$18+G6*Definition!F$18),0), 0), IF(O6=1, IF(N6=1, (H6*Definition!H$18+I6*Definition!G$18+J6*Definition!F$18), 0), 0))</f>
        <v>0</v>
      </c>
      <c r="M6" s="96">
        <v>0</v>
      </c>
      <c r="N6" s="96">
        <v>0</v>
      </c>
      <c r="O6" s="96">
        <v>1</v>
      </c>
      <c r="Q6" s="131" t="s">
        <v>190</v>
      </c>
      <c r="R6" s="43">
        <f>Definition!V20</f>
        <v>2</v>
      </c>
      <c r="Y6" s="73"/>
      <c r="Z6" s="73"/>
      <c r="AA6" s="73"/>
    </row>
    <row r="7" spans="2:29" ht="12.75" customHeight="1">
      <c r="B7" s="38" t="s">
        <v>175</v>
      </c>
      <c r="C7" s="38" t="s">
        <v>9</v>
      </c>
      <c r="D7" s="145">
        <v>20</v>
      </c>
      <c r="E7" s="148">
        <v>0.5</v>
      </c>
      <c r="F7" s="148">
        <v>0.3</v>
      </c>
      <c r="G7" s="148">
        <v>0.2</v>
      </c>
      <c r="H7" s="151">
        <v>50</v>
      </c>
      <c r="I7" s="151">
        <v>25</v>
      </c>
      <c r="J7" s="151">
        <v>25</v>
      </c>
      <c r="K7" s="150">
        <f>IF(R$3="Percentage", IF(O7=1, IF(M7=1,D7*(E7*Definition!H$17+F7*Definition!G$17+G7*Definition!F$17),0), 0),  IF(O7=1, IF(M7=1, (H7*Definition!H$17+I7*Definition!G$17+J7*Definition!F$17),  0), 0))</f>
        <v>0</v>
      </c>
      <c r="L7" s="150">
        <f>IF(R$3="Percentage", IF(O7=1, IF(N7=1,D7*(E7*Definition!H$18+F7*Definition!G$18+G7*Definition!F$18),0), 0), IF(O7=1, IF(N7=1, (H7*Definition!H$18+I7*Definition!G$18+J7*Definition!F$18), 0), 0))</f>
        <v>0</v>
      </c>
      <c r="M7" s="96">
        <v>0</v>
      </c>
      <c r="N7" s="96">
        <v>0</v>
      </c>
      <c r="O7" s="96">
        <v>1</v>
      </c>
      <c r="Q7" s="131" t="s">
        <v>170</v>
      </c>
      <c r="R7" s="43">
        <f>Definition!T21</f>
        <v>2466</v>
      </c>
      <c r="Y7" s="73"/>
      <c r="Z7" s="73"/>
      <c r="AA7" s="73"/>
    </row>
    <row r="8" spans="2:29">
      <c r="B8" s="38" t="s">
        <v>176</v>
      </c>
      <c r="C8" s="38" t="s">
        <v>9</v>
      </c>
      <c r="D8" s="145">
        <v>20</v>
      </c>
      <c r="E8" s="148">
        <v>0.3</v>
      </c>
      <c r="F8" s="148">
        <v>0.3</v>
      </c>
      <c r="G8" s="148">
        <v>0.4</v>
      </c>
      <c r="H8" s="151">
        <v>50</v>
      </c>
      <c r="I8" s="151">
        <v>25</v>
      </c>
      <c r="J8" s="151">
        <v>25</v>
      </c>
      <c r="K8" s="150">
        <f>IF(R$3="Percentage", IF(O8=1, IF(M8=1,D8*(E8*Definition!H$17+F8*Definition!G$17+G8*Definition!F$17),0), 0),  IF(O8=1, IF(M8=1, (H8*Definition!H$17+I8*Definition!G$17+J8*Definition!F$17),  0), 0))</f>
        <v>0</v>
      </c>
      <c r="L8" s="150">
        <f>IF(R$3="Percentage", IF(O8=1, IF(N8=1,D8*(E8*Definition!H$18+F8*Definition!G$18+G8*Definition!F$18),0), 0), IF(O8=1, IF(N8=1, (H8*Definition!H$18+I8*Definition!G$18+J8*Definition!F$18), 0), 0))</f>
        <v>0</v>
      </c>
      <c r="M8" s="96">
        <v>0</v>
      </c>
      <c r="N8" s="96">
        <v>0</v>
      </c>
      <c r="O8" s="96">
        <v>0</v>
      </c>
      <c r="Q8" s="131" t="s">
        <v>195</v>
      </c>
      <c r="R8" s="43">
        <f>Definition!U21</f>
        <v>152.5</v>
      </c>
      <c r="Y8" s="73"/>
      <c r="Z8" s="73"/>
      <c r="AA8" s="73"/>
    </row>
    <row r="9" spans="2:29">
      <c r="B9" s="38" t="s">
        <v>177</v>
      </c>
      <c r="C9" s="38" t="s">
        <v>9</v>
      </c>
      <c r="D9" s="145">
        <v>20</v>
      </c>
      <c r="E9" s="148">
        <v>0</v>
      </c>
      <c r="F9" s="148">
        <v>0.5</v>
      </c>
      <c r="G9" s="148">
        <v>0.5</v>
      </c>
      <c r="H9" s="151">
        <v>31</v>
      </c>
      <c r="I9" s="151">
        <v>31</v>
      </c>
      <c r="J9" s="151">
        <v>31</v>
      </c>
      <c r="K9" s="150">
        <f>IF(R$3="Percentage", IF(O9=1, IF(M9=1,D9*(E9*Definition!H$17+F9*Definition!G$17+G9*Definition!F$17),0), 0),  IF(O9=1, IF(M9=1, (H9*Definition!H$17+I9*Definition!G$17+J9*Definition!F$17),  0), 0))</f>
        <v>0</v>
      </c>
      <c r="L9" s="150">
        <f>IF(R$3="Percentage", IF(O9=1, IF(N9=1,D9*(E9*Definition!H$18+F9*Definition!G$18+G9*Definition!F$18),0), 0), IF(O9=1, IF(N9=1, (H9*Definition!H$18+I9*Definition!G$18+J9*Definition!F$18), 0), 0))</f>
        <v>0</v>
      </c>
      <c r="M9" s="96">
        <v>0</v>
      </c>
      <c r="N9" s="96">
        <v>0</v>
      </c>
      <c r="O9" s="96">
        <v>0</v>
      </c>
      <c r="Q9" s="131" t="s">
        <v>194</v>
      </c>
      <c r="R9" s="43">
        <f>Definition!V21</f>
        <v>3280</v>
      </c>
      <c r="Y9" s="73"/>
      <c r="Z9" s="73"/>
      <c r="AA9" s="73"/>
    </row>
    <row r="10" spans="2:29">
      <c r="B10" s="38" t="s">
        <v>178</v>
      </c>
      <c r="C10" s="38" t="s">
        <v>9</v>
      </c>
      <c r="D10" s="145">
        <v>20</v>
      </c>
      <c r="E10" s="148">
        <v>0.5</v>
      </c>
      <c r="F10" s="148">
        <v>0.3</v>
      </c>
      <c r="G10" s="148">
        <v>0.2</v>
      </c>
      <c r="H10" s="151">
        <v>50</v>
      </c>
      <c r="I10" s="151">
        <v>25</v>
      </c>
      <c r="J10" s="151">
        <v>25</v>
      </c>
      <c r="K10" s="150">
        <f>IF(R$3="Percentage", IF(O10=1, IF(M10=1,D10*(E10*Definition!H$17+F10*Definition!G$17+G10*Definition!F$17),0), 0),  IF(O10=1, IF(M10=1, (H10*Definition!H$17+I10*Definition!G$17+J10*Definition!F$17),  0), 0))</f>
        <v>0</v>
      </c>
      <c r="L10" s="150">
        <f>IF(R$3="Percentage", IF(O10=1, IF(N10=1,D10*(E10*Definition!H$18+F10*Definition!G$18+G10*Definition!F$18),0), 0), IF(O10=1, IF(N10=1, (H10*Definition!H$18+I10*Definition!G$18+J10*Definition!F$18), 0), 0))</f>
        <v>0</v>
      </c>
      <c r="M10" s="96">
        <v>0</v>
      </c>
      <c r="N10" s="96">
        <v>0</v>
      </c>
      <c r="O10" s="96">
        <v>0</v>
      </c>
      <c r="Q10" s="147" t="s">
        <v>189</v>
      </c>
      <c r="R10" s="43">
        <f>effort_Migration</f>
        <v>3432.5</v>
      </c>
      <c r="Y10" s="73"/>
      <c r="Z10" s="73"/>
      <c r="AA10" s="73"/>
    </row>
    <row r="11" spans="2:29">
      <c r="B11" s="69" t="s">
        <v>179</v>
      </c>
      <c r="C11" s="38" t="s">
        <v>9</v>
      </c>
      <c r="D11" s="145">
        <v>20</v>
      </c>
      <c r="E11" s="148">
        <v>0.5</v>
      </c>
      <c r="F11" s="148">
        <v>0.4</v>
      </c>
      <c r="G11" s="148">
        <v>0.1</v>
      </c>
      <c r="H11" s="151">
        <v>50</v>
      </c>
      <c r="I11" s="151">
        <v>25</v>
      </c>
      <c r="J11" s="151">
        <v>25</v>
      </c>
      <c r="K11" s="150">
        <f>IF(R$3="Percentage", IF(O11=1, IF(M11=1,D11*(E11*Definition!H$17+F11*Definition!G$17+G11*Definition!F$17),0), 0),  IF(O11=1, IF(M11=1, (H11*Definition!H$17+I11*Definition!G$17+J11*Definition!F$17),  0), 0))</f>
        <v>0</v>
      </c>
      <c r="L11" s="150">
        <f>IF(R$3="Percentage", IF(O11=1, IF(N11=1,D11*(E11*Definition!H$18+F11*Definition!G$18+G11*Definition!F$18),0), 0), IF(O11=1, IF(N11=1, (H11*Definition!H$18+I11*Definition!G$18+J11*Definition!F$18), 0), 0))</f>
        <v>0</v>
      </c>
      <c r="M11" s="96">
        <v>0</v>
      </c>
      <c r="N11" s="96">
        <v>0</v>
      </c>
      <c r="O11" s="96">
        <v>0</v>
      </c>
      <c r="AA11" s="73"/>
      <c r="AB11" s="73"/>
      <c r="AC11" s="73"/>
    </row>
    <row r="12" spans="2:29">
      <c r="B12" s="69" t="s">
        <v>180</v>
      </c>
      <c r="C12" s="38" t="s">
        <v>9</v>
      </c>
      <c r="D12" s="145">
        <v>20</v>
      </c>
      <c r="E12" s="148">
        <v>0.5</v>
      </c>
      <c r="F12" s="148">
        <v>0.3</v>
      </c>
      <c r="G12" s="148">
        <v>0.2</v>
      </c>
      <c r="H12" s="151">
        <v>50</v>
      </c>
      <c r="I12" s="151">
        <v>25</v>
      </c>
      <c r="J12" s="151">
        <v>25</v>
      </c>
      <c r="K12" s="150">
        <f>IF(R$3="Percentage", IF(O12=1, IF(M12=1,D12*(E12*Definition!H$17+F12*Definition!G$17+G12*Definition!F$17),0), 0),  IF(O12=1, IF(M12=1, (H12*Definition!H$17+I12*Definition!G$17+J12*Definition!F$17),  0), 0))</f>
        <v>0</v>
      </c>
      <c r="L12" s="150">
        <f>IF(R$3="Percentage", IF(O12=1, IF(N12=1,D12*(E12*Definition!H$18+F12*Definition!G$18+G12*Definition!F$18),0), 0), IF(O12=1, IF(N12=1, (H12*Definition!H$18+I12*Definition!G$18+J12*Definition!F$18), 0), 0))</f>
        <v>0</v>
      </c>
      <c r="M12" s="96">
        <v>0</v>
      </c>
      <c r="N12" s="96">
        <v>0</v>
      </c>
      <c r="O12" s="96">
        <v>0</v>
      </c>
      <c r="AA12" s="73"/>
      <c r="AB12" s="73" t="e">
        <f>Definition!D14*(#REF!*Definition!F$14+#REF!*Definition!G$14+#REF!*Definition!H$14)</f>
        <v>#REF!</v>
      </c>
      <c r="AC12" s="73"/>
    </row>
    <row r="13" spans="2:29">
      <c r="B13" s="69" t="s">
        <v>181</v>
      </c>
      <c r="C13" s="38" t="s">
        <v>9</v>
      </c>
      <c r="D13" s="145">
        <v>20</v>
      </c>
      <c r="E13" s="148">
        <v>0.5</v>
      </c>
      <c r="F13" s="148">
        <v>0.3</v>
      </c>
      <c r="G13" s="148">
        <v>0.2</v>
      </c>
      <c r="H13" s="151">
        <v>50</v>
      </c>
      <c r="I13" s="151">
        <v>25</v>
      </c>
      <c r="J13" s="151">
        <v>25</v>
      </c>
      <c r="K13" s="150">
        <f>IF(R$3="Percentage", IF(O13=1, IF(M13=1,D13*(E13*Definition!H$17+F13*Definition!G$17+G13*Definition!F$17),0), 0),  IF(O13=1, IF(M13=1, (H13*Definition!H$17+I13*Definition!G$17+J13*Definition!F$17),  0), 0))</f>
        <v>0</v>
      </c>
      <c r="L13" s="150">
        <f>IF(R$3="Percentage", IF(O13=1, IF(N13=1,D13*(E13*Definition!H$18+F13*Definition!G$18+G13*Definition!F$18),0), 0), IF(O13=1, IF(N13=1, (H13*Definition!H$18+I13*Definition!G$18+J13*Definition!F$18), 0), 0))</f>
        <v>0</v>
      </c>
      <c r="M13" s="96">
        <v>0</v>
      </c>
      <c r="N13" s="96">
        <v>0</v>
      </c>
      <c r="O13" s="96">
        <v>0</v>
      </c>
      <c r="Q13" s="130" t="s">
        <v>48</v>
      </c>
      <c r="R13" s="47" t="s">
        <v>33</v>
      </c>
    </row>
    <row r="14" spans="2:29">
      <c r="B14" s="69" t="s">
        <v>182</v>
      </c>
      <c r="C14" s="38" t="s">
        <v>9</v>
      </c>
      <c r="D14" s="145">
        <v>20</v>
      </c>
      <c r="E14" s="148">
        <v>0.5</v>
      </c>
      <c r="F14" s="148">
        <v>0.3</v>
      </c>
      <c r="G14" s="148">
        <v>0.2</v>
      </c>
      <c r="H14" s="151">
        <v>50</v>
      </c>
      <c r="I14" s="151">
        <v>25</v>
      </c>
      <c r="J14" s="151">
        <v>25</v>
      </c>
      <c r="K14" s="150">
        <f>IF(R$3="Percentage", IF(O14=1, IF(M14=1,D14*(E14*Definition!H$17+F14*Definition!G$17+G14*Definition!F$17),0), 0),  IF(O14=1, IF(M14=1, (H14*Definition!H$17+I14*Definition!G$17+J14*Definition!F$17),  0), 0))</f>
        <v>0</v>
      </c>
      <c r="L14" s="150">
        <f>IF(R$3="Percentage", IF(O14=1, IF(N14=1,D14*(E14*Definition!H$18+F14*Definition!G$18+G14*Definition!F$18),0), 0), IF(O14=1, IF(N14=1, (H14*Definition!H$18+I14*Definition!G$18+J14*Definition!F$18), 0), 0))</f>
        <v>0</v>
      </c>
      <c r="M14" s="96">
        <v>0</v>
      </c>
      <c r="N14" s="96">
        <v>0</v>
      </c>
      <c r="O14" s="96">
        <v>0</v>
      </c>
      <c r="Q14" s="131" t="s">
        <v>191</v>
      </c>
      <c r="R14" s="43">
        <v>1</v>
      </c>
    </row>
    <row r="15" spans="2:29">
      <c r="B15" s="69" t="s">
        <v>183</v>
      </c>
      <c r="C15" s="38" t="s">
        <v>9</v>
      </c>
      <c r="D15" s="145">
        <v>20</v>
      </c>
      <c r="E15" s="148">
        <v>0.5</v>
      </c>
      <c r="F15" s="148">
        <v>0.3</v>
      </c>
      <c r="G15" s="148">
        <v>0.2</v>
      </c>
      <c r="H15" s="151">
        <v>50</v>
      </c>
      <c r="I15" s="151">
        <v>25</v>
      </c>
      <c r="J15" s="151">
        <v>25</v>
      </c>
      <c r="K15" s="150">
        <f>IF(R$3="Percentage", IF(O15=1, IF(M15=1,D15*(E15*Definition!H$17+F15*Definition!G$17+G15*Definition!F$17),0), 0),  IF(O15=1, IF(M15=1, (H15*Definition!H$17+I15*Definition!G$17+J15*Definition!F$17),  0), 0))</f>
        <v>0</v>
      </c>
      <c r="L15" s="150">
        <f>IF(R$3="Percentage", IF(O15=1, IF(N15=1,D15*(E15*Definition!H$18+F15*Definition!G$18+G15*Definition!F$18),0), 0), IF(O15=1, IF(N15=1, (H15*Definition!H$18+I15*Definition!G$18+J15*Definition!F$18), 0), 0))</f>
        <v>0</v>
      </c>
      <c r="M15" s="96">
        <v>0</v>
      </c>
      <c r="N15" s="96">
        <v>0</v>
      </c>
      <c r="O15" s="96">
        <v>0</v>
      </c>
      <c r="Q15" s="131" t="s">
        <v>190</v>
      </c>
      <c r="R15" s="43">
        <v>1</v>
      </c>
      <c r="Y15" s="73"/>
      <c r="Z15" s="73"/>
      <c r="AA15" s="73"/>
    </row>
    <row r="16" spans="2:29">
      <c r="B16" s="69" t="s">
        <v>185</v>
      </c>
      <c r="C16" s="38" t="s">
        <v>9</v>
      </c>
      <c r="D16" s="145">
        <v>20</v>
      </c>
      <c r="E16" s="148">
        <v>0.5</v>
      </c>
      <c r="F16" s="148">
        <v>0.25</v>
      </c>
      <c r="G16" s="148">
        <v>0.25</v>
      </c>
      <c r="H16" s="151">
        <v>50</v>
      </c>
      <c r="I16" s="151">
        <v>25</v>
      </c>
      <c r="J16" s="151">
        <v>25</v>
      </c>
      <c r="K16" s="150">
        <f>IF(R$3="Percentage", IF(O16=1, IF(M16=1,D16*(E16*Definition!H$17+F16*Definition!G$17+G16*Definition!F$17),0), 0),  IF(O16=1, IF(M16=1, (H16*Definition!H$17+I16*Definition!G$17+J16*Definition!F$17),  0), 0))</f>
        <v>0</v>
      </c>
      <c r="L16" s="150">
        <f>IF(R$3="Percentage", IF(O16=1, IF(N16=1,D16*(E16*Definition!H$18+F16*Definition!G$18+G16*Definition!F$18),0), 0), IF(O16=1, IF(N16=1, (H16*Definition!H$18+I16*Definition!G$18+J16*Definition!F$18), 0), 0))</f>
        <v>0</v>
      </c>
      <c r="M16" s="96">
        <v>0</v>
      </c>
      <c r="N16" s="96">
        <v>0</v>
      </c>
      <c r="O16" s="96">
        <v>0</v>
      </c>
      <c r="Q16" s="131" t="s">
        <v>193</v>
      </c>
      <c r="R16" s="43">
        <v>100</v>
      </c>
      <c r="Y16" s="73"/>
      <c r="Z16" s="73"/>
      <c r="AA16" s="73"/>
    </row>
    <row r="17" spans="1:27" ht="12.75" customHeight="1">
      <c r="B17" s="69" t="s">
        <v>184</v>
      </c>
      <c r="C17" s="38" t="s">
        <v>9</v>
      </c>
      <c r="D17" s="145">
        <v>20</v>
      </c>
      <c r="E17" s="148">
        <v>0.5</v>
      </c>
      <c r="F17" s="148">
        <v>0.3</v>
      </c>
      <c r="G17" s="148">
        <v>0.2</v>
      </c>
      <c r="H17" s="151">
        <v>50</v>
      </c>
      <c r="I17" s="151">
        <v>25</v>
      </c>
      <c r="J17" s="151">
        <v>25</v>
      </c>
      <c r="K17" s="150">
        <f>IF(R$3="Percentage", IF(O17=1, IF(M17=1,D17*(E17*Definition!H$17+F17*Definition!G$17+G17*Definition!F$17),0), 0),  IF(O17=1, IF(M17=1, (H17*Definition!H$17+I17*Definition!G$17+J17*Definition!F$17),  0), 0))</f>
        <v>0</v>
      </c>
      <c r="L17" s="150">
        <f>IF(R$3="Percentage", IF(O17=1, IF(N17=1,D17*(E17*Definition!H$18+F17*Definition!G$18+G17*Definition!F$18),0), 0), IF(O17=1, IF(N17=1, (H17*Definition!H$18+I17*Definition!G$18+J17*Definition!F$18), 0), 0))</f>
        <v>1500</v>
      </c>
      <c r="M17" s="96">
        <v>0</v>
      </c>
      <c r="N17" s="96">
        <v>1</v>
      </c>
      <c r="O17" s="96">
        <v>1</v>
      </c>
      <c r="Q17" s="131" t="s">
        <v>94</v>
      </c>
      <c r="R17" s="46">
        <v>0.25</v>
      </c>
      <c r="Y17" s="73"/>
      <c r="Z17" s="73"/>
      <c r="AA17" s="73"/>
    </row>
    <row r="18" spans="1:27">
      <c r="B18" s="69" t="s">
        <v>184</v>
      </c>
      <c r="C18" s="38" t="s">
        <v>9</v>
      </c>
      <c r="D18" s="145">
        <v>20</v>
      </c>
      <c r="E18" s="148">
        <v>0.5</v>
      </c>
      <c r="F18" s="148">
        <v>0.3</v>
      </c>
      <c r="G18" s="148">
        <v>0.2</v>
      </c>
      <c r="H18" s="151">
        <v>50</v>
      </c>
      <c r="I18" s="151">
        <v>25</v>
      </c>
      <c r="J18" s="151">
        <v>25</v>
      </c>
      <c r="K18" s="150">
        <f>IF(R$3="Percentage", IF(O18=1, IF(M18=1,D18*(E18*Definition!H$17+F18*Definition!G$17+G18*Definition!F$17),0), 0),  IF(O18=1, IF(M18=1, (H18*Definition!H$17+I18*Definition!G$17+J18*Definition!F$17),  0), 0))</f>
        <v>0</v>
      </c>
      <c r="L18" s="150">
        <f>IF(R$3="Percentage", IF(O18=1, IF(N18=1,D18*(E18*Definition!H$18+F18*Definition!G$18+G18*Definition!F$18),0), 0), IF(O18=1, IF(N18=1, (H18*Definition!H$18+I18*Definition!G$18+J18*Definition!F$18), 0), 0))</f>
        <v>0</v>
      </c>
      <c r="M18" s="96">
        <v>0</v>
      </c>
      <c r="N18" s="96">
        <v>0</v>
      </c>
      <c r="O18" s="96">
        <v>0</v>
      </c>
      <c r="Q18" s="131" t="s">
        <v>95</v>
      </c>
      <c r="R18" s="46">
        <v>0.5</v>
      </c>
      <c r="Y18" s="73"/>
      <c r="Z18" s="73"/>
      <c r="AA18" s="73"/>
    </row>
    <row r="19" spans="1:27">
      <c r="B19" s="69" t="s">
        <v>184</v>
      </c>
      <c r="C19" s="38" t="s">
        <v>9</v>
      </c>
      <c r="D19" s="145">
        <v>20</v>
      </c>
      <c r="E19" s="148">
        <v>0.5</v>
      </c>
      <c r="F19" s="148">
        <v>0.3</v>
      </c>
      <c r="G19" s="148">
        <v>0.2</v>
      </c>
      <c r="H19" s="151">
        <v>50</v>
      </c>
      <c r="I19" s="151">
        <v>25</v>
      </c>
      <c r="J19" s="151">
        <v>25</v>
      </c>
      <c r="K19" s="150">
        <f>IF(R$3="Percentage", IF(O19=1, IF(M19=1,D19*(E19*Definition!H$17+F19*Definition!G$17+G19*Definition!F$17),0), 0),  IF(O19=1, IF(M19=1, (H19*Definition!H$17+I19*Definition!G$17+J19*Definition!F$17),  0), 0))</f>
        <v>0</v>
      </c>
      <c r="L19" s="150">
        <f>IF(R$3="Percentage", IF(O19=1, IF(N19=1,D19*(E19*Definition!H$18+F19*Definition!G$18+G19*Definition!F$18),0), 0), IF(O19=1, IF(N19=1, (H19*Definition!H$18+I19*Definition!G$18+J19*Definition!F$18), 0), 0))</f>
        <v>0</v>
      </c>
      <c r="M19" s="96">
        <v>0</v>
      </c>
      <c r="N19" s="96">
        <v>0</v>
      </c>
      <c r="O19" s="96">
        <v>0</v>
      </c>
      <c r="Q19" s="131" t="s">
        <v>96</v>
      </c>
      <c r="R19" s="46">
        <v>0.25</v>
      </c>
      <c r="Y19" s="73"/>
      <c r="Z19" s="73"/>
      <c r="AA19" s="73"/>
    </row>
    <row r="20" spans="1:27">
      <c r="B20" s="69" t="s">
        <v>184</v>
      </c>
      <c r="C20" s="38" t="s">
        <v>9</v>
      </c>
      <c r="D20" s="145">
        <v>20</v>
      </c>
      <c r="E20" s="148">
        <v>0.5</v>
      </c>
      <c r="F20" s="148">
        <v>0.3</v>
      </c>
      <c r="G20" s="148">
        <v>0.2</v>
      </c>
      <c r="H20" s="151">
        <v>31</v>
      </c>
      <c r="I20" s="151">
        <v>31</v>
      </c>
      <c r="J20" s="151">
        <v>31</v>
      </c>
      <c r="K20" s="150">
        <f>IF(R$3="Percentage", IF(O20=1, IF(M20=1,D20*(E20*Definition!H$17+F20*Definition!G$17+G20*Definition!F$17),0), 0),  IF(O20=1, IF(M20=1, (H20*Definition!H$17+I20*Definition!G$17+J20*Definition!F$17),  0), 0))</f>
        <v>0</v>
      </c>
      <c r="L20" s="150">
        <f>IF(R$3="Percentage", IF(O20=1, IF(N20=1,D20*(E20*Definition!H$18+F20*Definition!G$18+G20*Definition!F$18),0), 0), IF(O20=1, IF(N20=1, (H20*Definition!H$18+I20*Definition!G$18+J20*Definition!F$18), 0), 0))</f>
        <v>0</v>
      </c>
      <c r="M20" s="96">
        <v>0</v>
      </c>
      <c r="N20" s="96">
        <v>0</v>
      </c>
      <c r="O20" s="96">
        <v>0</v>
      </c>
      <c r="Q20" s="147" t="s">
        <v>189</v>
      </c>
      <c r="R20" s="43">
        <f>Definition!X20</f>
        <v>1950</v>
      </c>
      <c r="Y20" s="73"/>
      <c r="Z20" s="73"/>
      <c r="AA20" s="73"/>
    </row>
    <row r="21" spans="1:27">
      <c r="B21" s="69" t="s">
        <v>184</v>
      </c>
      <c r="C21" s="38" t="s">
        <v>9</v>
      </c>
      <c r="D21" s="145">
        <v>20</v>
      </c>
      <c r="E21" s="148">
        <v>0.5</v>
      </c>
      <c r="F21" s="148">
        <v>0.3</v>
      </c>
      <c r="G21" s="148">
        <v>0.2</v>
      </c>
      <c r="H21" s="151">
        <v>50</v>
      </c>
      <c r="I21" s="151">
        <v>25</v>
      </c>
      <c r="J21" s="151">
        <v>25</v>
      </c>
      <c r="K21" s="150">
        <f>IF(R$3="Percentage", IF(O21=1, IF(M21=1,D21*(E21*Definition!H$17+F21*Definition!G$17+G21*Definition!F$17),0), 0),  IF(O21=1, IF(M21=1, (H21*Definition!H$17+I21*Definition!G$17+J21*Definition!F$17),  0), 0))</f>
        <v>0</v>
      </c>
      <c r="L21" s="150">
        <f>IF(R$3="Percentage", IF(O21=1, IF(N21=1,D21*(E21*Definition!H$18+F21*Definition!G$18+G21*Definition!F$18),0), 0), IF(O21=1, IF(N21=1, (H21*Definition!H$18+I21*Definition!G$18+J21*Definition!F$18), 0), 0))</f>
        <v>0</v>
      </c>
      <c r="M21" s="96">
        <v>0</v>
      </c>
      <c r="N21" s="96">
        <v>0</v>
      </c>
      <c r="O21" s="96">
        <v>0</v>
      </c>
      <c r="P21" s="3"/>
      <c r="Y21" s="73"/>
      <c r="Z21" s="73"/>
      <c r="AA21" s="73"/>
    </row>
    <row r="22" spans="1:27">
      <c r="B22" s="69" t="s">
        <v>184</v>
      </c>
      <c r="C22" s="38" t="s">
        <v>9</v>
      </c>
      <c r="D22" s="145">
        <v>20</v>
      </c>
      <c r="E22" s="148">
        <v>0.5</v>
      </c>
      <c r="F22" s="148">
        <v>0.3</v>
      </c>
      <c r="G22" s="148">
        <v>0.2</v>
      </c>
      <c r="H22" s="151">
        <v>50</v>
      </c>
      <c r="I22" s="151">
        <v>31</v>
      </c>
      <c r="J22" s="151">
        <v>31</v>
      </c>
      <c r="K22" s="150">
        <f>IF(R$3="Percentage", IF(O22=1, IF(M22=1,D22*(E22*Definition!H$17+F22*Definition!G$17+G22*Definition!F$17),0), 0),  IF(O22=1, IF(M22=1, (H22*Definition!H$17+I22*Definition!G$17+J22*Definition!F$17),  0), 0))</f>
        <v>0</v>
      </c>
      <c r="L22" s="150">
        <f>IF(R$3="Percentage", IF(O22=1, IF(N22=1,D22*(E22*Definition!H$18+F22*Definition!G$18+G22*Definition!F$18),0), 0), IF(O22=1, IF(N22=1, (H22*Definition!H$18+I22*Definition!G$18+J22*Definition!F$18), 0), 0))</f>
        <v>0</v>
      </c>
      <c r="M22" s="96">
        <v>0</v>
      </c>
      <c r="N22" s="96">
        <v>0</v>
      </c>
      <c r="O22" s="96">
        <v>0</v>
      </c>
      <c r="P22" s="3"/>
      <c r="Y22" s="73"/>
      <c r="Z22" s="73"/>
      <c r="AA22" s="73"/>
    </row>
    <row r="23" spans="1:27">
      <c r="B23" s="69" t="s">
        <v>184</v>
      </c>
      <c r="C23" s="38" t="s">
        <v>9</v>
      </c>
      <c r="D23" s="145">
        <v>20</v>
      </c>
      <c r="E23" s="148">
        <v>0.5</v>
      </c>
      <c r="F23" s="148">
        <v>0.3</v>
      </c>
      <c r="G23" s="148">
        <v>0.2</v>
      </c>
      <c r="H23" s="151">
        <v>31</v>
      </c>
      <c r="I23" s="151">
        <v>25</v>
      </c>
      <c r="J23" s="151">
        <v>25</v>
      </c>
      <c r="K23" s="150">
        <f>IF(R$3="Percentage", IF(O23=1, IF(M23=1,D23*(E23*Definition!H$17+F23*Definition!G$17+G23*Definition!F$17),0), 0),  IF(O23=1, IF(M23=1, (H23*Definition!H$17+I23*Definition!G$17+J23*Definition!F$17),  0), 0))</f>
        <v>0</v>
      </c>
      <c r="L23" s="150">
        <f>IF(R$3="Percentage", IF(O23=1, IF(N23=1,D23*(E23*Definition!H$18+F23*Definition!G$18+G23*Definition!F$18),0), 0), IF(O23=1, IF(N23=1, (H23*Definition!H$18+I23*Definition!G$18+J23*Definition!F$18), 0), 0))</f>
        <v>0</v>
      </c>
      <c r="M23" s="96">
        <v>0</v>
      </c>
      <c r="N23" s="96">
        <v>0</v>
      </c>
      <c r="O23" s="96">
        <v>0</v>
      </c>
      <c r="P23" s="3"/>
    </row>
    <row r="24" spans="1:27">
      <c r="B24" s="69" t="s">
        <v>184</v>
      </c>
      <c r="C24" s="38" t="s">
        <v>9</v>
      </c>
      <c r="D24" s="145">
        <v>20</v>
      </c>
      <c r="E24" s="148">
        <v>0.5</v>
      </c>
      <c r="F24" s="148">
        <v>0.3</v>
      </c>
      <c r="G24" s="148">
        <v>0.2</v>
      </c>
      <c r="H24" s="151">
        <v>50</v>
      </c>
      <c r="I24" s="151">
        <v>25</v>
      </c>
      <c r="J24" s="151">
        <v>25</v>
      </c>
      <c r="K24" s="150">
        <f>IF(R$3="Percentage", IF(O24=1, IF(M24=1,D24*(E24*Definition!H$17+F24*Definition!G$17+G24*Definition!F$17),0), 0),  IF(O24=1, IF(M24=1, (H24*Definition!H$17+I24*Definition!G$17+J24*Definition!F$17),  0), 0))</f>
        <v>0</v>
      </c>
      <c r="L24" s="150">
        <f>IF(R$3="Percentage", IF(O24=1, IF(N24=1,D24*(E24*Definition!H$18+F24*Definition!G$18+G24*Definition!F$18),0), 0), IF(O24=1, IF(N24=1, (H24*Definition!H$18+I24*Definition!G$18+J24*Definition!F$18), 0), 0))</f>
        <v>0</v>
      </c>
      <c r="M24" s="96">
        <v>0</v>
      </c>
      <c r="N24" s="96">
        <v>0</v>
      </c>
      <c r="O24" s="96">
        <v>0</v>
      </c>
      <c r="P24" s="3"/>
    </row>
    <row r="25" spans="1:27" ht="12.75" customHeight="1">
      <c r="B25" s="69" t="s">
        <v>184</v>
      </c>
      <c r="C25" s="38" t="s">
        <v>9</v>
      </c>
      <c r="D25" s="145">
        <v>20</v>
      </c>
      <c r="E25" s="148">
        <v>0.5</v>
      </c>
      <c r="F25" s="148">
        <v>0.3</v>
      </c>
      <c r="G25" s="148">
        <v>0.2</v>
      </c>
      <c r="H25" s="151">
        <v>50</v>
      </c>
      <c r="I25" s="151">
        <v>25</v>
      </c>
      <c r="J25" s="151">
        <v>25</v>
      </c>
      <c r="K25" s="150">
        <f>IF(R$3="Percentage", IF(O25=1, IF(M25=1,D25*(E25*Definition!H$17+F25*Definition!G$17+G25*Definition!F$17),0), 0),  IF(O25=1, IF(M25=1, (H25*Definition!H$17+I25*Definition!G$17+J25*Definition!F$17),  0), 0))</f>
        <v>0</v>
      </c>
      <c r="L25" s="150">
        <f>IF(R$3="Percentage", IF(O25=1, IF(N25=1,D25*(E25*Definition!H$18+F25*Definition!G$18+G25*Definition!F$18),0), 0), IF(O25=1, IF(N25=1, (H25*Definition!H$18+I25*Definition!G$18+J25*Definition!F$18), 0), 0))</f>
        <v>0</v>
      </c>
      <c r="M25" s="96">
        <v>0</v>
      </c>
      <c r="N25" s="96">
        <v>0</v>
      </c>
      <c r="O25" s="96">
        <v>0</v>
      </c>
    </row>
    <row r="26" spans="1:27" ht="12.75" customHeight="1">
      <c r="B26" s="69" t="s">
        <v>184</v>
      </c>
      <c r="C26" s="38" t="s">
        <v>9</v>
      </c>
      <c r="D26" s="145">
        <v>20</v>
      </c>
      <c r="E26" s="148">
        <v>0.5</v>
      </c>
      <c r="F26" s="148">
        <v>0.3</v>
      </c>
      <c r="G26" s="148">
        <v>0.2</v>
      </c>
      <c r="H26" s="151">
        <v>50</v>
      </c>
      <c r="I26" s="151">
        <v>31</v>
      </c>
      <c r="J26" s="151">
        <v>25</v>
      </c>
      <c r="K26" s="150">
        <f>IF(R$3="Percentage", IF(O26=1, IF(M26=1,D26*(E26*Definition!H$17+F26*Definition!G$17+G26*Definition!F$17),0), 0),  IF(O26=1, IF(M26=1, (H26*Definition!H$17+I26*Definition!G$17+J26*Definition!F$17),  0), 0))</f>
        <v>0</v>
      </c>
      <c r="L26" s="150">
        <f>IF(R$3="Percentage", IF(O26=1, IF(N26=1,D26*(E26*Definition!H$18+F26*Definition!G$18+G26*Definition!F$18),0), 0), IF(O26=1, IF(N26=1, (H26*Definition!H$18+I26*Definition!G$18+J26*Definition!F$18), 0), 0))</f>
        <v>0</v>
      </c>
      <c r="M26" s="96">
        <v>0</v>
      </c>
      <c r="N26" s="96">
        <v>0</v>
      </c>
      <c r="O26" s="96">
        <v>0</v>
      </c>
    </row>
    <row r="27" spans="1:27">
      <c r="B27" s="69" t="s">
        <v>184</v>
      </c>
      <c r="C27" s="38" t="s">
        <v>9</v>
      </c>
      <c r="D27" s="145">
        <v>20</v>
      </c>
      <c r="E27" s="148">
        <v>0.5</v>
      </c>
      <c r="F27" s="148">
        <v>0.3</v>
      </c>
      <c r="G27" s="148">
        <v>0.2</v>
      </c>
      <c r="H27" s="151">
        <v>50</v>
      </c>
      <c r="I27" s="151">
        <v>25</v>
      </c>
      <c r="J27" s="151">
        <v>25</v>
      </c>
      <c r="K27" s="150">
        <f>IF(R$3="Percentage", IF(O27=1, IF(M27=1,D27*(E27*Definition!H$17+F27*Definition!G$17+G27*Definition!F$17),0), 0),  IF(O27=1, IF(M27=1, (H27*Definition!H$17+I27*Definition!G$17+J27*Definition!F$17),  0), 0))</f>
        <v>0</v>
      </c>
      <c r="L27" s="150">
        <f>IF(R$3="Percentage", IF(O27=1, IF(N27=1,D27*(E27*Definition!H$18+F27*Definition!G$18+G27*Definition!F$18),0), 0), IF(O27=1, IF(N27=1, (H27*Definition!H$18+I27*Definition!G$18+J27*Definition!F$18), 0), 0))</f>
        <v>0</v>
      </c>
      <c r="M27" s="96">
        <v>0</v>
      </c>
      <c r="N27" s="96">
        <v>0</v>
      </c>
      <c r="O27" s="96">
        <v>0</v>
      </c>
      <c r="P27" s="3"/>
    </row>
    <row r="28" spans="1:27">
      <c r="B28" s="69" t="s">
        <v>184</v>
      </c>
      <c r="C28" s="38" t="s">
        <v>9</v>
      </c>
      <c r="D28" s="145">
        <v>20</v>
      </c>
      <c r="E28" s="148">
        <v>0.5</v>
      </c>
      <c r="F28" s="148">
        <v>0.3</v>
      </c>
      <c r="G28" s="148">
        <v>0.2</v>
      </c>
      <c r="H28" s="151">
        <v>31</v>
      </c>
      <c r="I28" s="151">
        <v>25</v>
      </c>
      <c r="J28" s="151">
        <v>25</v>
      </c>
      <c r="K28" s="150">
        <f>IF(R$3="Percentage", IF(O28=1, IF(M28=1,D28*(E28*Definition!H$17+F28*Definition!G$17+G28*Definition!F$17),0), 0),  IF(O28=1, IF(M28=1, (H28*Definition!H$17+I28*Definition!G$17+J28*Definition!F$17),  0), 0))</f>
        <v>0</v>
      </c>
      <c r="L28" s="150">
        <f>IF(R$3="Percentage", IF(O28=1, IF(N28=1,D28*(E28*Definition!H$18+F28*Definition!G$18+G28*Definition!F$18),0), 0), IF(O28=1, IF(N28=1, (H28*Definition!H$18+I28*Definition!G$18+J28*Definition!F$18), 0), 0))</f>
        <v>0</v>
      </c>
      <c r="M28" s="96">
        <v>0</v>
      </c>
      <c r="N28" s="96">
        <v>0</v>
      </c>
      <c r="O28" s="96">
        <v>0</v>
      </c>
      <c r="P28" s="3"/>
    </row>
    <row r="29" spans="1:27">
      <c r="B29" s="69" t="s">
        <v>184</v>
      </c>
      <c r="C29" s="38" t="s">
        <v>9</v>
      </c>
      <c r="D29" s="145">
        <v>20</v>
      </c>
      <c r="E29" s="148">
        <v>0.5</v>
      </c>
      <c r="F29" s="148">
        <v>0.3</v>
      </c>
      <c r="G29" s="148">
        <v>0.2</v>
      </c>
      <c r="H29" s="151">
        <v>50</v>
      </c>
      <c r="I29" s="151">
        <v>25</v>
      </c>
      <c r="J29" s="151">
        <v>25</v>
      </c>
      <c r="K29" s="150">
        <f>IF(R$3="Percentage", IF(O29=1, IF(M29=1,D29*(E29*Definition!H$17+F29*Definition!G$17+G29*Definition!F$17),0), 0),  IF(O29=1, IF(M29=1, (H29*Definition!H$17+I29*Definition!G$17+J29*Definition!F$17),  0), 0))</f>
        <v>0</v>
      </c>
      <c r="L29" s="150">
        <f>IF(R$3="Percentage", IF(O29=1, IF(N29=1,D29*(E29*Definition!H$18+F29*Definition!G$18+G29*Definition!F$18),0), 0), IF(O29=1, IF(N29=1, (H29*Definition!H$18+I29*Definition!G$18+J29*Definition!F$18), 0), 0))</f>
        <v>0</v>
      </c>
      <c r="M29" s="96">
        <v>0</v>
      </c>
      <c r="N29" s="96">
        <v>0</v>
      </c>
      <c r="O29" s="96">
        <v>0</v>
      </c>
    </row>
    <row r="32" spans="1:27" s="3" customFormat="1">
      <c r="A32" s="2"/>
      <c r="B32" s="2"/>
      <c r="C32" s="5"/>
      <c r="D32" s="146"/>
      <c r="E32" s="5"/>
      <c r="F32" s="5"/>
      <c r="G32" s="5"/>
      <c r="H32" s="5"/>
      <c r="I32" s="5"/>
      <c r="J32" s="5"/>
      <c r="K32" s="5"/>
      <c r="L32" s="5"/>
      <c r="M32" s="5"/>
      <c r="N32" s="5"/>
      <c r="O32" s="5"/>
      <c r="P32" s="5"/>
      <c r="R32" s="2"/>
      <c r="S32" s="2"/>
      <c r="T32" s="2"/>
      <c r="U32" s="2"/>
      <c r="V32" s="2"/>
    </row>
    <row r="33" spans="1:22" s="5" customFormat="1">
      <c r="A33" s="2"/>
      <c r="B33" s="2"/>
      <c r="D33" s="146"/>
      <c r="Q33" s="2"/>
      <c r="R33" s="2"/>
      <c r="S33" s="2"/>
      <c r="T33" s="2"/>
      <c r="U33" s="2"/>
      <c r="V33" s="2"/>
    </row>
    <row r="34" spans="1:22" ht="12.75" customHeight="1"/>
  </sheetData>
  <autoFilter ref="B4:C4" xr:uid="{00000000-0009-0000-0000-000005000000}"/>
  <mergeCells count="7">
    <mergeCell ref="Q1:R1"/>
    <mergeCell ref="K3:L3"/>
    <mergeCell ref="D3:G3"/>
    <mergeCell ref="H3:J3"/>
    <mergeCell ref="N1:O1"/>
    <mergeCell ref="B1:J1"/>
    <mergeCell ref="M3:O3"/>
  </mergeCells>
  <conditionalFormatting sqref="P29:P1048576">
    <cfRule type="cellIs" dxfId="68" priority="45" operator="equal">
      <formula>"NA"</formula>
    </cfRule>
    <cfRule type="cellIs" dxfId="67" priority="46" operator="equal">
      <formula>"High"</formula>
    </cfRule>
    <cfRule type="cellIs" dxfId="66" priority="47" operator="equal">
      <formula>"Medium"</formula>
    </cfRule>
    <cfRule type="cellIs" dxfId="65" priority="48" operator="equal">
      <formula>"Low"</formula>
    </cfRule>
  </conditionalFormatting>
  <conditionalFormatting sqref="E2 E30:E1048576">
    <cfRule type="cellIs" dxfId="64" priority="41" operator="equal">
      <formula>"NA"</formula>
    </cfRule>
    <cfRule type="cellIs" dxfId="63" priority="42" operator="equal">
      <formula>"High"</formula>
    </cfRule>
    <cfRule type="cellIs" dxfId="62" priority="43" operator="equal">
      <formula>"Medium"</formula>
    </cfRule>
    <cfRule type="cellIs" dxfId="61" priority="44" operator="equal">
      <formula>"Low"</formula>
    </cfRule>
  </conditionalFormatting>
  <conditionalFormatting sqref="B4">
    <cfRule type="cellIs" dxfId="60" priority="37" operator="equal">
      <formula>"NA"</formula>
    </cfRule>
    <cfRule type="cellIs" dxfId="59" priority="38" operator="equal">
      <formula>"High"</formula>
    </cfRule>
    <cfRule type="cellIs" dxfId="58" priority="39" operator="equal">
      <formula>"Medium"</formula>
    </cfRule>
    <cfRule type="cellIs" dxfId="57" priority="40" operator="equal">
      <formula>"Low"</formula>
    </cfRule>
  </conditionalFormatting>
  <conditionalFormatting sqref="R13">
    <cfRule type="containsText" dxfId="56" priority="32" operator="containsText" text="Yes">
      <formula>NOT(ISERROR(SEARCH("Yes",R13)))</formula>
    </cfRule>
    <cfRule type="containsText" dxfId="55" priority="33" operator="containsText" text="No">
      <formula>NOT(ISERROR(SEARCH("No",R13)))</formula>
    </cfRule>
  </conditionalFormatting>
  <conditionalFormatting sqref="E5:G29">
    <cfRule type="expression" dxfId="54" priority="6">
      <formula>IF(SUM($E5:$G5) &lt;&gt; 100%, 1, 0)</formula>
    </cfRule>
  </conditionalFormatting>
  <conditionalFormatting sqref="E5:G29">
    <cfRule type="expression" dxfId="53" priority="5">
      <formula>IF(SUM($E5:$G5) = 100%, 1, 0)</formula>
    </cfRule>
  </conditionalFormatting>
  <conditionalFormatting sqref="R3">
    <cfRule type="containsText" dxfId="52" priority="1" operator="containsText" text="Yes">
      <formula>NOT(ISERROR(SEARCH("Yes",R3)))</formula>
    </cfRule>
    <cfRule type="containsText" dxfId="51" priority="2" operator="containsText" text="No">
      <formula>NOT(ISERROR(SEARCH("No",R3)))</formula>
    </cfRule>
  </conditionalFormatting>
  <dataValidations count="3">
    <dataValidation type="list" allowBlank="1" showInputMessage="1" showErrorMessage="1" sqref="M5:O29" xr:uid="{00000000-0002-0000-0500-000000000000}">
      <formula1>compute_Boolean</formula1>
    </dataValidation>
    <dataValidation type="list" allowBlank="1" showInputMessage="1" showErrorMessage="1" sqref="R13" xr:uid="{00000000-0002-0000-0500-000001000000}">
      <formula1>compute_YesNo</formula1>
    </dataValidation>
    <dataValidation type="list" allowBlank="1" showInputMessage="1" showErrorMessage="1" sqref="R3" xr:uid="{00000000-0002-0000-0500-000002000000}">
      <formula1>definition_MigrationCompToggle</formula1>
    </dataValidation>
  </dataValidations>
  <pageMargins left="0.75" right="0.75" top="1" bottom="1" header="0.5" footer="0.5"/>
  <pageSetup orientation="portrait" horizontalDpi="4294967292" verticalDpi="4294967292" r:id="rId1"/>
  <extLst>
    <ext xmlns:x14="http://schemas.microsoft.com/office/spreadsheetml/2009/9/main" uri="{78C0D931-6437-407d-A8EE-F0AAD7539E65}">
      <x14:conditionalFormattings>
        <x14:conditionalFormatting xmlns:xm="http://schemas.microsoft.com/office/excel/2006/main">
          <x14:cfRule type="iconSet" priority="25" id="{A785AF8B-E665-438B-96F1-ADDC45D64123}">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M5:M29</xm:sqref>
        </x14:conditionalFormatting>
        <x14:conditionalFormatting xmlns:xm="http://schemas.microsoft.com/office/excel/2006/main">
          <x14:cfRule type="iconSet" priority="24" id="{AD017FD3-3AC9-4B0E-B8DD-3E3EFB7CED7D}">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N5:N29</xm:sqref>
        </x14:conditionalFormatting>
        <x14:conditionalFormatting xmlns:xm="http://schemas.microsoft.com/office/excel/2006/main">
          <x14:cfRule type="iconSet" priority="12" id="{7DB8FEC3-4CA0-4902-B3EA-6E29A0A9D17A}">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O5:O29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C00000"/>
    <outlinePr summaryBelow="0"/>
  </sheetPr>
  <dimension ref="A1:Y67"/>
  <sheetViews>
    <sheetView topLeftCell="A4" workbookViewId="0">
      <selection activeCell="E12" sqref="E12:J12"/>
    </sheetView>
  </sheetViews>
  <sheetFormatPr defaultColWidth="8.88671875" defaultRowHeight="13.8"/>
  <cols>
    <col min="1" max="1" width="2.44140625" style="44" customWidth="1"/>
    <col min="2" max="2" width="19.33203125" style="44" customWidth="1"/>
    <col min="3" max="3" width="12.88671875" style="44" customWidth="1"/>
    <col min="4" max="4" width="3.44140625" style="44" customWidth="1"/>
    <col min="5" max="5" width="11.44140625" style="44" customWidth="1"/>
    <col min="6" max="6" width="9.109375" style="44" bestFit="1" customWidth="1"/>
    <col min="7" max="7" width="8" style="44" bestFit="1" customWidth="1"/>
    <col min="8" max="8" width="11.33203125" style="44" customWidth="1"/>
    <col min="9" max="9" width="23.33203125" style="44" customWidth="1"/>
    <col min="10" max="10" width="9.44140625" style="44" customWidth="1"/>
    <col min="11" max="11" width="12.88671875" style="44" customWidth="1"/>
    <col min="12" max="12" width="5.44140625" style="44" customWidth="1"/>
    <col min="13" max="13" width="7.44140625" style="44" customWidth="1"/>
    <col min="14" max="14" width="24.44140625" style="44" customWidth="1"/>
    <col min="15" max="15" width="7.44140625" style="44" bestFit="1" customWidth="1"/>
    <col min="16" max="16" width="6.33203125" style="44" customWidth="1"/>
    <col min="17" max="17" width="12" style="48" customWidth="1"/>
    <col min="18" max="18" width="10.44140625" style="44" customWidth="1"/>
    <col min="19" max="19" width="8.88671875" style="44"/>
    <col min="20" max="20" width="25.109375" style="44" bestFit="1" customWidth="1"/>
    <col min="21" max="21" width="7.33203125" style="44" bestFit="1" customWidth="1"/>
    <col min="22" max="22" width="7" style="44" customWidth="1"/>
    <col min="23" max="23" width="11.88671875" style="44" customWidth="1"/>
    <col min="24" max="25" width="8.88671875" style="44"/>
    <col min="26" max="26" width="28.6640625" style="44" bestFit="1" customWidth="1"/>
    <col min="27" max="16384" width="8.88671875" style="44"/>
  </cols>
  <sheetData>
    <row r="1" spans="1:25" s="35" customFormat="1" ht="47.25" customHeight="1">
      <c r="A1" s="70"/>
      <c r="B1" s="320" t="s">
        <v>154</v>
      </c>
      <c r="C1" s="320"/>
      <c r="D1" s="320"/>
      <c r="E1" s="320"/>
      <c r="F1" s="320"/>
      <c r="G1" s="320"/>
      <c r="H1" s="320"/>
      <c r="I1" s="119" t="s">
        <v>155</v>
      </c>
      <c r="J1" s="336">
        <f>effort_Total/(5*8)</f>
        <v>2.3559999999999999</v>
      </c>
      <c r="K1" s="337"/>
      <c r="L1" s="70"/>
      <c r="M1" s="70"/>
      <c r="R1" s="61"/>
    </row>
    <row r="2" spans="1:25" s="55" customFormat="1">
      <c r="H2" s="56"/>
      <c r="I2" s="56"/>
    </row>
    <row r="3" spans="1:25" ht="15" customHeight="1">
      <c r="A3" s="55"/>
      <c r="B3" s="106" t="s">
        <v>35</v>
      </c>
      <c r="C3" s="107" t="s">
        <v>30</v>
      </c>
      <c r="E3" s="381" t="s">
        <v>242</v>
      </c>
      <c r="F3" s="382"/>
      <c r="G3" s="382"/>
      <c r="H3" s="382"/>
      <c r="I3" s="382"/>
      <c r="J3" s="382"/>
      <c r="K3" s="383"/>
      <c r="M3" s="354" t="s">
        <v>128</v>
      </c>
      <c r="N3" s="355"/>
      <c r="O3" s="355"/>
      <c r="P3" s="355"/>
      <c r="Q3" s="355"/>
      <c r="R3" s="356"/>
    </row>
    <row r="4" spans="1:25" ht="12.75" customHeight="1">
      <c r="A4" s="55"/>
      <c r="B4" s="52" t="s">
        <v>36</v>
      </c>
      <c r="C4" s="96">
        <v>1</v>
      </c>
      <c r="E4" s="379" t="s">
        <v>28</v>
      </c>
      <c r="F4" s="380"/>
      <c r="G4" s="380"/>
      <c r="H4" s="380"/>
      <c r="I4" s="380"/>
      <c r="J4" s="380"/>
      <c r="K4" s="175" t="s">
        <v>29</v>
      </c>
      <c r="M4" s="71">
        <v>1</v>
      </c>
      <c r="N4" s="77" t="s">
        <v>129</v>
      </c>
      <c r="O4" s="75" t="s">
        <v>11</v>
      </c>
      <c r="P4" s="76" t="s">
        <v>2</v>
      </c>
      <c r="Q4" s="74" t="s">
        <v>135</v>
      </c>
      <c r="R4" s="100" t="s">
        <v>136</v>
      </c>
    </row>
    <row r="5" spans="1:25" ht="12.75" customHeight="1">
      <c r="A5" s="55"/>
      <c r="B5" s="52" t="s">
        <v>226</v>
      </c>
      <c r="C5" s="96">
        <v>1</v>
      </c>
      <c r="E5" s="369" t="s">
        <v>58</v>
      </c>
      <c r="F5" s="370"/>
      <c r="G5" s="370"/>
      <c r="H5" s="370"/>
      <c r="I5" s="370"/>
      <c r="J5" s="370"/>
      <c r="K5" s="176">
        <v>24</v>
      </c>
      <c r="N5" s="45" t="s">
        <v>157</v>
      </c>
      <c r="O5" s="71">
        <v>1</v>
      </c>
      <c r="P5" s="84">
        <v>3</v>
      </c>
      <c r="Q5" s="102">
        <f>IF(O5=1,Definition!C30*P5*effort_UI,0)</f>
        <v>0.48</v>
      </c>
      <c r="R5" s="330">
        <f>IF(M4=1,SUM(Q5:Q9),0)</f>
        <v>0.96000000000000008</v>
      </c>
    </row>
    <row r="6" spans="1:25" ht="12.75" customHeight="1">
      <c r="A6" s="55"/>
      <c r="B6" s="52" t="s">
        <v>34</v>
      </c>
      <c r="C6" s="96">
        <v>1</v>
      </c>
      <c r="E6" s="369" t="s">
        <v>63</v>
      </c>
      <c r="F6" s="370"/>
      <c r="G6" s="370"/>
      <c r="H6" s="370"/>
      <c r="I6" s="370"/>
      <c r="J6" s="370"/>
      <c r="K6" s="176">
        <v>24</v>
      </c>
      <c r="N6" s="45" t="s">
        <v>254</v>
      </c>
      <c r="O6" s="71">
        <v>1</v>
      </c>
      <c r="P6" s="84">
        <v>1</v>
      </c>
      <c r="Q6" s="102">
        <f>IF(O6=1,Definition!C31*P6*effort_UI,0)</f>
        <v>0.16</v>
      </c>
      <c r="R6" s="343"/>
    </row>
    <row r="7" spans="1:25" ht="12.75" customHeight="1">
      <c r="A7" s="55"/>
      <c r="B7" s="52" t="s">
        <v>227</v>
      </c>
      <c r="C7" s="96">
        <v>1</v>
      </c>
      <c r="E7" s="369" t="s">
        <v>62</v>
      </c>
      <c r="F7" s="370"/>
      <c r="G7" s="370"/>
      <c r="H7" s="370"/>
      <c r="I7" s="370"/>
      <c r="J7" s="370"/>
      <c r="K7" s="176">
        <v>32</v>
      </c>
      <c r="N7" s="45" t="s">
        <v>255</v>
      </c>
      <c r="O7" s="71">
        <v>1</v>
      </c>
      <c r="P7" s="84">
        <v>1</v>
      </c>
      <c r="Q7" s="102">
        <f>IF(O7=1,Definition!C32*P7*effort_UI,0)</f>
        <v>0.16</v>
      </c>
      <c r="R7" s="343"/>
    </row>
    <row r="8" spans="1:25" ht="12.75" customHeight="1">
      <c r="A8" s="55"/>
      <c r="B8" s="106" t="s">
        <v>57</v>
      </c>
      <c r="C8" s="107" t="s">
        <v>30</v>
      </c>
      <c r="E8" s="386" t="s">
        <v>211</v>
      </c>
      <c r="F8" s="387"/>
      <c r="G8" s="387"/>
      <c r="H8" s="387"/>
      <c r="I8" s="384" t="s">
        <v>28</v>
      </c>
      <c r="J8" s="385"/>
      <c r="K8" s="177">
        <f>IF(compute_Initiation=1, SUM(K5:K7), 0)</f>
        <v>80</v>
      </c>
      <c r="N8" s="45" t="s">
        <v>256</v>
      </c>
      <c r="O8" s="71">
        <v>1</v>
      </c>
      <c r="P8" s="84">
        <v>1</v>
      </c>
      <c r="Q8" s="102">
        <f>IF(O8=1,Definition!C33*P8*effort_UI,0)</f>
        <v>0.16</v>
      </c>
      <c r="R8" s="343"/>
    </row>
    <row r="9" spans="1:25" ht="12.75" customHeight="1">
      <c r="A9" s="55"/>
      <c r="B9" s="52" t="s">
        <v>10</v>
      </c>
      <c r="C9" s="96">
        <v>1</v>
      </c>
      <c r="E9" s="369" t="s">
        <v>212</v>
      </c>
      <c r="F9" s="370"/>
      <c r="G9" s="370"/>
      <c r="H9" s="370"/>
      <c r="I9" s="370"/>
      <c r="J9" s="370"/>
      <c r="K9" s="178">
        <f>IF(compute_Catalog=1,effort_Cat_Documentation,0)</f>
        <v>0</v>
      </c>
      <c r="N9" s="45" t="s">
        <v>20</v>
      </c>
      <c r="O9" s="71">
        <v>0</v>
      </c>
      <c r="P9" s="84">
        <v>1</v>
      </c>
      <c r="Q9" s="102">
        <f>IF(O9=1,Definition!C34*P9*effort_UI,0)</f>
        <v>0</v>
      </c>
      <c r="R9" s="331"/>
    </row>
    <row r="10" spans="1:25" ht="12.75" customHeight="1">
      <c r="A10" s="55"/>
      <c r="B10" s="52" t="s">
        <v>119</v>
      </c>
      <c r="C10" s="96">
        <v>1</v>
      </c>
      <c r="E10" s="369" t="s">
        <v>209</v>
      </c>
      <c r="F10" s="370"/>
      <c r="G10" s="370"/>
      <c r="H10" s="370"/>
      <c r="I10" s="370"/>
      <c r="J10" s="370"/>
      <c r="K10" s="178">
        <f>IF(compute_Catalog=1,effort_Cat_TestDocumentation,0)</f>
        <v>0</v>
      </c>
      <c r="M10" s="71">
        <v>1</v>
      </c>
      <c r="N10" s="77" t="s">
        <v>130</v>
      </c>
      <c r="O10" s="75" t="s">
        <v>11</v>
      </c>
      <c r="P10" s="76" t="s">
        <v>2</v>
      </c>
      <c r="Q10" s="101" t="s">
        <v>29</v>
      </c>
      <c r="R10" s="330">
        <f>IF(M10=1,SUM(Q11:Q14),0)</f>
        <v>0.64</v>
      </c>
    </row>
    <row r="11" spans="1:25" ht="12.75" customHeight="1">
      <c r="A11" s="55"/>
      <c r="B11" s="52" t="s">
        <v>83</v>
      </c>
      <c r="C11" s="96">
        <v>0</v>
      </c>
      <c r="E11" s="386" t="s">
        <v>109</v>
      </c>
      <c r="F11" s="387"/>
      <c r="G11" s="387"/>
      <c r="H11" s="387"/>
      <c r="I11" s="384" t="s">
        <v>217</v>
      </c>
      <c r="J11" s="385"/>
      <c r="K11" s="177">
        <f>SUM(K9:K10)</f>
        <v>0</v>
      </c>
      <c r="N11" s="43" t="s">
        <v>15</v>
      </c>
      <c r="O11" s="71">
        <v>1</v>
      </c>
      <c r="P11" s="43">
        <v>2</v>
      </c>
      <c r="Q11" s="102">
        <f>IF(O11=1,Definition!C36*P11*effort_UI,0)</f>
        <v>0.32</v>
      </c>
      <c r="R11" s="343"/>
    </row>
    <row r="12" spans="1:25">
      <c r="A12" s="55"/>
      <c r="B12" s="52" t="s">
        <v>496</v>
      </c>
      <c r="C12" s="96">
        <v>0</v>
      </c>
      <c r="E12" s="369" t="s">
        <v>41</v>
      </c>
      <c r="F12" s="370"/>
      <c r="G12" s="370"/>
      <c r="H12" s="370"/>
      <c r="I12" s="370"/>
      <c r="J12" s="370"/>
      <c r="K12" s="178">
        <f>IF(compute_UI=1, effort_UI,0)</f>
        <v>8</v>
      </c>
      <c r="N12" s="43" t="s">
        <v>16</v>
      </c>
      <c r="O12" s="71">
        <v>1</v>
      </c>
      <c r="P12" s="43">
        <v>2</v>
      </c>
      <c r="Q12" s="102">
        <f>IF(O12=1,Definition!C37*P12*effort_UI,0)</f>
        <v>0.32</v>
      </c>
      <c r="R12" s="343"/>
    </row>
    <row r="13" spans="1:25">
      <c r="A13" s="55"/>
      <c r="B13" s="52" t="s">
        <v>164</v>
      </c>
      <c r="C13" s="96">
        <v>0</v>
      </c>
      <c r="E13" s="369" t="s">
        <v>120</v>
      </c>
      <c r="F13" s="370"/>
      <c r="G13" s="370"/>
      <c r="H13" s="370"/>
      <c r="I13" s="370"/>
      <c r="J13" s="370"/>
      <c r="K13" s="178">
        <f>IF(compute_SPA=1, effort_SPA_Dev,0)</f>
        <v>0</v>
      </c>
      <c r="N13" s="43" t="s">
        <v>87</v>
      </c>
      <c r="O13" s="71">
        <v>0</v>
      </c>
      <c r="P13" s="43">
        <v>2</v>
      </c>
      <c r="Q13" s="102">
        <f>IF(O13=1,Definition!C38*P13*effort_UI,0)</f>
        <v>0</v>
      </c>
      <c r="R13" s="343"/>
    </row>
    <row r="14" spans="1:25">
      <c r="A14" s="55"/>
      <c r="B14" s="374" t="s">
        <v>492</v>
      </c>
      <c r="C14" s="375"/>
      <c r="E14" s="369" t="s">
        <v>497</v>
      </c>
      <c r="F14" s="370"/>
      <c r="G14" s="370"/>
      <c r="H14" s="370"/>
      <c r="I14" s="370"/>
      <c r="J14" s="370"/>
      <c r="K14" s="178">
        <f>IF(C12=1,' NodeService'!H1,0)</f>
        <v>0</v>
      </c>
      <c r="N14" s="43" t="s">
        <v>89</v>
      </c>
      <c r="O14" s="71">
        <v>0</v>
      </c>
      <c r="P14" s="43">
        <v>2</v>
      </c>
      <c r="Q14" s="102">
        <f>IF(O14=1,Definition!C39*P14*effort_UI,0)</f>
        <v>0</v>
      </c>
      <c r="R14" s="331"/>
    </row>
    <row r="15" spans="1:25" ht="12.75" customHeight="1">
      <c r="A15" s="55"/>
      <c r="B15" s="376"/>
      <c r="C15" s="375"/>
      <c r="E15" s="369" t="s">
        <v>118</v>
      </c>
      <c r="F15" s="370"/>
      <c r="G15" s="370"/>
      <c r="H15" s="370"/>
      <c r="I15" s="370"/>
      <c r="J15" s="370"/>
      <c r="K15" s="178">
        <f>IF(compute_Hybrid=1, effort_Hybrid,0)</f>
        <v>0</v>
      </c>
      <c r="M15" s="354" t="s">
        <v>142</v>
      </c>
      <c r="N15" s="355"/>
      <c r="O15" s="355"/>
      <c r="P15" s="355"/>
      <c r="Q15" s="355"/>
      <c r="R15" s="356"/>
      <c r="Y15" s="79"/>
    </row>
    <row r="16" spans="1:25">
      <c r="A16" s="55"/>
      <c r="B16" s="376"/>
      <c r="C16" s="375"/>
      <c r="E16" s="369" t="s">
        <v>192</v>
      </c>
      <c r="F16" s="370"/>
      <c r="G16" s="370"/>
      <c r="H16" s="370"/>
      <c r="I16" s="370"/>
      <c r="J16" s="370"/>
      <c r="K16" s="178">
        <f>IF(compute_Migration=1, effort_Migration,0)</f>
        <v>0</v>
      </c>
      <c r="M16" s="71">
        <v>0</v>
      </c>
      <c r="N16" s="77" t="s">
        <v>132</v>
      </c>
      <c r="O16" s="75" t="s">
        <v>11</v>
      </c>
      <c r="P16" s="76" t="s">
        <v>2</v>
      </c>
      <c r="Q16" s="103" t="s">
        <v>29</v>
      </c>
      <c r="R16" s="330">
        <f>IF(M16=1,SUM(Q17:Q19),0)</f>
        <v>0</v>
      </c>
    </row>
    <row r="17" spans="1:18">
      <c r="A17" s="55"/>
      <c r="B17" s="376"/>
      <c r="C17" s="375"/>
      <c r="E17" s="386" t="s">
        <v>239</v>
      </c>
      <c r="F17" s="387"/>
      <c r="G17" s="387"/>
      <c r="H17" s="387"/>
      <c r="I17" s="384" t="s">
        <v>229</v>
      </c>
      <c r="J17" s="385"/>
      <c r="K17" s="177">
        <f>SUM(K12:K16)</f>
        <v>8</v>
      </c>
      <c r="N17" s="43" t="s">
        <v>131</v>
      </c>
      <c r="O17" s="82">
        <v>0</v>
      </c>
      <c r="P17" s="84" t="s">
        <v>133</v>
      </c>
      <c r="Q17" s="104">
        <f>IF(O17=1,Definition!C41*(effort_UI+effort_SPA_Dev),0)</f>
        <v>0</v>
      </c>
      <c r="R17" s="343"/>
    </row>
    <row r="18" spans="1:18">
      <c r="A18" s="55"/>
      <c r="B18" s="376"/>
      <c r="C18" s="375"/>
      <c r="E18" s="371" t="s">
        <v>222</v>
      </c>
      <c r="F18" s="372"/>
      <c r="G18" s="372"/>
      <c r="H18" s="372"/>
      <c r="I18" s="372"/>
      <c r="J18" s="373"/>
      <c r="K18" s="178">
        <f>IF(compute_Catalog=1,effort_Cat_DevCBTesting,0)</f>
        <v>0.96000000000000008</v>
      </c>
      <c r="N18" s="43" t="s">
        <v>250</v>
      </c>
      <c r="O18" s="82">
        <v>0</v>
      </c>
      <c r="P18" s="43">
        <v>3</v>
      </c>
      <c r="Q18" s="102">
        <f>IF(O18=1,Definition!C42*effort_UI*P18,0)</f>
        <v>0</v>
      </c>
      <c r="R18" s="343"/>
    </row>
    <row r="19" spans="1:18">
      <c r="A19" s="55"/>
      <c r="B19" s="376"/>
      <c r="C19" s="375"/>
      <c r="E19" s="371" t="s">
        <v>223</v>
      </c>
      <c r="F19" s="372"/>
      <c r="G19" s="372"/>
      <c r="H19" s="372"/>
      <c r="I19" s="372"/>
      <c r="J19" s="373"/>
      <c r="K19" s="178">
        <f>IF(compute_Catalog=1,effort_Cat_DevRWDTesting,0)</f>
        <v>0.64</v>
      </c>
      <c r="N19" s="43" t="s">
        <v>207</v>
      </c>
      <c r="O19" s="82">
        <v>0</v>
      </c>
      <c r="P19" s="43">
        <v>3</v>
      </c>
      <c r="Q19" s="102">
        <f>IF(O19=1,Definition!C43*effort_UI*P19,0)</f>
        <v>0</v>
      </c>
      <c r="R19" s="331"/>
    </row>
    <row r="20" spans="1:18" ht="12.75" customHeight="1">
      <c r="A20" s="55"/>
      <c r="B20" s="376"/>
      <c r="C20" s="375"/>
      <c r="E20" s="371" t="s">
        <v>224</v>
      </c>
      <c r="F20" s="372"/>
      <c r="G20" s="372"/>
      <c r="H20" s="372"/>
      <c r="I20" s="372"/>
      <c r="J20" s="373"/>
      <c r="K20" s="178">
        <f>IF(compute_Catalog=1,effort_Cat_UI_Compliance,0)</f>
        <v>0</v>
      </c>
      <c r="M20" s="71">
        <v>0</v>
      </c>
      <c r="N20" s="77" t="s">
        <v>44</v>
      </c>
      <c r="O20" s="83" t="s">
        <v>11</v>
      </c>
      <c r="P20" s="81"/>
      <c r="Q20" s="101" t="s">
        <v>29</v>
      </c>
      <c r="R20" s="330">
        <f>IF(M20=1,SUM(Q21:Q24),0)</f>
        <v>0</v>
      </c>
    </row>
    <row r="21" spans="1:18">
      <c r="A21" s="55"/>
      <c r="B21" s="377"/>
      <c r="C21" s="378"/>
      <c r="E21" s="371" t="s">
        <v>225</v>
      </c>
      <c r="F21" s="372"/>
      <c r="G21" s="372"/>
      <c r="H21" s="372"/>
      <c r="I21" s="372"/>
      <c r="J21" s="373"/>
      <c r="K21" s="178">
        <f>IF(compute_Catalog=1,effort_Cat_Accessibility,0)</f>
        <v>0</v>
      </c>
      <c r="N21" s="43" t="s">
        <v>88</v>
      </c>
      <c r="O21" s="71">
        <v>0</v>
      </c>
      <c r="P21" s="84" t="s">
        <v>133</v>
      </c>
      <c r="Q21" s="102">
        <f>IF(O21=1,Definition!C45*effort_UI,0)</f>
        <v>0</v>
      </c>
      <c r="R21" s="343"/>
    </row>
    <row r="22" spans="1:18">
      <c r="A22" s="55"/>
      <c r="B22" s="95"/>
      <c r="C22" s="95"/>
      <c r="E22" s="371" t="s">
        <v>405</v>
      </c>
      <c r="F22" s="372"/>
      <c r="G22" s="372"/>
      <c r="H22" s="372"/>
      <c r="I22" s="372"/>
      <c r="J22" s="373"/>
      <c r="K22" s="178">
        <f>IF(compute_Catalog=1,effort_Cat_CodeRevew, 0)</f>
        <v>0</v>
      </c>
      <c r="N22" s="43" t="s">
        <v>15</v>
      </c>
      <c r="O22" s="71">
        <v>0</v>
      </c>
      <c r="P22" s="43">
        <v>3</v>
      </c>
      <c r="Q22" s="102">
        <f>IF(O22=1,Definition!C46*effort_UI*P22,0)</f>
        <v>0</v>
      </c>
      <c r="R22" s="343"/>
    </row>
    <row r="23" spans="1:18">
      <c r="A23" s="55"/>
      <c r="B23" s="95"/>
      <c r="E23" s="386" t="s">
        <v>213</v>
      </c>
      <c r="F23" s="387"/>
      <c r="G23" s="387"/>
      <c r="H23" s="387"/>
      <c r="I23" s="384" t="s">
        <v>230</v>
      </c>
      <c r="J23" s="385"/>
      <c r="K23" s="177">
        <f>SUM(K18:K22)</f>
        <v>1.6</v>
      </c>
      <c r="N23" s="43" t="s">
        <v>16</v>
      </c>
      <c r="O23" s="71">
        <v>0</v>
      </c>
      <c r="P23" s="43">
        <v>3</v>
      </c>
      <c r="Q23" s="102">
        <f>IF(O23=1,Definition!C47*effort_UI*P23,0)</f>
        <v>0</v>
      </c>
      <c r="R23" s="343"/>
    </row>
    <row r="24" spans="1:18">
      <c r="A24" s="55"/>
      <c r="B24" s="95"/>
      <c r="C24" s="95"/>
      <c r="E24" s="371" t="s">
        <v>404</v>
      </c>
      <c r="F24" s="372"/>
      <c r="G24" s="372"/>
      <c r="H24" s="372"/>
      <c r="I24" s="372"/>
      <c r="J24" s="373"/>
      <c r="K24" s="178">
        <f>IF(compute_SPA=1,effort_SPA_Design,0)</f>
        <v>0</v>
      </c>
      <c r="N24" s="43" t="s">
        <v>17</v>
      </c>
      <c r="O24" s="71">
        <v>0</v>
      </c>
      <c r="P24" s="43">
        <v>0</v>
      </c>
      <c r="Q24" s="102">
        <f>IF(O24=1,Definition!C48*effort_UI,0)</f>
        <v>0</v>
      </c>
      <c r="R24" s="343"/>
    </row>
    <row r="25" spans="1:18" ht="15" customHeight="1">
      <c r="A25" s="55"/>
      <c r="B25" s="95"/>
      <c r="E25" s="371" t="s">
        <v>220</v>
      </c>
      <c r="F25" s="372"/>
      <c r="G25" s="372"/>
      <c r="H25" s="372"/>
      <c r="I25" s="372"/>
      <c r="J25" s="373"/>
      <c r="K25" s="178">
        <f>IF(compute_SPA=1,effort_Cat_NFR,0)</f>
        <v>0</v>
      </c>
      <c r="M25" s="71">
        <v>1</v>
      </c>
      <c r="N25" s="77" t="s">
        <v>325</v>
      </c>
      <c r="O25" s="83" t="s">
        <v>11</v>
      </c>
      <c r="P25" s="81"/>
      <c r="Q25" s="101" t="s">
        <v>29</v>
      </c>
      <c r="R25" s="330">
        <f>IF(M25=1, SUM(Q26), 0)</f>
        <v>0</v>
      </c>
    </row>
    <row r="26" spans="1:18" ht="12.75" customHeight="1">
      <c r="A26" s="55"/>
      <c r="B26" s="95"/>
      <c r="E26" s="371" t="s">
        <v>221</v>
      </c>
      <c r="F26" s="372"/>
      <c r="G26" s="372"/>
      <c r="H26" s="372"/>
      <c r="I26" s="372"/>
      <c r="J26" s="373"/>
      <c r="K26" s="178">
        <f>IF(compute_SPA=1,effort_Cat_REST,0)</f>
        <v>0</v>
      </c>
      <c r="N26" s="43" t="s">
        <v>326</v>
      </c>
      <c r="O26" s="71">
        <v>1</v>
      </c>
      <c r="P26" s="84" t="s">
        <v>133</v>
      </c>
      <c r="Q26" s="102">
        <f>IF(O26=1,Definition!C82*effort_SPA_Dev,0)</f>
        <v>0</v>
      </c>
      <c r="R26" s="331"/>
    </row>
    <row r="27" spans="1:18" ht="12.75" customHeight="1">
      <c r="A27" s="55"/>
      <c r="B27" s="95"/>
      <c r="C27" s="95"/>
      <c r="E27" s="386" t="s">
        <v>91</v>
      </c>
      <c r="F27" s="387"/>
      <c r="G27" s="387"/>
      <c r="H27" s="387"/>
      <c r="I27" s="384" t="s">
        <v>218</v>
      </c>
      <c r="J27" s="385"/>
      <c r="K27" s="177">
        <f>SUM(K24:K26)</f>
        <v>0</v>
      </c>
      <c r="M27" s="155" t="s">
        <v>141</v>
      </c>
      <c r="N27" s="156"/>
      <c r="O27" s="156"/>
      <c r="P27" s="156"/>
      <c r="Q27" s="156"/>
      <c r="R27" s="248"/>
    </row>
    <row r="28" spans="1:18" ht="12.75" customHeight="1">
      <c r="A28" s="55"/>
      <c r="B28" s="95"/>
      <c r="C28" s="95"/>
      <c r="E28" s="371" t="s">
        <v>4</v>
      </c>
      <c r="F28" s="372"/>
      <c r="G28" s="372"/>
      <c r="H28" s="372"/>
      <c r="I28" s="373"/>
      <c r="J28" s="46">
        <v>0</v>
      </c>
      <c r="K28" s="178">
        <f>IF(compute_DevSuppTasks=1, effort_Dev*J28, 0)</f>
        <v>0</v>
      </c>
      <c r="M28" s="71">
        <v>0</v>
      </c>
      <c r="N28" s="77" t="s">
        <v>163</v>
      </c>
      <c r="O28" s="75" t="s">
        <v>11</v>
      </c>
      <c r="P28" s="76" t="s">
        <v>2</v>
      </c>
      <c r="Q28" s="101" t="s">
        <v>29</v>
      </c>
      <c r="R28" s="330">
        <f>IF(M28=1,SUM(Q29:Q31),0)</f>
        <v>0</v>
      </c>
    </row>
    <row r="29" spans="1:18" ht="12.75" customHeight="1">
      <c r="A29" s="55"/>
      <c r="B29" s="95"/>
      <c r="C29" s="95"/>
      <c r="E29" s="371" t="s">
        <v>92</v>
      </c>
      <c r="F29" s="372"/>
      <c r="G29" s="372"/>
      <c r="H29" s="372"/>
      <c r="I29" s="373"/>
      <c r="J29" s="46">
        <v>0.03</v>
      </c>
      <c r="K29" s="178">
        <f>IF(compute_DevSuppTasks=1, effort_Dev*J29, 0)</f>
        <v>0.24</v>
      </c>
      <c r="N29" s="43" t="s">
        <v>205</v>
      </c>
      <c r="O29" s="71">
        <v>1</v>
      </c>
      <c r="P29" s="84" t="s">
        <v>133</v>
      </c>
      <c r="Q29" s="102">
        <v>40</v>
      </c>
      <c r="R29" s="343"/>
    </row>
    <row r="30" spans="1:18">
      <c r="A30" s="55"/>
      <c r="B30" s="95"/>
      <c r="C30" s="95"/>
      <c r="E30" s="371" t="s">
        <v>556</v>
      </c>
      <c r="F30" s="372"/>
      <c r="G30" s="372"/>
      <c r="H30" s="372"/>
      <c r="I30" s="373"/>
      <c r="J30" s="46">
        <v>0.15</v>
      </c>
      <c r="K30" s="178">
        <f>IF(compute_DevSuppTasks=1, effort_Dev*J30, 0)</f>
        <v>1.2</v>
      </c>
      <c r="N30" s="43" t="s">
        <v>206</v>
      </c>
      <c r="O30" s="71">
        <v>1</v>
      </c>
      <c r="P30" s="84" t="s">
        <v>133</v>
      </c>
      <c r="Q30" s="102">
        <v>40</v>
      </c>
      <c r="R30" s="343"/>
    </row>
    <row r="31" spans="1:18" ht="12.75" customHeight="1">
      <c r="A31" s="55"/>
      <c r="B31" s="95"/>
      <c r="C31" s="95"/>
      <c r="E31" s="371" t="s">
        <v>14</v>
      </c>
      <c r="F31" s="372"/>
      <c r="G31" s="372"/>
      <c r="H31" s="372"/>
      <c r="I31" s="373"/>
      <c r="J31" s="46">
        <v>0</v>
      </c>
      <c r="K31" s="178">
        <f>IF(compute_DevSuppTasks=1, effort_Dev*J31, 0)</f>
        <v>0</v>
      </c>
      <c r="N31" s="43" t="s">
        <v>67</v>
      </c>
      <c r="O31" s="71">
        <v>0</v>
      </c>
      <c r="P31" s="43">
        <v>2</v>
      </c>
      <c r="Q31" s="102">
        <f>IF(O31=1,Definition!C52*P31,0)</f>
        <v>0</v>
      </c>
      <c r="R31" s="331"/>
    </row>
    <row r="32" spans="1:18" ht="12.75" customHeight="1">
      <c r="A32" s="55"/>
      <c r="B32" s="95"/>
      <c r="C32" s="95"/>
      <c r="E32" s="386" t="s">
        <v>219</v>
      </c>
      <c r="F32" s="387"/>
      <c r="G32" s="387"/>
      <c r="H32" s="387"/>
      <c r="I32" s="384" t="s">
        <v>216</v>
      </c>
      <c r="J32" s="385"/>
      <c r="K32" s="177">
        <f>SUM(K28:K31)</f>
        <v>1.44</v>
      </c>
      <c r="M32" s="71">
        <v>0</v>
      </c>
      <c r="N32" s="77" t="s">
        <v>162</v>
      </c>
      <c r="O32" s="75" t="s">
        <v>11</v>
      </c>
      <c r="P32" s="76" t="s">
        <v>2</v>
      </c>
      <c r="Q32" s="101" t="s">
        <v>29</v>
      </c>
      <c r="R32" s="330">
        <f>IF(M32=1,SUM(Q33:Q36),0)</f>
        <v>0</v>
      </c>
    </row>
    <row r="33" spans="1:18" ht="12.75" customHeight="1">
      <c r="A33" s="55"/>
      <c r="B33" s="95"/>
      <c r="C33" s="95"/>
      <c r="E33" s="371" t="s">
        <v>575</v>
      </c>
      <c r="F33" s="372"/>
      <c r="G33" s="372"/>
      <c r="H33" s="372"/>
      <c r="I33" s="373"/>
      <c r="J33" s="46">
        <v>0.15</v>
      </c>
      <c r="K33" s="178">
        <f>IF(compute_ProgSuppTasks=1, effort_Dev*J33, 0)</f>
        <v>1.2</v>
      </c>
      <c r="N33" s="43" t="s">
        <v>45</v>
      </c>
      <c r="O33" s="71">
        <v>0</v>
      </c>
      <c r="P33" s="43">
        <v>120</v>
      </c>
      <c r="Q33" s="102">
        <f>IF(O33=1,Definition!C56*P33,0)</f>
        <v>0</v>
      </c>
      <c r="R33" s="343"/>
    </row>
    <row r="34" spans="1:18" ht="14.1" customHeight="1">
      <c r="A34" s="55"/>
      <c r="B34" s="95"/>
      <c r="C34" s="95"/>
      <c r="E34" s="371" t="s">
        <v>7</v>
      </c>
      <c r="F34" s="372"/>
      <c r="G34" s="372"/>
      <c r="H34" s="372"/>
      <c r="I34" s="373"/>
      <c r="J34" s="46">
        <v>0</v>
      </c>
      <c r="K34" s="178">
        <f>IF(compute_ProgSuppTasks=1, effort_Dev*J34, 0)</f>
        <v>0</v>
      </c>
      <c r="N34" s="43" t="s">
        <v>161</v>
      </c>
      <c r="O34" s="71">
        <v>0</v>
      </c>
      <c r="P34" s="43">
        <v>25</v>
      </c>
      <c r="Q34" s="102">
        <f>IF(O34=1,Definition!C57*P34,0)</f>
        <v>0</v>
      </c>
      <c r="R34" s="343"/>
    </row>
    <row r="35" spans="1:18" ht="14.1" customHeight="1">
      <c r="B35" s="95"/>
      <c r="C35" s="95"/>
      <c r="E35" s="371" t="s">
        <v>74</v>
      </c>
      <c r="F35" s="372"/>
      <c r="G35" s="372"/>
      <c r="H35" s="372"/>
      <c r="I35" s="373"/>
      <c r="J35" s="46">
        <v>0.1</v>
      </c>
      <c r="K35" s="178">
        <f>IF(compute_ProgSuppTasks=1, effort_Dev*J35, 0)</f>
        <v>0.8</v>
      </c>
      <c r="N35" s="43" t="s">
        <v>42</v>
      </c>
      <c r="O35" s="71">
        <v>0</v>
      </c>
      <c r="P35" s="43">
        <v>25</v>
      </c>
      <c r="Q35" s="102">
        <f>IF(O35=1,Definition!C58*P35,0)</f>
        <v>0</v>
      </c>
      <c r="R35" s="343"/>
    </row>
    <row r="36" spans="1:18" ht="15" customHeight="1">
      <c r="B36" s="95"/>
      <c r="C36" s="95"/>
      <c r="E36" s="371" t="s">
        <v>134</v>
      </c>
      <c r="F36" s="372"/>
      <c r="G36" s="372"/>
      <c r="H36" s="372"/>
      <c r="I36" s="373"/>
      <c r="J36" s="46">
        <v>0</v>
      </c>
      <c r="K36" s="178">
        <f>IF(compute_ProgSuppTasks=1, effort_Dev*J36, 0)</f>
        <v>0</v>
      </c>
      <c r="N36" s="43" t="s">
        <v>43</v>
      </c>
      <c r="O36" s="71">
        <v>0</v>
      </c>
      <c r="P36" s="43">
        <v>25</v>
      </c>
      <c r="Q36" s="102">
        <f>IF(O36=1,Definition!C59*P36,0)</f>
        <v>0</v>
      </c>
      <c r="R36" s="331"/>
    </row>
    <row r="37" spans="1:18" ht="12.75" customHeight="1">
      <c r="B37" s="95"/>
      <c r="C37" s="95"/>
      <c r="E37" s="371" t="s">
        <v>93</v>
      </c>
      <c r="F37" s="372"/>
      <c r="G37" s="372"/>
      <c r="H37" s="372"/>
      <c r="I37" s="373"/>
      <c r="J37" s="46">
        <v>0.15</v>
      </c>
      <c r="K37" s="178">
        <f>IF(compute_DevSuppTasks=1, effort_Dev*J37, 0)</f>
        <v>1.2</v>
      </c>
    </row>
    <row r="38" spans="1:18" ht="12.75" customHeight="1">
      <c r="E38" s="390"/>
      <c r="F38" s="391"/>
      <c r="G38" s="391"/>
      <c r="H38" s="391"/>
      <c r="I38" s="388" t="s">
        <v>215</v>
      </c>
      <c r="J38" s="389"/>
      <c r="K38" s="179">
        <f>SUM(K33:K37)</f>
        <v>3.2</v>
      </c>
    </row>
    <row r="39" spans="1:18" ht="12.75" customHeight="1">
      <c r="E39" s="86"/>
      <c r="F39" s="87"/>
      <c r="G39" s="87"/>
      <c r="H39" s="87"/>
      <c r="I39" s="171" t="s">
        <v>108</v>
      </c>
      <c r="J39" s="165" t="s">
        <v>104</v>
      </c>
      <c r="K39" s="99">
        <f>effort_Initiation+effort_TechDoc+effort_Dev+effort_Cat_SPA+effort_Cat_UI+effort_Support_Dev+effort_Support_Prog</f>
        <v>94.24</v>
      </c>
    </row>
    <row r="40" spans="1:18" ht="12.75" customHeight="1">
      <c r="E40" s="88"/>
      <c r="F40" s="89"/>
      <c r="G40" s="89"/>
      <c r="H40" s="89"/>
      <c r="I40" s="172" t="s">
        <v>108</v>
      </c>
      <c r="J40" s="90" t="s">
        <v>105</v>
      </c>
      <c r="K40" s="54">
        <f>K39/8</f>
        <v>11.78</v>
      </c>
    </row>
    <row r="41" spans="1:18" ht="12.75" customHeight="1">
      <c r="E41" s="91"/>
      <c r="F41" s="85"/>
      <c r="G41" s="85"/>
      <c r="H41" s="85"/>
      <c r="I41" s="173" t="s">
        <v>108</v>
      </c>
      <c r="J41" s="72" t="s">
        <v>106</v>
      </c>
      <c r="K41" s="97">
        <f>K39/(5*8)</f>
        <v>2.3559999999999999</v>
      </c>
    </row>
    <row r="42" spans="1:18" ht="15" customHeight="1">
      <c r="E42" s="92"/>
      <c r="F42" s="93"/>
      <c r="G42" s="93"/>
      <c r="H42" s="93"/>
      <c r="I42" s="174" t="s">
        <v>108</v>
      </c>
      <c r="J42" s="94" t="s">
        <v>107</v>
      </c>
      <c r="K42" s="98">
        <f>K41/4</f>
        <v>0.58899999999999997</v>
      </c>
    </row>
    <row r="43" spans="1:18" ht="12.75" customHeight="1"/>
    <row r="44" spans="1:18" ht="12.75" customHeight="1"/>
    <row r="46" spans="1:18" ht="15" customHeight="1"/>
    <row r="51" ht="15" customHeight="1"/>
    <row r="67" ht="15" customHeight="1"/>
  </sheetData>
  <sheetProtection formatCells="0" formatColumns="0" formatRows="0" insertColumns="0" insertRows="0" insertHyperlinks="0" deleteColumns="0" deleteRows="0" sort="0" autoFilter="0" pivotTables="0"/>
  <mergeCells count="55">
    <mergeCell ref="E22:J22"/>
    <mergeCell ref="I23:J23"/>
    <mergeCell ref="R20:R24"/>
    <mergeCell ref="E28:I28"/>
    <mergeCell ref="I38:J38"/>
    <mergeCell ref="E38:H38"/>
    <mergeCell ref="E33:I33"/>
    <mergeCell ref="E37:I37"/>
    <mergeCell ref="E36:I36"/>
    <mergeCell ref="E32:H32"/>
    <mergeCell ref="I27:J27"/>
    <mergeCell ref="E21:J21"/>
    <mergeCell ref="E23:H23"/>
    <mergeCell ref="E26:J26"/>
    <mergeCell ref="E29:I29"/>
    <mergeCell ref="E35:I35"/>
    <mergeCell ref="R32:R36"/>
    <mergeCell ref="I32:J32"/>
    <mergeCell ref="E24:J24"/>
    <mergeCell ref="E25:J25"/>
    <mergeCell ref="E27:H27"/>
    <mergeCell ref="E30:I30"/>
    <mergeCell ref="R28:R31"/>
    <mergeCell ref="R25:R26"/>
    <mergeCell ref="E34:I34"/>
    <mergeCell ref="E31:I31"/>
    <mergeCell ref="M3:R3"/>
    <mergeCell ref="E8:H8"/>
    <mergeCell ref="I8:J8"/>
    <mergeCell ref="E9:J9"/>
    <mergeCell ref="E20:J20"/>
    <mergeCell ref="E18:J18"/>
    <mergeCell ref="R10:R14"/>
    <mergeCell ref="R5:R9"/>
    <mergeCell ref="M15:R15"/>
    <mergeCell ref="E17:H17"/>
    <mergeCell ref="I17:J17"/>
    <mergeCell ref="R16:R19"/>
    <mergeCell ref="E14:J14"/>
    <mergeCell ref="B1:H1"/>
    <mergeCell ref="J1:K1"/>
    <mergeCell ref="E15:J15"/>
    <mergeCell ref="E16:J16"/>
    <mergeCell ref="E19:J19"/>
    <mergeCell ref="E6:J6"/>
    <mergeCell ref="E7:J7"/>
    <mergeCell ref="B14:C21"/>
    <mergeCell ref="E4:J4"/>
    <mergeCell ref="E10:J10"/>
    <mergeCell ref="E5:J5"/>
    <mergeCell ref="E3:K3"/>
    <mergeCell ref="E13:J13"/>
    <mergeCell ref="I11:J11"/>
    <mergeCell ref="E11:H11"/>
    <mergeCell ref="E12:J12"/>
  </mergeCells>
  <conditionalFormatting sqref="C8">
    <cfRule type="cellIs" dxfId="50" priority="176" operator="equal">
      <formula>"No"</formula>
    </cfRule>
    <cfRule type="cellIs" dxfId="49" priority="177" operator="equal">
      <formula>"Yes"</formula>
    </cfRule>
  </conditionalFormatting>
  <dataValidations count="1">
    <dataValidation type="list" allowBlank="1" showInputMessage="1" showErrorMessage="1" sqref="M4 C4:C7 O29:O31 M28 M20 M16 O33:O36 M10 M32 M25 O11:O14 O21:O24 O17:O19 O26 O5:O9 C9:C13" xr:uid="{00000000-0002-0000-0600-000000000000}">
      <formula1>compute_Boolean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1" r:id="rId4" name="Button 103">
              <controlPr defaultSize="0" print="0" autoFill="0" autoPict="0" macro="[0]!ShowForm">
                <anchor moveWithCells="1" sizeWithCells="1">
                  <from>
                    <xdr:col>13</xdr:col>
                    <xdr:colOff>0</xdr:colOff>
                    <xdr:row>0</xdr:row>
                    <xdr:rowOff>160020</xdr:rowOff>
                  </from>
                  <to>
                    <xdr:col>14</xdr:col>
                    <xdr:colOff>30480</xdr:colOff>
                    <xdr:row>0</xdr:row>
                    <xdr:rowOff>495300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55" id="{80F77737-CDDD-4E74-AA6A-01DABC104ECC}">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O5:O9</xm:sqref>
        </x14:conditionalFormatting>
        <x14:conditionalFormatting xmlns:xm="http://schemas.microsoft.com/office/excel/2006/main">
          <x14:cfRule type="iconSet" priority="54" id="{2F6571C7-1192-43FA-B997-7A6C4DF1E5C4}">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O11:O14</xm:sqref>
        </x14:conditionalFormatting>
        <x14:conditionalFormatting xmlns:xm="http://schemas.microsoft.com/office/excel/2006/main">
          <x14:cfRule type="iconSet" priority="52" id="{E1D8CECC-514A-42F4-975D-8B09E005140D}">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M4</xm:sqref>
        </x14:conditionalFormatting>
        <x14:conditionalFormatting xmlns:xm="http://schemas.microsoft.com/office/excel/2006/main">
          <x14:cfRule type="iconSet" priority="41" id="{2A6562D8-2763-4FF6-8446-07A768ED9EA0}">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O29:O31</xm:sqref>
        </x14:conditionalFormatting>
        <x14:conditionalFormatting xmlns:xm="http://schemas.microsoft.com/office/excel/2006/main">
          <x14:cfRule type="iconSet" priority="38" id="{8CAAA721-02E1-418A-9654-0CCC7879D3AA}">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O33</xm:sqref>
        </x14:conditionalFormatting>
        <x14:conditionalFormatting xmlns:xm="http://schemas.microsoft.com/office/excel/2006/main">
          <x14:cfRule type="iconSet" priority="37" id="{0C7D0BB9-5218-4B08-8EA4-B92BA68E54AD}">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O34</xm:sqref>
        </x14:conditionalFormatting>
        <x14:conditionalFormatting xmlns:xm="http://schemas.microsoft.com/office/excel/2006/main">
          <x14:cfRule type="iconSet" priority="36" id="{2B452C62-9ABD-46DD-9FE6-A345A18EBB1C}">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O35</xm:sqref>
        </x14:conditionalFormatting>
        <x14:conditionalFormatting xmlns:xm="http://schemas.microsoft.com/office/excel/2006/main">
          <x14:cfRule type="iconSet" priority="35" id="{10147664-5F49-46A2-B213-1ECB68C8E903}">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O36</xm:sqref>
        </x14:conditionalFormatting>
        <x14:conditionalFormatting xmlns:xm="http://schemas.microsoft.com/office/excel/2006/main">
          <x14:cfRule type="iconSet" priority="28" id="{EAD838C5-8C6C-4270-8A51-C99AF3D4BDA6}">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O21:O24</xm:sqref>
        </x14:conditionalFormatting>
        <x14:conditionalFormatting xmlns:xm="http://schemas.microsoft.com/office/excel/2006/main">
          <x14:cfRule type="iconSet" priority="15" id="{455D809D-F7C2-49BF-8808-8D18DF59984A}">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M10</xm:sqref>
        </x14:conditionalFormatting>
        <x14:conditionalFormatting xmlns:xm="http://schemas.microsoft.com/office/excel/2006/main">
          <x14:cfRule type="iconSet" priority="14" id="{149AC835-A538-42D9-9B9F-D4C9F2328244}">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M16</xm:sqref>
        </x14:conditionalFormatting>
        <x14:conditionalFormatting xmlns:xm="http://schemas.microsoft.com/office/excel/2006/main">
          <x14:cfRule type="iconSet" priority="13" id="{0F303A07-CC2E-41FD-AFFC-28C8AEB2B2ED}">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M20</xm:sqref>
        </x14:conditionalFormatting>
        <x14:conditionalFormatting xmlns:xm="http://schemas.microsoft.com/office/excel/2006/main">
          <x14:cfRule type="iconSet" priority="10" id="{BDA9358C-0A46-4477-AD7F-B68CE90AA2CC}">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M28</xm:sqref>
        </x14:conditionalFormatting>
        <x14:conditionalFormatting xmlns:xm="http://schemas.microsoft.com/office/excel/2006/main">
          <x14:cfRule type="iconSet" priority="9" id="{1E4B42F2-7E15-4ABB-A145-EC0B63C2001E}">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M32</xm:sqref>
        </x14:conditionalFormatting>
        <x14:conditionalFormatting xmlns:xm="http://schemas.microsoft.com/office/excel/2006/main">
          <x14:cfRule type="iconSet" priority="205" id="{6D186E48-C48C-41B4-83CE-2D6C25423C9F}">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C4:C7</xm:sqref>
        </x14:conditionalFormatting>
        <x14:conditionalFormatting xmlns:xm="http://schemas.microsoft.com/office/excel/2006/main">
          <x14:cfRule type="iconSet" priority="206" id="{9F19007F-2E56-4C0E-A95A-1147F2E134B2}">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O17:O19</xm:sqref>
        </x14:conditionalFormatting>
        <x14:conditionalFormatting xmlns:xm="http://schemas.microsoft.com/office/excel/2006/main">
          <x14:cfRule type="iconSet" priority="3" id="{43A2E300-6993-8C44-A48D-F239F520740B}">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M25</xm:sqref>
        </x14:conditionalFormatting>
        <x14:conditionalFormatting xmlns:xm="http://schemas.microsoft.com/office/excel/2006/main">
          <x14:cfRule type="iconSet" priority="2" id="{9B39AAED-9790-014C-BDBF-252E3D8064D0}">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O26</xm:sqref>
        </x14:conditionalFormatting>
        <x14:conditionalFormatting xmlns:xm="http://schemas.microsoft.com/office/excel/2006/main">
          <x14:cfRule type="iconSet" priority="755" id="{9B4296ED-427C-4E18-BF06-4AD0CDE0F1E0}">
            <x14:iconSet iconSet="3Symbols" showValue="0" custom="1">
              <x14:cfvo type="percent">
                <xm:f>0</xm:f>
              </x14:cfvo>
              <x14:cfvo type="num">
                <xm:f>0</xm:f>
              </x14:cfvo>
              <x14:cfvo type="num">
                <xm:f>1</xm:f>
              </x14:cfvo>
              <x14:cfIcon iconSet="3TrafficLights1" iconId="0"/>
              <x14:cfIcon iconSet="3TrafficLights1" iconId="0"/>
              <x14:cfIcon iconSet="3Symbols" iconId="2"/>
            </x14:iconSet>
          </x14:cfRule>
          <xm:sqref>C9:C13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39997558519241921"/>
  </sheetPr>
  <dimension ref="B1:AZ81"/>
  <sheetViews>
    <sheetView workbookViewId="0">
      <pane xSplit="2" ySplit="4" topLeftCell="C5" activePane="bottomRight" state="frozen"/>
      <selection pane="topRight" activeCell="C1" sqref="C1"/>
      <selection pane="bottomLeft" activeCell="A5" sqref="A5"/>
      <selection pane="bottomRight" activeCell="D56" sqref="D56"/>
    </sheetView>
  </sheetViews>
  <sheetFormatPr defaultColWidth="11.44140625" defaultRowHeight="13.8"/>
  <cols>
    <col min="1" max="1" width="4.44140625" style="2" customWidth="1"/>
    <col min="2" max="2" width="25.109375" style="2" customWidth="1"/>
    <col min="3" max="3" width="5.88671875" style="2" customWidth="1"/>
    <col min="4" max="4" width="20.33203125" style="2" bestFit="1" customWidth="1"/>
    <col min="5" max="29" width="6" style="2" customWidth="1"/>
    <col min="30" max="31" width="7.109375" style="2" customWidth="1"/>
    <col min="32" max="32" width="12.5546875" style="2" customWidth="1"/>
    <col min="33" max="33" width="12.109375" style="2" customWidth="1"/>
    <col min="34" max="34" width="11.88671875" style="2" customWidth="1"/>
    <col min="35" max="35" width="12.33203125" style="2" customWidth="1"/>
    <col min="36" max="36" width="11" style="2" customWidth="1"/>
    <col min="37" max="59" width="6" style="2" customWidth="1"/>
    <col min="60" max="16384" width="11.44140625" style="2"/>
  </cols>
  <sheetData>
    <row r="1" spans="2:52" s="35" customFormat="1" ht="47.25" customHeight="1">
      <c r="B1" s="320" t="s">
        <v>353</v>
      </c>
      <c r="C1" s="320"/>
      <c r="D1" s="320"/>
      <c r="E1" s="320"/>
      <c r="F1" s="320"/>
      <c r="G1" s="320"/>
      <c r="H1" s="320"/>
      <c r="I1" s="320"/>
      <c r="J1" s="108"/>
      <c r="K1" s="108"/>
      <c r="L1" s="108"/>
    </row>
    <row r="3" spans="2:52">
      <c r="E3" s="404" t="s">
        <v>296</v>
      </c>
      <c r="F3" s="404"/>
      <c r="G3" s="404"/>
      <c r="H3" s="404"/>
      <c r="I3" s="404"/>
      <c r="J3" s="404"/>
      <c r="K3" s="404" t="s">
        <v>297</v>
      </c>
      <c r="L3" s="404"/>
      <c r="M3" s="404"/>
      <c r="N3" s="404" t="s">
        <v>295</v>
      </c>
      <c r="O3" s="404"/>
      <c r="P3" s="404"/>
      <c r="Q3" s="404"/>
      <c r="R3" s="404"/>
      <c r="S3" s="404"/>
      <c r="T3" s="404"/>
      <c r="U3" s="404"/>
      <c r="V3" s="404"/>
      <c r="W3" s="404" t="s">
        <v>298</v>
      </c>
      <c r="X3" s="404"/>
      <c r="Y3" s="404"/>
      <c r="Z3" s="404"/>
      <c r="AA3" s="404"/>
      <c r="AB3" s="404"/>
      <c r="AC3" s="404" t="s">
        <v>299</v>
      </c>
      <c r="AD3" s="404"/>
      <c r="AE3" s="404"/>
    </row>
    <row r="4" spans="2:52" ht="29.25" customHeight="1">
      <c r="B4" s="236" t="s">
        <v>394</v>
      </c>
      <c r="D4" s="205" t="s">
        <v>259</v>
      </c>
      <c r="E4" s="407" t="s">
        <v>36</v>
      </c>
      <c r="F4" s="408"/>
      <c r="G4" s="408"/>
      <c r="H4" s="407" t="s">
        <v>260</v>
      </c>
      <c r="I4" s="408"/>
      <c r="J4" s="409"/>
      <c r="K4" s="407" t="s">
        <v>270</v>
      </c>
      <c r="L4" s="408"/>
      <c r="M4" s="408"/>
      <c r="N4" s="407" t="s">
        <v>261</v>
      </c>
      <c r="O4" s="408"/>
      <c r="P4" s="409"/>
      <c r="Q4" s="407" t="s">
        <v>119</v>
      </c>
      <c r="R4" s="408"/>
      <c r="S4" s="409"/>
      <c r="T4" s="407" t="s">
        <v>83</v>
      </c>
      <c r="U4" s="408"/>
      <c r="V4" s="408"/>
      <c r="W4" s="407" t="s">
        <v>292</v>
      </c>
      <c r="X4" s="408"/>
      <c r="Y4" s="409"/>
      <c r="Z4" s="407" t="s">
        <v>271</v>
      </c>
      <c r="AA4" s="408"/>
      <c r="AB4" s="409"/>
      <c r="AC4" s="407" t="s">
        <v>291</v>
      </c>
      <c r="AD4" s="408"/>
      <c r="AE4" s="409"/>
      <c r="AF4" s="306" t="s">
        <v>576</v>
      </c>
      <c r="AG4" s="306" t="s">
        <v>577</v>
      </c>
      <c r="AH4" s="306" t="s">
        <v>578</v>
      </c>
      <c r="AI4" s="306" t="s">
        <v>579</v>
      </c>
    </row>
    <row r="5" spans="2:52">
      <c r="B5" s="197" t="s">
        <v>437</v>
      </c>
      <c r="D5" s="281" t="str">
        <f>IF(B5&lt;&gt;"", IF(B5="NA", Definition!E29, B5), Definition!E29)</f>
        <v>Common</v>
      </c>
      <c r="E5" s="392">
        <f>IF(effort_Dev=0, Definition!C$25, Definition!I29*effort_Initiation/effort_Dev)</f>
        <v>80</v>
      </c>
      <c r="F5" s="392"/>
      <c r="G5" s="392"/>
      <c r="H5" s="392">
        <f>IF(effort_Dev=0, Definition!C$25, Definition!I29*effort_TechDoc/effort_Dev)</f>
        <v>0</v>
      </c>
      <c r="I5" s="392"/>
      <c r="J5" s="392"/>
      <c r="K5" s="392">
        <f>IF(effort_Dev=0, Definition!C$25, Definition!I29*effort_Cat_SPA/effort_Dev)</f>
        <v>0</v>
      </c>
      <c r="L5" s="392"/>
      <c r="M5" s="392"/>
      <c r="N5" s="392">
        <f>Definition!F29</f>
        <v>8</v>
      </c>
      <c r="O5" s="392"/>
      <c r="P5" s="392"/>
      <c r="Q5" s="392">
        <f>Definition!G29</f>
        <v>0</v>
      </c>
      <c r="R5" s="392"/>
      <c r="S5" s="392"/>
      <c r="T5" s="392">
        <f>Definition!H29</f>
        <v>0</v>
      </c>
      <c r="U5" s="392"/>
      <c r="V5" s="392"/>
      <c r="W5" s="392">
        <f>IF(effort_Dev=0, Definition!C$25, Definition!I29*effort_Cat_UI/effort_Dev)</f>
        <v>1.6</v>
      </c>
      <c r="X5" s="392"/>
      <c r="Y5" s="392"/>
      <c r="Z5" s="392">
        <f>IF(effort_Dev=0, Definition!C$25, Definition!I29*effort_Support_Dev/effort_Dev)</f>
        <v>1.44</v>
      </c>
      <c r="AA5" s="392"/>
      <c r="AB5" s="392"/>
      <c r="AC5" s="392">
        <f>IF(effort_Dev=0, Definition!C$25, Definition!I29*effort_Support_Prog/effort_Dev)</f>
        <v>3.2</v>
      </c>
      <c r="AD5" s="392"/>
      <c r="AE5" s="392"/>
      <c r="AF5" s="305">
        <f>SUM(E5:AE5)</f>
        <v>94.24</v>
      </c>
      <c r="AG5" s="305">
        <f>AF5/8</f>
        <v>11.78</v>
      </c>
      <c r="AH5" s="305">
        <f>AF5/(5*8)</f>
        <v>2.3559999999999999</v>
      </c>
      <c r="AI5" s="305">
        <f>AH5/4</f>
        <v>0.58899999999999997</v>
      </c>
      <c r="AM5" s="187"/>
      <c r="AN5" s="187"/>
      <c r="AO5" s="187"/>
      <c r="AP5" s="187"/>
      <c r="AQ5" s="187"/>
      <c r="AR5" s="187"/>
      <c r="AS5" s="187"/>
      <c r="AT5" s="187"/>
      <c r="AU5" s="187"/>
      <c r="AV5" s="187"/>
      <c r="AW5" s="187"/>
      <c r="AX5" s="187"/>
      <c r="AY5" s="187"/>
      <c r="AZ5" s="187"/>
    </row>
    <row r="6" spans="2:52">
      <c r="B6" s="197" t="s">
        <v>438</v>
      </c>
      <c r="D6" s="281" t="str">
        <f>IF(B6&lt;&gt;"", IF(B6="NA", Definition!E30, B6), Definition!E30)</f>
        <v>Marketing</v>
      </c>
      <c r="E6" s="392">
        <f>IF(effort_Dev=0, Definition!C$25, Definition!I30*effort_Initiation/effort_Dev)</f>
        <v>0</v>
      </c>
      <c r="F6" s="392"/>
      <c r="G6" s="392"/>
      <c r="H6" s="392">
        <f>IF(effort_Dev=0, Definition!C$25, Definition!I30*effort_TechDoc/effort_Dev)</f>
        <v>0</v>
      </c>
      <c r="I6" s="392"/>
      <c r="J6" s="392"/>
      <c r="K6" s="392">
        <f>IF(effort_Dev=0, Definition!C$25, Definition!I30*effort_Cat_SPA/effort_Dev)</f>
        <v>0</v>
      </c>
      <c r="L6" s="392"/>
      <c r="M6" s="392"/>
      <c r="N6" s="393">
        <f>Definition!F30</f>
        <v>0</v>
      </c>
      <c r="O6" s="394"/>
      <c r="P6" s="395"/>
      <c r="Q6" s="392">
        <f>Definition!G30</f>
        <v>0</v>
      </c>
      <c r="R6" s="392"/>
      <c r="S6" s="392"/>
      <c r="T6" s="392">
        <f>Definition!H30</f>
        <v>0</v>
      </c>
      <c r="U6" s="392"/>
      <c r="V6" s="392"/>
      <c r="W6" s="392">
        <f>IF(effort_Dev=0, Definition!C$25, Definition!I30*effort_Cat_UI/effort_Dev)</f>
        <v>0</v>
      </c>
      <c r="X6" s="392"/>
      <c r="Y6" s="392"/>
      <c r="Z6" s="392">
        <f>IF(effort_Dev=0, Definition!C$25, Definition!I30*effort_Support_Dev/effort_Dev)</f>
        <v>0</v>
      </c>
      <c r="AA6" s="392"/>
      <c r="AB6" s="392"/>
      <c r="AC6" s="392">
        <f>IF(effort_Dev=0, Definition!C$25, Definition!I30*effort_Support_Prog/effort_Dev)</f>
        <v>0</v>
      </c>
      <c r="AD6" s="392"/>
      <c r="AE6" s="392"/>
      <c r="AF6" s="305">
        <f t="shared" ref="AF6:AF19" si="0">SUM(E6:AE6)</f>
        <v>0</v>
      </c>
      <c r="AG6" s="305">
        <f t="shared" ref="AG6:AG54" si="1">AF6/8</f>
        <v>0</v>
      </c>
      <c r="AH6" s="305">
        <f t="shared" ref="AH6:AH11" si="2">AF6/(5*8)</f>
        <v>0</v>
      </c>
      <c r="AI6" s="305">
        <f t="shared" ref="AI6:AI54" si="3">AH6/4</f>
        <v>0</v>
      </c>
      <c r="AM6" s="187"/>
      <c r="AN6" s="187"/>
      <c r="AO6" s="187"/>
      <c r="AP6" s="187"/>
      <c r="AQ6" s="187"/>
      <c r="AR6" s="187"/>
      <c r="AS6" s="187"/>
      <c r="AT6" s="187"/>
      <c r="AU6" s="187"/>
      <c r="AV6" s="187"/>
      <c r="AW6" s="187"/>
    </row>
    <row r="7" spans="2:52">
      <c r="B7" s="197" t="s">
        <v>485</v>
      </c>
      <c r="D7" s="281" t="str">
        <f>IF(B7&lt;&gt;"", IF(B7="NA", Definition!E31, B7), Definition!E31)</f>
        <v>Data</v>
      </c>
      <c r="E7" s="392">
        <f>IF(effort_Dev=0, Definition!C$25, Definition!I31*effort_Initiation/effort_Dev)</f>
        <v>0</v>
      </c>
      <c r="F7" s="392"/>
      <c r="G7" s="392"/>
      <c r="H7" s="392">
        <f>IF(effort_Dev=0, Definition!C$25, Definition!I31*effort_TechDoc/effort_Dev)</f>
        <v>0</v>
      </c>
      <c r="I7" s="392"/>
      <c r="J7" s="392"/>
      <c r="K7" s="392">
        <f>IF(effort_Dev=0, Definition!C$25, Definition!I31*effort_Cat_SPA/effort_Dev)</f>
        <v>0</v>
      </c>
      <c r="L7" s="392"/>
      <c r="M7" s="392"/>
      <c r="N7" s="393">
        <f>Definition!F31</f>
        <v>0</v>
      </c>
      <c r="O7" s="394"/>
      <c r="P7" s="395"/>
      <c r="Q7" s="392">
        <f>Definition!G31</f>
        <v>0</v>
      </c>
      <c r="R7" s="392"/>
      <c r="S7" s="392"/>
      <c r="T7" s="392">
        <f>Definition!H31</f>
        <v>0</v>
      </c>
      <c r="U7" s="392"/>
      <c r="V7" s="392"/>
      <c r="W7" s="392">
        <f>IF(effort_Dev=0, Definition!C$25, Definition!I31*effort_Cat_UI/effort_Dev)</f>
        <v>0</v>
      </c>
      <c r="X7" s="392"/>
      <c r="Y7" s="392"/>
      <c r="Z7" s="392">
        <f>IF(effort_Dev=0, Definition!C$25, Definition!I31*effort_Support_Dev/effort_Dev)</f>
        <v>0</v>
      </c>
      <c r="AA7" s="392"/>
      <c r="AB7" s="392"/>
      <c r="AC7" s="392">
        <f>IF(effort_Dev=0, Definition!C$25, Definition!I31*effort_Support_Prog/effort_Dev)</f>
        <v>0</v>
      </c>
      <c r="AD7" s="392"/>
      <c r="AE7" s="392"/>
      <c r="AF7" s="305">
        <f t="shared" si="0"/>
        <v>0</v>
      </c>
      <c r="AG7" s="305">
        <f t="shared" si="1"/>
        <v>0</v>
      </c>
      <c r="AH7" s="305">
        <f t="shared" si="2"/>
        <v>0</v>
      </c>
      <c r="AI7" s="305">
        <f t="shared" si="3"/>
        <v>0</v>
      </c>
      <c r="AM7" s="187"/>
      <c r="AN7" s="187"/>
      <c r="AO7" s="187"/>
      <c r="AP7" s="187"/>
      <c r="AQ7" s="187"/>
      <c r="AR7" s="187"/>
      <c r="AS7" s="187"/>
      <c r="AT7" s="187"/>
      <c r="AU7" s="187"/>
      <c r="AV7" s="187"/>
      <c r="AW7" s="187"/>
    </row>
    <row r="8" spans="2:52">
      <c r="B8" s="197" t="s">
        <v>486</v>
      </c>
      <c r="D8" s="281" t="str">
        <f>IF(B8&lt;&gt;"", IF(B8="NA", Definition!E32, B8), Definition!E32)</f>
        <v>Investor</v>
      </c>
      <c r="E8" s="392">
        <f>IF(effort_Dev=0, Definition!C$25, Definition!I32*effort_Initiation/effort_Dev)</f>
        <v>0</v>
      </c>
      <c r="F8" s="392"/>
      <c r="G8" s="392"/>
      <c r="H8" s="392">
        <f>IF(effort_Dev=0, Definition!C$25, Definition!I32*effort_TechDoc/effort_Dev)</f>
        <v>0</v>
      </c>
      <c r="I8" s="392"/>
      <c r="J8" s="392"/>
      <c r="K8" s="392">
        <f>IF(effort_Dev=0, Definition!C$25, Definition!I32*effort_Cat_SPA/effort_Dev)</f>
        <v>0</v>
      </c>
      <c r="L8" s="392"/>
      <c r="M8" s="392"/>
      <c r="N8" s="393">
        <f>Definition!F32</f>
        <v>0</v>
      </c>
      <c r="O8" s="394"/>
      <c r="P8" s="395"/>
      <c r="Q8" s="392">
        <f>Definition!G32</f>
        <v>0</v>
      </c>
      <c r="R8" s="392"/>
      <c r="S8" s="392"/>
      <c r="T8" s="392">
        <f>Definition!H32</f>
        <v>0</v>
      </c>
      <c r="U8" s="392"/>
      <c r="V8" s="392"/>
      <c r="W8" s="392">
        <f>IF(effort_Dev=0, Definition!C$25, Definition!I32*effort_Cat_UI/effort_Dev)</f>
        <v>0</v>
      </c>
      <c r="X8" s="392"/>
      <c r="Y8" s="392"/>
      <c r="Z8" s="392">
        <f>IF(effort_Dev=0, Definition!C$25, Definition!I32*effort_Support_Dev/effort_Dev)</f>
        <v>0</v>
      </c>
      <c r="AA8" s="392"/>
      <c r="AB8" s="392"/>
      <c r="AC8" s="392">
        <f>IF(effort_Dev=0, Definition!C$25, Definition!I32*effort_Support_Prog/effort_Dev)</f>
        <v>0</v>
      </c>
      <c r="AD8" s="392"/>
      <c r="AE8" s="392"/>
      <c r="AF8" s="305">
        <f t="shared" si="0"/>
        <v>0</v>
      </c>
      <c r="AG8" s="305">
        <f t="shared" si="1"/>
        <v>0</v>
      </c>
      <c r="AH8" s="305">
        <f t="shared" si="2"/>
        <v>0</v>
      </c>
      <c r="AI8" s="305">
        <f t="shared" si="3"/>
        <v>0</v>
      </c>
      <c r="AM8" s="187"/>
      <c r="AN8" s="187"/>
      <c r="AO8" s="187"/>
      <c r="AP8" s="187"/>
      <c r="AQ8" s="187"/>
      <c r="AR8" s="187"/>
      <c r="AS8" s="187"/>
      <c r="AT8" s="187"/>
      <c r="AU8" s="187"/>
      <c r="AV8" s="187"/>
      <c r="AW8" s="187"/>
      <c r="AX8" s="187"/>
      <c r="AY8" s="187"/>
      <c r="AZ8" s="187"/>
    </row>
    <row r="9" spans="2:52">
      <c r="B9" s="197" t="s">
        <v>487</v>
      </c>
      <c r="D9" s="281" t="str">
        <f>IF(B9&lt;&gt;"", IF(B9="NA", Definition!E33, B9), Definition!E33)</f>
        <v>Debitor</v>
      </c>
      <c r="E9" s="392">
        <f>IF(effort_Dev=0, Definition!C$25, Definition!I33*effort_Initiation/effort_Dev)</f>
        <v>0</v>
      </c>
      <c r="F9" s="392"/>
      <c r="G9" s="392"/>
      <c r="H9" s="392">
        <f>IF(effort_Dev=0, Definition!C$25, Definition!I33*effort_TechDoc/effort_Dev)</f>
        <v>0</v>
      </c>
      <c r="I9" s="392"/>
      <c r="J9" s="392"/>
      <c r="K9" s="392">
        <f>IF(effort_Dev=0, Definition!C$25, Definition!I33*effort_Cat_SPA/effort_Dev)</f>
        <v>0</v>
      </c>
      <c r="L9" s="392"/>
      <c r="M9" s="392"/>
      <c r="N9" s="393">
        <f>Definition!F33</f>
        <v>0</v>
      </c>
      <c r="O9" s="394"/>
      <c r="P9" s="395"/>
      <c r="Q9" s="392">
        <f>Definition!G33</f>
        <v>0</v>
      </c>
      <c r="R9" s="392"/>
      <c r="S9" s="392"/>
      <c r="T9" s="392">
        <f>Definition!H33</f>
        <v>0</v>
      </c>
      <c r="U9" s="392"/>
      <c r="V9" s="392"/>
      <c r="W9" s="392">
        <f>IF(effort_Dev=0, Definition!C$25, Definition!I33*effort_Cat_UI/effort_Dev)</f>
        <v>0</v>
      </c>
      <c r="X9" s="392"/>
      <c r="Y9" s="392"/>
      <c r="Z9" s="392">
        <f>IF(effort_Dev=0, Definition!C$25, Definition!I33*effort_Support_Dev/effort_Dev)</f>
        <v>0</v>
      </c>
      <c r="AA9" s="392"/>
      <c r="AB9" s="392"/>
      <c r="AC9" s="392">
        <f>IF(effort_Dev=0, Definition!C$25, Definition!I33*effort_Support_Prog/effort_Dev)</f>
        <v>0</v>
      </c>
      <c r="AD9" s="392"/>
      <c r="AE9" s="392"/>
      <c r="AF9" s="305">
        <f t="shared" si="0"/>
        <v>0</v>
      </c>
      <c r="AG9" s="305">
        <f t="shared" si="1"/>
        <v>0</v>
      </c>
      <c r="AH9" s="305">
        <f t="shared" si="2"/>
        <v>0</v>
      </c>
      <c r="AI9" s="305">
        <f t="shared" si="3"/>
        <v>0</v>
      </c>
      <c r="AM9" s="187"/>
      <c r="AN9" s="187"/>
      <c r="AO9" s="187"/>
      <c r="AP9" s="187"/>
      <c r="AQ9" s="187"/>
      <c r="AR9" s="187"/>
      <c r="AS9" s="187"/>
      <c r="AT9" s="187"/>
      <c r="AU9" s="187"/>
      <c r="AV9" s="187"/>
      <c r="AW9" s="187"/>
      <c r="AX9" s="187"/>
      <c r="AY9" s="187"/>
      <c r="AZ9" s="187"/>
    </row>
    <row r="10" spans="2:52">
      <c r="B10" s="197" t="s">
        <v>488</v>
      </c>
      <c r="D10" s="281" t="str">
        <f>IF(B10&lt;&gt;"", IF(B10="NA", Definition!E34, B10), Definition!E34)</f>
        <v>Business</v>
      </c>
      <c r="E10" s="392">
        <f>IF(effort_Dev=0, Definition!C$25, Definition!I34*effort_Initiation/effort_Dev)</f>
        <v>0</v>
      </c>
      <c r="F10" s="392"/>
      <c r="G10" s="392"/>
      <c r="H10" s="392">
        <f>IF(effort_Dev=0, Definition!C$25, Definition!I34*effort_TechDoc/effort_Dev)</f>
        <v>0</v>
      </c>
      <c r="I10" s="392"/>
      <c r="J10" s="392"/>
      <c r="K10" s="392">
        <f>IF(effort_Dev=0, Definition!C$25, Definition!I34*effort_Cat_SPA/effort_Dev)</f>
        <v>0</v>
      </c>
      <c r="L10" s="392"/>
      <c r="M10" s="392"/>
      <c r="N10" s="393">
        <f>Definition!F34</f>
        <v>0</v>
      </c>
      <c r="O10" s="394"/>
      <c r="P10" s="395"/>
      <c r="Q10" s="392">
        <f>Definition!G34</f>
        <v>0</v>
      </c>
      <c r="R10" s="392"/>
      <c r="S10" s="392"/>
      <c r="T10" s="392">
        <f>Definition!H34</f>
        <v>0</v>
      </c>
      <c r="U10" s="392"/>
      <c r="V10" s="392"/>
      <c r="W10" s="392">
        <f>IF(effort_Dev=0, Definition!C$25, Definition!I34*effort_Cat_UI/effort_Dev)</f>
        <v>0</v>
      </c>
      <c r="X10" s="392"/>
      <c r="Y10" s="392"/>
      <c r="Z10" s="392">
        <f>IF(effort_Dev=0, Definition!C$25, Definition!I34*effort_Support_Dev/effort_Dev)</f>
        <v>0</v>
      </c>
      <c r="AA10" s="392"/>
      <c r="AB10" s="392"/>
      <c r="AC10" s="392">
        <f>IF(effort_Dev=0, Definition!C$25, Definition!I34*effort_Support_Prog/effort_Dev)</f>
        <v>0</v>
      </c>
      <c r="AD10" s="392"/>
      <c r="AE10" s="392"/>
      <c r="AF10" s="305">
        <f t="shared" si="0"/>
        <v>0</v>
      </c>
      <c r="AG10" s="305">
        <f t="shared" si="1"/>
        <v>0</v>
      </c>
      <c r="AH10" s="305">
        <f t="shared" si="2"/>
        <v>0</v>
      </c>
      <c r="AI10" s="305">
        <f t="shared" si="3"/>
        <v>0</v>
      </c>
      <c r="AM10" s="187"/>
      <c r="AN10" s="187"/>
      <c r="AO10" s="187"/>
      <c r="AP10" s="187"/>
      <c r="AQ10" s="187"/>
      <c r="AR10" s="187"/>
      <c r="AS10" s="187"/>
      <c r="AT10" s="187"/>
      <c r="AU10" s="187"/>
      <c r="AV10" s="187"/>
      <c r="AW10" s="187"/>
      <c r="AX10" s="187"/>
      <c r="AY10" s="187"/>
      <c r="AZ10" s="187"/>
    </row>
    <row r="11" spans="2:52">
      <c r="B11" s="197" t="s">
        <v>489</v>
      </c>
      <c r="D11" s="281" t="str">
        <f>IF(B11&lt;&gt;"", IF(B11="NA", Definition!E35, B11), Definition!E35)</f>
        <v>Commander</v>
      </c>
      <c r="E11" s="392">
        <f>IF(effort_Dev=0, Definition!C$25, Definition!I35*effort_Initiation/effort_Dev)</f>
        <v>0</v>
      </c>
      <c r="F11" s="392"/>
      <c r="G11" s="392"/>
      <c r="H11" s="392">
        <f>IF(effort_Dev=0, Definition!C$25, Definition!I35*effort_TechDoc/effort_Dev)</f>
        <v>0</v>
      </c>
      <c r="I11" s="392"/>
      <c r="J11" s="392"/>
      <c r="K11" s="392">
        <f>IF(effort_Dev=0, Definition!C$25, Definition!I35*effort_Cat_SPA/effort_Dev)</f>
        <v>0</v>
      </c>
      <c r="L11" s="392"/>
      <c r="M11" s="392"/>
      <c r="N11" s="393">
        <f>Definition!F35</f>
        <v>0</v>
      </c>
      <c r="O11" s="394"/>
      <c r="P11" s="395"/>
      <c r="Q11" s="392">
        <f>Definition!G35</f>
        <v>0</v>
      </c>
      <c r="R11" s="392"/>
      <c r="S11" s="392"/>
      <c r="T11" s="392">
        <f>Definition!H35</f>
        <v>0</v>
      </c>
      <c r="U11" s="392"/>
      <c r="V11" s="392"/>
      <c r="W11" s="392">
        <f>IF(effort_Dev=0, Definition!C$25, Definition!I35*effort_Cat_UI/effort_Dev)</f>
        <v>0</v>
      </c>
      <c r="X11" s="392"/>
      <c r="Y11" s="392"/>
      <c r="Z11" s="392">
        <f>IF(effort_Dev=0, Definition!C$25, Definition!I35*effort_Support_Dev/effort_Dev)</f>
        <v>0</v>
      </c>
      <c r="AA11" s="392"/>
      <c r="AB11" s="392"/>
      <c r="AC11" s="392">
        <f>IF(effort_Dev=0, Definition!C$25, Definition!I35*effort_Support_Prog/effort_Dev)</f>
        <v>0</v>
      </c>
      <c r="AD11" s="392"/>
      <c r="AE11" s="392"/>
      <c r="AF11" s="305">
        <f t="shared" si="0"/>
        <v>0</v>
      </c>
      <c r="AG11" s="305">
        <f t="shared" si="1"/>
        <v>0</v>
      </c>
      <c r="AH11" s="305">
        <f t="shared" si="2"/>
        <v>0</v>
      </c>
      <c r="AI11" s="305">
        <f t="shared" si="3"/>
        <v>0</v>
      </c>
      <c r="AM11" s="187"/>
      <c r="AN11" s="187"/>
      <c r="AO11" s="187"/>
      <c r="AP11" s="187"/>
      <c r="AQ11" s="187"/>
      <c r="AR11" s="187"/>
      <c r="AS11" s="187"/>
      <c r="AT11" s="187"/>
      <c r="AU11" s="187"/>
      <c r="AV11" s="187"/>
      <c r="AW11" s="187"/>
      <c r="AX11" s="187"/>
      <c r="AY11" s="187"/>
      <c r="AZ11" s="187"/>
    </row>
    <row r="12" spans="2:52">
      <c r="B12" s="197" t="s">
        <v>490</v>
      </c>
      <c r="D12" s="281" t="str">
        <f>IF(B12&lt;&gt;"", IF(B12="NA", Definition!E36, B12), Definition!E36)</f>
        <v>Payment</v>
      </c>
      <c r="E12" s="392">
        <f>IF(effort_Dev=0, Definition!C$25, Definition!I36*effort_Initiation/effort_Dev)</f>
        <v>0</v>
      </c>
      <c r="F12" s="392"/>
      <c r="G12" s="392"/>
      <c r="H12" s="392">
        <f>IF(effort_Dev=0, Definition!C$25, Definition!I36*effort_TechDoc/effort_Dev)</f>
        <v>0</v>
      </c>
      <c r="I12" s="392"/>
      <c r="J12" s="392"/>
      <c r="K12" s="392">
        <f>IF(effort_Dev=0, Definition!C$25, Definition!I36*effort_Cat_SPA/effort_Dev)</f>
        <v>0</v>
      </c>
      <c r="L12" s="392"/>
      <c r="M12" s="392"/>
      <c r="N12" s="393">
        <f>Definition!F36</f>
        <v>0</v>
      </c>
      <c r="O12" s="394"/>
      <c r="P12" s="395"/>
      <c r="Q12" s="392">
        <f>Definition!G36</f>
        <v>0</v>
      </c>
      <c r="R12" s="392"/>
      <c r="S12" s="392"/>
      <c r="T12" s="392">
        <f>Definition!H36</f>
        <v>0</v>
      </c>
      <c r="U12" s="392"/>
      <c r="V12" s="392"/>
      <c r="W12" s="392">
        <f>IF(effort_Dev=0, Definition!C$25, Definition!I36*effort_Cat_UI/effort_Dev)</f>
        <v>0</v>
      </c>
      <c r="X12" s="392"/>
      <c r="Y12" s="392"/>
      <c r="Z12" s="392">
        <f>IF(effort_Dev=0, Definition!C$25, Definition!I36*effort_Support_Dev/effort_Dev)</f>
        <v>0</v>
      </c>
      <c r="AA12" s="392"/>
      <c r="AB12" s="392"/>
      <c r="AC12" s="392">
        <f>IF(effort_Dev=0, Definition!C$25, Definition!I36*effort_Support_Prog/effort_Dev)</f>
        <v>0</v>
      </c>
      <c r="AD12" s="392"/>
      <c r="AE12" s="392"/>
      <c r="AF12" s="305">
        <f t="shared" si="0"/>
        <v>0</v>
      </c>
      <c r="AG12" s="305">
        <f t="shared" si="1"/>
        <v>0</v>
      </c>
      <c r="AH12" s="305">
        <f t="shared" ref="AH12:AH54" si="4">AF12/(5*8)</f>
        <v>0</v>
      </c>
      <c r="AI12" s="305">
        <f t="shared" si="3"/>
        <v>0</v>
      </c>
      <c r="AM12" s="187"/>
      <c r="AN12" s="187"/>
      <c r="AO12" s="187"/>
      <c r="AP12" s="187"/>
      <c r="AQ12" s="187"/>
      <c r="AR12" s="187"/>
      <c r="AS12" s="187"/>
      <c r="AT12" s="187"/>
      <c r="AU12" s="187"/>
      <c r="AV12" s="187"/>
      <c r="AW12" s="187"/>
      <c r="AX12" s="187"/>
      <c r="AY12" s="187"/>
      <c r="AZ12" s="187"/>
    </row>
    <row r="13" spans="2:52">
      <c r="B13" s="197" t="s">
        <v>442</v>
      </c>
      <c r="D13" s="281" t="str">
        <f>IF(B13&lt;&gt;"", IF(B13="NA", Definition!E37, B13), Definition!E37)</f>
        <v>Summary 9</v>
      </c>
      <c r="E13" s="392">
        <f>IF(effort_Dev=0, Definition!C$25, Definition!I37*effort_Initiation/effort_Dev)</f>
        <v>0</v>
      </c>
      <c r="F13" s="392"/>
      <c r="G13" s="392"/>
      <c r="H13" s="392">
        <f>IF(effort_Dev=0, Definition!C$25, Definition!I37*effort_TechDoc/effort_Dev)</f>
        <v>0</v>
      </c>
      <c r="I13" s="392"/>
      <c r="J13" s="392"/>
      <c r="K13" s="392">
        <f>IF(effort_Dev=0, Definition!C$25, Definition!I37*effort_Cat_SPA/effort_Dev)</f>
        <v>0</v>
      </c>
      <c r="L13" s="392"/>
      <c r="M13" s="392"/>
      <c r="N13" s="393">
        <f>Definition!F37</f>
        <v>0</v>
      </c>
      <c r="O13" s="394"/>
      <c r="P13" s="395"/>
      <c r="Q13" s="392">
        <f>Definition!G37</f>
        <v>0</v>
      </c>
      <c r="R13" s="392"/>
      <c r="S13" s="392"/>
      <c r="T13" s="392">
        <f>Definition!H37</f>
        <v>0</v>
      </c>
      <c r="U13" s="392"/>
      <c r="V13" s="392"/>
      <c r="W13" s="392">
        <f>IF(effort_Dev=0, Definition!C$25, Definition!I37*effort_Cat_UI/effort_Dev)</f>
        <v>0</v>
      </c>
      <c r="X13" s="392"/>
      <c r="Y13" s="392"/>
      <c r="Z13" s="392">
        <f>IF(effort_Dev=0, Definition!C$25, Definition!I37*effort_Support_Dev/effort_Dev)</f>
        <v>0</v>
      </c>
      <c r="AA13" s="392"/>
      <c r="AB13" s="392"/>
      <c r="AC13" s="392">
        <f>IF(effort_Dev=0, Definition!C$25, Definition!I37*effort_Support_Prog/effort_Dev)</f>
        <v>0</v>
      </c>
      <c r="AD13" s="392"/>
      <c r="AE13" s="392"/>
      <c r="AF13" s="305">
        <f t="shared" si="0"/>
        <v>0</v>
      </c>
      <c r="AG13" s="305">
        <f t="shared" si="1"/>
        <v>0</v>
      </c>
      <c r="AH13" s="305">
        <f t="shared" si="4"/>
        <v>0</v>
      </c>
      <c r="AI13" s="305">
        <f t="shared" si="3"/>
        <v>0</v>
      </c>
      <c r="AM13" s="187"/>
      <c r="AN13" s="187"/>
      <c r="AO13" s="187"/>
      <c r="AP13" s="187"/>
      <c r="AQ13" s="187"/>
      <c r="AR13" s="187"/>
      <c r="AS13" s="187"/>
      <c r="AT13" s="187"/>
      <c r="AU13" s="187"/>
      <c r="AV13" s="187"/>
      <c r="AW13" s="187"/>
      <c r="AX13" s="187"/>
      <c r="AY13" s="187"/>
      <c r="AZ13" s="187"/>
    </row>
    <row r="14" spans="2:52">
      <c r="B14" s="197" t="s">
        <v>443</v>
      </c>
      <c r="D14" s="281" t="str">
        <f>IF(B14&lt;&gt;"", IF(B14="NA", Definition!E38, B14), Definition!E38)</f>
        <v>Summary 10</v>
      </c>
      <c r="E14" s="392">
        <f>IF(effort_Dev=0, Definition!C$25, Definition!I38*effort_Initiation/effort_Dev)</f>
        <v>0</v>
      </c>
      <c r="F14" s="392"/>
      <c r="G14" s="392"/>
      <c r="H14" s="392">
        <f>IF(effort_Dev=0, Definition!C$25, Definition!I38*effort_TechDoc/effort_Dev)</f>
        <v>0</v>
      </c>
      <c r="I14" s="392"/>
      <c r="J14" s="392"/>
      <c r="K14" s="392">
        <f>IF(effort_Dev=0, Definition!C$25, Definition!I38*effort_Cat_SPA/effort_Dev)</f>
        <v>0</v>
      </c>
      <c r="L14" s="392"/>
      <c r="M14" s="392"/>
      <c r="N14" s="393">
        <f>Definition!F38</f>
        <v>0</v>
      </c>
      <c r="O14" s="394"/>
      <c r="P14" s="395"/>
      <c r="Q14" s="392">
        <f>Definition!G38</f>
        <v>0</v>
      </c>
      <c r="R14" s="392"/>
      <c r="S14" s="392"/>
      <c r="T14" s="392">
        <f>Definition!H38</f>
        <v>0</v>
      </c>
      <c r="U14" s="392"/>
      <c r="V14" s="392"/>
      <c r="W14" s="392">
        <f>IF(effort_Dev=0, Definition!C$25, Definition!I38*effort_Cat_UI/effort_Dev)</f>
        <v>0</v>
      </c>
      <c r="X14" s="392"/>
      <c r="Y14" s="392"/>
      <c r="Z14" s="392">
        <f>IF(effort_Dev=0, Definition!C$25, Definition!I38*effort_Support_Dev/effort_Dev)</f>
        <v>0</v>
      </c>
      <c r="AA14" s="392"/>
      <c r="AB14" s="392"/>
      <c r="AC14" s="392">
        <f>IF(effort_Dev=0, Definition!C$25, Definition!I38*effort_Support_Prog/effort_Dev)</f>
        <v>0</v>
      </c>
      <c r="AD14" s="392"/>
      <c r="AE14" s="392"/>
      <c r="AF14" s="305">
        <f t="shared" si="0"/>
        <v>0</v>
      </c>
      <c r="AG14" s="305">
        <f t="shared" si="1"/>
        <v>0</v>
      </c>
      <c r="AH14" s="305">
        <f t="shared" si="4"/>
        <v>0</v>
      </c>
      <c r="AI14" s="305">
        <f t="shared" si="3"/>
        <v>0</v>
      </c>
      <c r="AM14" s="187"/>
      <c r="AN14" s="187"/>
      <c r="AO14" s="187"/>
      <c r="AP14" s="187"/>
      <c r="AQ14" s="187"/>
      <c r="AR14" s="187"/>
      <c r="AS14" s="187"/>
      <c r="AT14" s="187"/>
      <c r="AU14" s="187"/>
      <c r="AV14" s="187"/>
      <c r="AW14" s="187"/>
      <c r="AX14" s="187"/>
      <c r="AY14" s="187"/>
      <c r="AZ14" s="187"/>
    </row>
    <row r="15" spans="2:52">
      <c r="B15" s="197" t="s">
        <v>444</v>
      </c>
      <c r="D15" s="281" t="str">
        <f>IF(B15&lt;&gt;"", IF(B15="NA", Definition!E39, B15), Definition!E39)</f>
        <v>Summary 11</v>
      </c>
      <c r="E15" s="392">
        <f>IF(effort_Dev=0, Definition!C$25, Definition!I39*effort_Initiation/effort_Dev)</f>
        <v>0</v>
      </c>
      <c r="F15" s="392"/>
      <c r="G15" s="392"/>
      <c r="H15" s="392">
        <f>IF(effort_Dev=0, Definition!C$25, Definition!I39*effort_TechDoc/effort_Dev)</f>
        <v>0</v>
      </c>
      <c r="I15" s="392"/>
      <c r="J15" s="392"/>
      <c r="K15" s="392">
        <f>IF(effort_Dev=0, Definition!C$25, Definition!I39*effort_Cat_SPA/effort_Dev)</f>
        <v>0</v>
      </c>
      <c r="L15" s="392"/>
      <c r="M15" s="392"/>
      <c r="N15" s="393">
        <f>Definition!F39</f>
        <v>0</v>
      </c>
      <c r="O15" s="394"/>
      <c r="P15" s="395"/>
      <c r="Q15" s="392">
        <f>Definition!G39</f>
        <v>0</v>
      </c>
      <c r="R15" s="392"/>
      <c r="S15" s="392"/>
      <c r="T15" s="392">
        <f>Definition!H39</f>
        <v>0</v>
      </c>
      <c r="U15" s="392"/>
      <c r="V15" s="392"/>
      <c r="W15" s="392">
        <f>IF(effort_Dev=0, Definition!C$25, Definition!I39*effort_Cat_UI/effort_Dev)</f>
        <v>0</v>
      </c>
      <c r="X15" s="392"/>
      <c r="Y15" s="392"/>
      <c r="Z15" s="392">
        <f>IF(effort_Dev=0, Definition!C$25, Definition!I39*effort_Support_Dev/effort_Dev)</f>
        <v>0</v>
      </c>
      <c r="AA15" s="392"/>
      <c r="AB15" s="392"/>
      <c r="AC15" s="392">
        <f>IF(effort_Dev=0, Definition!C$25, Definition!I39*effort_Support_Prog/effort_Dev)</f>
        <v>0</v>
      </c>
      <c r="AD15" s="392"/>
      <c r="AE15" s="392"/>
      <c r="AF15" s="305">
        <f t="shared" si="0"/>
        <v>0</v>
      </c>
      <c r="AG15" s="305">
        <f t="shared" si="1"/>
        <v>0</v>
      </c>
      <c r="AH15" s="305">
        <f t="shared" si="4"/>
        <v>0</v>
      </c>
      <c r="AI15" s="305">
        <f t="shared" si="3"/>
        <v>0</v>
      </c>
      <c r="AM15" s="187"/>
      <c r="AN15" s="187"/>
      <c r="AO15" s="187"/>
      <c r="AP15" s="187"/>
      <c r="AQ15" s="187"/>
      <c r="AR15" s="187"/>
      <c r="AS15" s="187"/>
      <c r="AT15" s="187"/>
      <c r="AU15" s="187"/>
      <c r="AV15" s="187"/>
      <c r="AW15" s="187"/>
      <c r="AX15" s="187"/>
      <c r="AY15" s="187"/>
      <c r="AZ15" s="187"/>
    </row>
    <row r="16" spans="2:52">
      <c r="B16" s="197" t="s">
        <v>445</v>
      </c>
      <c r="D16" s="281" t="str">
        <f>IF(B16&lt;&gt;"", IF(B16="NA", Definition!E40, B16), Definition!E40)</f>
        <v>Summary 12</v>
      </c>
      <c r="E16" s="392">
        <f>IF(effort_Dev=0, Definition!C$25, Definition!I40*effort_Initiation/effort_Dev)</f>
        <v>0</v>
      </c>
      <c r="F16" s="392"/>
      <c r="G16" s="392"/>
      <c r="H16" s="392">
        <f>IF(effort_Dev=0, Definition!C$25, Definition!I40*effort_TechDoc/effort_Dev)</f>
        <v>0</v>
      </c>
      <c r="I16" s="392"/>
      <c r="J16" s="392"/>
      <c r="K16" s="392">
        <f>IF(effort_Dev=0, Definition!C$25, Definition!I40*effort_Cat_SPA/effort_Dev)</f>
        <v>0</v>
      </c>
      <c r="L16" s="392"/>
      <c r="M16" s="392"/>
      <c r="N16" s="393">
        <f>Definition!F40</f>
        <v>0</v>
      </c>
      <c r="O16" s="394"/>
      <c r="P16" s="395"/>
      <c r="Q16" s="392">
        <f>Definition!G40</f>
        <v>0</v>
      </c>
      <c r="R16" s="392"/>
      <c r="S16" s="392"/>
      <c r="T16" s="392">
        <f>Definition!H40</f>
        <v>0</v>
      </c>
      <c r="U16" s="392"/>
      <c r="V16" s="392"/>
      <c r="W16" s="392">
        <f>IF(effort_Dev=0, Definition!C$25, Definition!I40*effort_Cat_UI/effort_Dev)</f>
        <v>0</v>
      </c>
      <c r="X16" s="392"/>
      <c r="Y16" s="392"/>
      <c r="Z16" s="392">
        <f>IF(effort_Dev=0, Definition!C$25, Definition!I40*effort_Support_Dev/effort_Dev)</f>
        <v>0</v>
      </c>
      <c r="AA16" s="392"/>
      <c r="AB16" s="392"/>
      <c r="AC16" s="392">
        <f>IF(effort_Dev=0, Definition!C$25, Definition!I40*effort_Support_Prog/effort_Dev)</f>
        <v>0</v>
      </c>
      <c r="AD16" s="392"/>
      <c r="AE16" s="392"/>
      <c r="AF16" s="305">
        <f t="shared" si="0"/>
        <v>0</v>
      </c>
      <c r="AG16" s="305">
        <f t="shared" si="1"/>
        <v>0</v>
      </c>
      <c r="AH16" s="305">
        <f t="shared" si="4"/>
        <v>0</v>
      </c>
      <c r="AI16" s="305">
        <f t="shared" si="3"/>
        <v>0</v>
      </c>
      <c r="AM16" s="187"/>
      <c r="AN16" s="187"/>
      <c r="AO16" s="187"/>
      <c r="AP16" s="187"/>
      <c r="AQ16" s="187"/>
      <c r="AR16" s="187"/>
      <c r="AS16" s="187"/>
      <c r="AT16" s="187"/>
      <c r="AU16" s="187"/>
      <c r="AV16" s="187"/>
      <c r="AW16" s="187"/>
      <c r="AX16" s="187"/>
      <c r="AY16" s="187"/>
      <c r="AZ16" s="187"/>
    </row>
    <row r="17" spans="2:52">
      <c r="B17" s="197" t="s">
        <v>446</v>
      </c>
      <c r="D17" s="281" t="str">
        <f>IF(B17&lt;&gt;"", IF(B17="NA", Definition!E41, B17), Definition!E41)</f>
        <v>Summary 13</v>
      </c>
      <c r="E17" s="392">
        <f>IF(effort_Dev=0, Definition!C$25, Definition!I41*effort_Initiation/effort_Dev)</f>
        <v>0</v>
      </c>
      <c r="F17" s="392"/>
      <c r="G17" s="392"/>
      <c r="H17" s="392">
        <f>IF(effort_Dev=0, Definition!C$25, Definition!I41*effort_TechDoc/effort_Dev)</f>
        <v>0</v>
      </c>
      <c r="I17" s="392"/>
      <c r="J17" s="392"/>
      <c r="K17" s="392">
        <f>IF(effort_Dev=0, Definition!C$25, Definition!I41*effort_Cat_SPA/effort_Dev)</f>
        <v>0</v>
      </c>
      <c r="L17" s="392"/>
      <c r="M17" s="392"/>
      <c r="N17" s="393">
        <f>Definition!F41</f>
        <v>0</v>
      </c>
      <c r="O17" s="394"/>
      <c r="P17" s="395"/>
      <c r="Q17" s="392">
        <f>Definition!G41</f>
        <v>0</v>
      </c>
      <c r="R17" s="392"/>
      <c r="S17" s="392"/>
      <c r="T17" s="392">
        <f>Definition!H41</f>
        <v>0</v>
      </c>
      <c r="U17" s="392"/>
      <c r="V17" s="392"/>
      <c r="W17" s="392">
        <f>IF(effort_Dev=0, Definition!C$25, Definition!I41*effort_Cat_UI/effort_Dev)</f>
        <v>0</v>
      </c>
      <c r="X17" s="392"/>
      <c r="Y17" s="392"/>
      <c r="Z17" s="392">
        <f>IF(effort_Dev=0, Definition!C$25, Definition!I41*effort_Support_Dev/effort_Dev)</f>
        <v>0</v>
      </c>
      <c r="AA17" s="392"/>
      <c r="AB17" s="392"/>
      <c r="AC17" s="392">
        <f>IF(effort_Dev=0, Definition!C$25, Definition!I41*effort_Support_Prog/effort_Dev)</f>
        <v>0</v>
      </c>
      <c r="AD17" s="392"/>
      <c r="AE17" s="392"/>
      <c r="AF17" s="305">
        <f t="shared" si="0"/>
        <v>0</v>
      </c>
      <c r="AG17" s="305">
        <f t="shared" si="1"/>
        <v>0</v>
      </c>
      <c r="AH17" s="305">
        <f t="shared" si="4"/>
        <v>0</v>
      </c>
      <c r="AI17" s="305">
        <f t="shared" si="3"/>
        <v>0</v>
      </c>
      <c r="AM17" s="187"/>
      <c r="AN17" s="187"/>
      <c r="AO17" s="187"/>
      <c r="AP17" s="187"/>
      <c r="AQ17" s="187"/>
      <c r="AR17" s="187"/>
      <c r="AS17" s="187"/>
      <c r="AT17" s="187"/>
      <c r="AU17" s="187"/>
      <c r="AV17" s="187"/>
      <c r="AW17" s="187"/>
      <c r="AX17" s="187"/>
      <c r="AY17" s="187"/>
      <c r="AZ17" s="187"/>
    </row>
    <row r="18" spans="2:52">
      <c r="B18" s="197" t="s">
        <v>447</v>
      </c>
      <c r="D18" s="281" t="str">
        <f>IF(B18&lt;&gt;"", IF(B18="NA", Definition!E42, B18), Definition!E42)</f>
        <v>Summary 14</v>
      </c>
      <c r="E18" s="392">
        <f>IF(effort_Dev=0, Definition!C$25, Definition!I42*effort_Initiation/effort_Dev)</f>
        <v>0</v>
      </c>
      <c r="F18" s="392"/>
      <c r="G18" s="392"/>
      <c r="H18" s="392">
        <f>IF(effort_Dev=0, Definition!C$25, Definition!I42*effort_TechDoc/effort_Dev)</f>
        <v>0</v>
      </c>
      <c r="I18" s="392"/>
      <c r="J18" s="392"/>
      <c r="K18" s="392">
        <f>IF(effort_Dev=0, Definition!C$25, Definition!I42*effort_Cat_SPA/effort_Dev)</f>
        <v>0</v>
      </c>
      <c r="L18" s="392"/>
      <c r="M18" s="392"/>
      <c r="N18" s="393">
        <f>Definition!F42</f>
        <v>0</v>
      </c>
      <c r="O18" s="394"/>
      <c r="P18" s="395"/>
      <c r="Q18" s="392">
        <f>Definition!G42</f>
        <v>0</v>
      </c>
      <c r="R18" s="392"/>
      <c r="S18" s="392"/>
      <c r="T18" s="392">
        <f>Definition!H42</f>
        <v>0</v>
      </c>
      <c r="U18" s="392"/>
      <c r="V18" s="392"/>
      <c r="W18" s="392">
        <f>IF(effort_Dev=0, Definition!C$25, Definition!I42*effort_Cat_UI/effort_Dev)</f>
        <v>0</v>
      </c>
      <c r="X18" s="392"/>
      <c r="Y18" s="392"/>
      <c r="Z18" s="392">
        <f>IF(effort_Dev=0, Definition!C$25, Definition!I42*effort_Support_Dev/effort_Dev)</f>
        <v>0</v>
      </c>
      <c r="AA18" s="392"/>
      <c r="AB18" s="392"/>
      <c r="AC18" s="392">
        <f>IF(effort_Dev=0, Definition!C$25, Definition!I42*effort_Support_Prog/effort_Dev)</f>
        <v>0</v>
      </c>
      <c r="AD18" s="392"/>
      <c r="AE18" s="392"/>
      <c r="AF18" s="305">
        <f t="shared" si="0"/>
        <v>0</v>
      </c>
      <c r="AG18" s="305">
        <f t="shared" si="1"/>
        <v>0</v>
      </c>
      <c r="AH18" s="305">
        <f t="shared" si="4"/>
        <v>0</v>
      </c>
      <c r="AI18" s="305">
        <f t="shared" si="3"/>
        <v>0</v>
      </c>
      <c r="AM18" s="187"/>
      <c r="AN18" s="187"/>
      <c r="AO18" s="187"/>
      <c r="AP18" s="187"/>
      <c r="AQ18" s="187"/>
      <c r="AR18" s="187"/>
      <c r="AS18" s="187"/>
      <c r="AT18" s="187"/>
      <c r="AU18" s="187"/>
      <c r="AV18" s="187"/>
      <c r="AW18" s="187"/>
      <c r="AX18" s="187"/>
      <c r="AY18" s="187"/>
      <c r="AZ18" s="187"/>
    </row>
    <row r="19" spans="2:52">
      <c r="B19" s="197" t="s">
        <v>448</v>
      </c>
      <c r="D19" s="281" t="str">
        <f>IF(B19&lt;&gt;"", IF(B19="NA", Definition!E43, B19), Definition!E43)</f>
        <v>Summary 15</v>
      </c>
      <c r="E19" s="392">
        <f>IF(effort_Dev=0, Definition!C$25, Definition!I43*effort_Initiation/effort_Dev)</f>
        <v>0</v>
      </c>
      <c r="F19" s="392"/>
      <c r="G19" s="392"/>
      <c r="H19" s="392">
        <f>IF(effort_Dev=0, Definition!C$25, Definition!I43*effort_TechDoc/effort_Dev)</f>
        <v>0</v>
      </c>
      <c r="I19" s="392"/>
      <c r="J19" s="392"/>
      <c r="K19" s="392">
        <f>IF(effort_Dev=0, Definition!C$25, Definition!I43*effort_Cat_SPA/effort_Dev)</f>
        <v>0</v>
      </c>
      <c r="L19" s="392"/>
      <c r="M19" s="392"/>
      <c r="N19" s="393">
        <f>Definition!F43</f>
        <v>0</v>
      </c>
      <c r="O19" s="394"/>
      <c r="P19" s="395"/>
      <c r="Q19" s="392">
        <f>Definition!G43</f>
        <v>0</v>
      </c>
      <c r="R19" s="392"/>
      <c r="S19" s="392"/>
      <c r="T19" s="392">
        <f>Definition!H43</f>
        <v>0</v>
      </c>
      <c r="U19" s="392"/>
      <c r="V19" s="392"/>
      <c r="W19" s="392">
        <f>IF(effort_Dev=0, Definition!C$25, Definition!I43*effort_Cat_UI/effort_Dev)</f>
        <v>0</v>
      </c>
      <c r="X19" s="392"/>
      <c r="Y19" s="392"/>
      <c r="Z19" s="392">
        <f>IF(effort_Dev=0, Definition!C$25, Definition!I43*effort_Support_Dev/effort_Dev)</f>
        <v>0</v>
      </c>
      <c r="AA19" s="392"/>
      <c r="AB19" s="392"/>
      <c r="AC19" s="392">
        <f>IF(effort_Dev=0, Definition!C$25, Definition!I43*effort_Support_Prog/effort_Dev)</f>
        <v>0</v>
      </c>
      <c r="AD19" s="392"/>
      <c r="AE19" s="392"/>
      <c r="AF19" s="305">
        <f t="shared" si="0"/>
        <v>0</v>
      </c>
      <c r="AG19" s="305">
        <f t="shared" si="1"/>
        <v>0</v>
      </c>
      <c r="AH19" s="305">
        <f t="shared" si="4"/>
        <v>0</v>
      </c>
      <c r="AI19" s="305">
        <f t="shared" si="3"/>
        <v>0</v>
      </c>
      <c r="AM19" s="187"/>
      <c r="AN19" s="187"/>
      <c r="AO19" s="187"/>
      <c r="AP19" s="187"/>
      <c r="AQ19" s="187"/>
      <c r="AR19" s="187"/>
      <c r="AS19" s="187"/>
      <c r="AT19" s="187"/>
      <c r="AU19" s="187"/>
      <c r="AV19" s="187"/>
      <c r="AW19" s="187"/>
      <c r="AX19" s="187"/>
      <c r="AY19" s="187"/>
      <c r="AZ19" s="187"/>
    </row>
    <row r="20" spans="2:52" ht="12.75" customHeight="1">
      <c r="B20" s="197" t="s">
        <v>449</v>
      </c>
      <c r="D20" s="281" t="str">
        <f>IF(B20&lt;&gt;"", IF(B20="NA", Definition!E44, B20), Definition!E44)</f>
        <v>Summary 16</v>
      </c>
      <c r="E20" s="392">
        <f>IF(effort_Dev=0, Definition!C$25, Definition!I44*effort_Initiation/effort_Dev)</f>
        <v>0</v>
      </c>
      <c r="F20" s="392"/>
      <c r="G20" s="392"/>
      <c r="H20" s="392">
        <f>IF(effort_Dev=0, Definition!C$25, Definition!I44*effort_TechDoc/effort_Dev)</f>
        <v>0</v>
      </c>
      <c r="I20" s="392"/>
      <c r="J20" s="392"/>
      <c r="K20" s="392">
        <f>IF(effort_Dev=0, Definition!C$25, Definition!I44*effort_Cat_SPA/effort_Dev)</f>
        <v>0</v>
      </c>
      <c r="L20" s="392"/>
      <c r="M20" s="392"/>
      <c r="N20" s="393">
        <f>Definition!F44</f>
        <v>0</v>
      </c>
      <c r="O20" s="394"/>
      <c r="P20" s="395"/>
      <c r="Q20" s="392">
        <f>Definition!G44</f>
        <v>0</v>
      </c>
      <c r="R20" s="392"/>
      <c r="S20" s="392"/>
      <c r="T20" s="392">
        <f>Definition!H44</f>
        <v>0</v>
      </c>
      <c r="U20" s="392"/>
      <c r="V20" s="392"/>
      <c r="W20" s="392">
        <f>IF(effort_Dev=0, Definition!C$25, Definition!I44*effort_Cat_UI/effort_Dev)</f>
        <v>0</v>
      </c>
      <c r="X20" s="392"/>
      <c r="Y20" s="392"/>
      <c r="Z20" s="392">
        <f>IF(effort_Dev=0, Definition!C$25, Definition!I44*effort_Support_Dev/effort_Dev)</f>
        <v>0</v>
      </c>
      <c r="AA20" s="392"/>
      <c r="AB20" s="392"/>
      <c r="AC20" s="392">
        <f>IF(effort_Dev=0, Definition!C$25, Definition!I44*effort_Support_Prog/effort_Dev)</f>
        <v>0</v>
      </c>
      <c r="AD20" s="392"/>
      <c r="AE20" s="392"/>
      <c r="AF20" s="305">
        <f t="shared" ref="AF20:AF41" si="5">SUM(E20:AE20)</f>
        <v>0</v>
      </c>
      <c r="AG20" s="305">
        <f t="shared" si="1"/>
        <v>0</v>
      </c>
      <c r="AH20" s="305">
        <f t="shared" si="4"/>
        <v>0</v>
      </c>
      <c r="AI20" s="305">
        <f t="shared" si="3"/>
        <v>0</v>
      </c>
    </row>
    <row r="21" spans="2:52" ht="14.1" customHeight="1">
      <c r="B21" s="197" t="s">
        <v>450</v>
      </c>
      <c r="D21" s="281" t="str">
        <f>IF(B21&lt;&gt;"", IF(B21="NA", Definition!E45, B21), Definition!E45)</f>
        <v>Summary 17</v>
      </c>
      <c r="E21" s="392">
        <f>IF(effort_Dev=0, Definition!C$25, Definition!I45*effort_Initiation/effort_Dev)</f>
        <v>0</v>
      </c>
      <c r="F21" s="392"/>
      <c r="G21" s="392"/>
      <c r="H21" s="392">
        <f>IF(effort_Dev=0, Definition!C$25, Definition!I45*effort_TechDoc/effort_Dev)</f>
        <v>0</v>
      </c>
      <c r="I21" s="392"/>
      <c r="J21" s="392"/>
      <c r="K21" s="392">
        <f>IF(effort_Dev=0, Definition!C$25, Definition!I45*effort_Cat_SPA/effort_Dev)</f>
        <v>0</v>
      </c>
      <c r="L21" s="392"/>
      <c r="M21" s="392"/>
      <c r="N21" s="393">
        <f>Definition!F45</f>
        <v>0</v>
      </c>
      <c r="O21" s="394"/>
      <c r="P21" s="395"/>
      <c r="Q21" s="392">
        <f>Definition!G45</f>
        <v>0</v>
      </c>
      <c r="R21" s="392"/>
      <c r="S21" s="392"/>
      <c r="T21" s="392">
        <f>Definition!H45</f>
        <v>0</v>
      </c>
      <c r="U21" s="392"/>
      <c r="V21" s="392"/>
      <c r="W21" s="392">
        <f>IF(effort_Dev=0, Definition!C$25, Definition!I45*effort_Cat_UI/effort_Dev)</f>
        <v>0</v>
      </c>
      <c r="X21" s="392"/>
      <c r="Y21" s="392"/>
      <c r="Z21" s="392">
        <f>IF(effort_Dev=0, Definition!C$25, Definition!I45*effort_Support_Dev/effort_Dev)</f>
        <v>0</v>
      </c>
      <c r="AA21" s="392"/>
      <c r="AB21" s="392"/>
      <c r="AC21" s="392">
        <f>IF(effort_Dev=0, Definition!C$25, Definition!I45*effort_Support_Prog/effort_Dev)</f>
        <v>0</v>
      </c>
      <c r="AD21" s="392"/>
      <c r="AE21" s="392"/>
      <c r="AF21" s="305">
        <f t="shared" si="5"/>
        <v>0</v>
      </c>
      <c r="AG21" s="305">
        <f t="shared" si="1"/>
        <v>0</v>
      </c>
      <c r="AH21" s="305">
        <f t="shared" si="4"/>
        <v>0</v>
      </c>
      <c r="AI21" s="305">
        <f t="shared" si="3"/>
        <v>0</v>
      </c>
    </row>
    <row r="22" spans="2:52">
      <c r="B22" s="197" t="s">
        <v>451</v>
      </c>
      <c r="D22" s="281" t="str">
        <f>IF(B22&lt;&gt;"", IF(B22="NA", Definition!E46, B22), Definition!E46)</f>
        <v>Summary 18</v>
      </c>
      <c r="E22" s="392">
        <f>IF(effort_Dev=0, Definition!C$25, Definition!I46*effort_Initiation/effort_Dev)</f>
        <v>0</v>
      </c>
      <c r="F22" s="392"/>
      <c r="G22" s="392"/>
      <c r="H22" s="392">
        <f>IF(effort_Dev=0, Definition!C$25, Definition!I46*effort_TechDoc/effort_Dev)</f>
        <v>0</v>
      </c>
      <c r="I22" s="392"/>
      <c r="J22" s="392"/>
      <c r="K22" s="392">
        <f>IF(effort_Dev=0, Definition!C$25, Definition!I46*effort_Cat_SPA/effort_Dev)</f>
        <v>0</v>
      </c>
      <c r="L22" s="392"/>
      <c r="M22" s="392"/>
      <c r="N22" s="393">
        <f>Definition!F46</f>
        <v>0</v>
      </c>
      <c r="O22" s="394"/>
      <c r="P22" s="395"/>
      <c r="Q22" s="392">
        <f>Definition!G46</f>
        <v>0</v>
      </c>
      <c r="R22" s="392"/>
      <c r="S22" s="392"/>
      <c r="T22" s="392">
        <f>Definition!H46</f>
        <v>0</v>
      </c>
      <c r="U22" s="392"/>
      <c r="V22" s="392"/>
      <c r="W22" s="392">
        <f>IF(effort_Dev=0, Definition!C$25, Definition!I46*effort_Cat_UI/effort_Dev)</f>
        <v>0</v>
      </c>
      <c r="X22" s="392"/>
      <c r="Y22" s="392"/>
      <c r="Z22" s="392">
        <f>IF(effort_Dev=0, Definition!C$25, Definition!I46*effort_Support_Dev/effort_Dev)</f>
        <v>0</v>
      </c>
      <c r="AA22" s="392"/>
      <c r="AB22" s="392"/>
      <c r="AC22" s="392">
        <f>IF(effort_Dev=0, Definition!C$25, Definition!I46*effort_Support_Prog/effort_Dev)</f>
        <v>0</v>
      </c>
      <c r="AD22" s="392"/>
      <c r="AE22" s="392"/>
      <c r="AF22" s="305">
        <f t="shared" si="5"/>
        <v>0</v>
      </c>
      <c r="AG22" s="305">
        <f t="shared" si="1"/>
        <v>0</v>
      </c>
      <c r="AH22" s="305">
        <f t="shared" si="4"/>
        <v>0</v>
      </c>
      <c r="AI22" s="305">
        <f t="shared" si="3"/>
        <v>0</v>
      </c>
    </row>
    <row r="23" spans="2:52">
      <c r="B23" s="197" t="s">
        <v>452</v>
      </c>
      <c r="D23" s="281" t="str">
        <f>IF(B23&lt;&gt;"", IF(B23="NA", Definition!E47, B23), Definition!E47)</f>
        <v>Summary 19</v>
      </c>
      <c r="E23" s="392">
        <f>IF(effort_Dev=0, Definition!C$25, Definition!I47*effort_Initiation/effort_Dev)</f>
        <v>0</v>
      </c>
      <c r="F23" s="392"/>
      <c r="G23" s="392"/>
      <c r="H23" s="392">
        <f>IF(effort_Dev=0, Definition!C$25, Definition!I47*effort_TechDoc/effort_Dev)</f>
        <v>0</v>
      </c>
      <c r="I23" s="392"/>
      <c r="J23" s="392"/>
      <c r="K23" s="392">
        <f>IF(effort_Dev=0, Definition!C$25, Definition!I47*effort_Cat_SPA/effort_Dev)</f>
        <v>0</v>
      </c>
      <c r="L23" s="392"/>
      <c r="M23" s="392"/>
      <c r="N23" s="393">
        <f>Definition!F47</f>
        <v>0</v>
      </c>
      <c r="O23" s="394"/>
      <c r="P23" s="395"/>
      <c r="Q23" s="392">
        <f>Definition!G47</f>
        <v>0</v>
      </c>
      <c r="R23" s="392"/>
      <c r="S23" s="392"/>
      <c r="T23" s="392">
        <f>Definition!H47</f>
        <v>0</v>
      </c>
      <c r="U23" s="392"/>
      <c r="V23" s="392"/>
      <c r="W23" s="392">
        <f>IF(effort_Dev=0, Definition!C$25, Definition!I47*effort_Cat_UI/effort_Dev)</f>
        <v>0</v>
      </c>
      <c r="X23" s="392"/>
      <c r="Y23" s="392"/>
      <c r="Z23" s="392">
        <f>IF(effort_Dev=0, Definition!C$25, Definition!I47*effort_Support_Dev/effort_Dev)</f>
        <v>0</v>
      </c>
      <c r="AA23" s="392"/>
      <c r="AB23" s="392"/>
      <c r="AC23" s="392">
        <f>IF(effort_Dev=0, Definition!C$25, Definition!I47*effort_Support_Prog/effort_Dev)</f>
        <v>0</v>
      </c>
      <c r="AD23" s="392"/>
      <c r="AE23" s="392"/>
      <c r="AF23" s="305">
        <f t="shared" si="5"/>
        <v>0</v>
      </c>
      <c r="AG23" s="305">
        <f t="shared" si="1"/>
        <v>0</v>
      </c>
      <c r="AH23" s="305">
        <f t="shared" si="4"/>
        <v>0</v>
      </c>
      <c r="AI23" s="305">
        <f t="shared" si="3"/>
        <v>0</v>
      </c>
    </row>
    <row r="24" spans="2:52">
      <c r="B24" s="197" t="s">
        <v>453</v>
      </c>
      <c r="D24" s="281" t="str">
        <f>IF(B24&lt;&gt;"", IF(B24="NA", Definition!E48, B24), Definition!E48)</f>
        <v>Summary 20</v>
      </c>
      <c r="E24" s="392">
        <f>IF(effort_Dev=0, Definition!C$25, Definition!I48*effort_Initiation/effort_Dev)</f>
        <v>0</v>
      </c>
      <c r="F24" s="392"/>
      <c r="G24" s="392"/>
      <c r="H24" s="392">
        <f>IF(effort_Dev=0, Definition!C$25, Definition!I48*effort_TechDoc/effort_Dev)</f>
        <v>0</v>
      </c>
      <c r="I24" s="392"/>
      <c r="J24" s="392"/>
      <c r="K24" s="392">
        <f>IF(effort_Dev=0, Definition!C$25, Definition!I48*effort_Cat_SPA/effort_Dev)</f>
        <v>0</v>
      </c>
      <c r="L24" s="392"/>
      <c r="M24" s="392"/>
      <c r="N24" s="393">
        <f>Definition!F48</f>
        <v>0</v>
      </c>
      <c r="O24" s="394"/>
      <c r="P24" s="395"/>
      <c r="Q24" s="392">
        <f>Definition!G48</f>
        <v>0</v>
      </c>
      <c r="R24" s="392"/>
      <c r="S24" s="392"/>
      <c r="T24" s="392">
        <f>Definition!H48</f>
        <v>0</v>
      </c>
      <c r="U24" s="392"/>
      <c r="V24" s="392"/>
      <c r="W24" s="392">
        <f>IF(effort_Dev=0, Definition!C$25, Definition!I48*effort_Cat_UI/effort_Dev)</f>
        <v>0</v>
      </c>
      <c r="X24" s="392"/>
      <c r="Y24" s="392"/>
      <c r="Z24" s="392">
        <f>IF(effort_Dev=0, Definition!C$25, Definition!I48*effort_Support_Dev/effort_Dev)</f>
        <v>0</v>
      </c>
      <c r="AA24" s="392"/>
      <c r="AB24" s="392"/>
      <c r="AC24" s="392">
        <f>IF(effort_Dev=0, Definition!C$25, Definition!I48*effort_Support_Prog/effort_Dev)</f>
        <v>0</v>
      </c>
      <c r="AD24" s="392"/>
      <c r="AE24" s="392"/>
      <c r="AF24" s="305">
        <f t="shared" si="5"/>
        <v>0</v>
      </c>
      <c r="AG24" s="305">
        <f t="shared" si="1"/>
        <v>0</v>
      </c>
      <c r="AH24" s="305">
        <f t="shared" si="4"/>
        <v>0</v>
      </c>
      <c r="AI24" s="305">
        <f t="shared" si="3"/>
        <v>0</v>
      </c>
    </row>
    <row r="25" spans="2:52">
      <c r="B25" s="197" t="s">
        <v>454</v>
      </c>
      <c r="D25" s="281" t="str">
        <f>IF(B25&lt;&gt;"", IF(B25="NA", Definition!E49, B25), Definition!E49)</f>
        <v>Summary 21</v>
      </c>
      <c r="E25" s="392">
        <f>IF(effort_Dev=0, Definition!C$25, Definition!I49*effort_Initiation/effort_Dev)</f>
        <v>0</v>
      </c>
      <c r="F25" s="392"/>
      <c r="G25" s="392"/>
      <c r="H25" s="392">
        <f>IF(effort_Dev=0, Definition!C$25, Definition!I49*effort_TechDoc/effort_Dev)</f>
        <v>0</v>
      </c>
      <c r="I25" s="392"/>
      <c r="J25" s="392"/>
      <c r="K25" s="392">
        <f>IF(effort_Dev=0, Definition!C$25, Definition!I49*effort_Cat_SPA/effort_Dev)</f>
        <v>0</v>
      </c>
      <c r="L25" s="392"/>
      <c r="M25" s="392"/>
      <c r="N25" s="393">
        <f>Definition!F49</f>
        <v>0</v>
      </c>
      <c r="O25" s="394"/>
      <c r="P25" s="395"/>
      <c r="Q25" s="392">
        <f>Definition!G49</f>
        <v>0</v>
      </c>
      <c r="R25" s="392"/>
      <c r="S25" s="392"/>
      <c r="T25" s="392">
        <f>Definition!H49</f>
        <v>0</v>
      </c>
      <c r="U25" s="392"/>
      <c r="V25" s="392"/>
      <c r="W25" s="392">
        <f>IF(effort_Dev=0, Definition!C$25, Definition!I49*effort_Cat_UI/effort_Dev)</f>
        <v>0</v>
      </c>
      <c r="X25" s="392"/>
      <c r="Y25" s="392"/>
      <c r="Z25" s="392">
        <f>IF(effort_Dev=0, Definition!C$25, Definition!I49*effort_Support_Dev/effort_Dev)</f>
        <v>0</v>
      </c>
      <c r="AA25" s="392"/>
      <c r="AB25" s="392"/>
      <c r="AC25" s="392">
        <f>IF(effort_Dev=0, Definition!C$25, Definition!I49*effort_Support_Prog/effort_Dev)</f>
        <v>0</v>
      </c>
      <c r="AD25" s="392"/>
      <c r="AE25" s="392"/>
      <c r="AF25" s="305">
        <f t="shared" si="5"/>
        <v>0</v>
      </c>
      <c r="AG25" s="305">
        <f t="shared" si="1"/>
        <v>0</v>
      </c>
      <c r="AH25" s="305">
        <f t="shared" si="4"/>
        <v>0</v>
      </c>
      <c r="AI25" s="305">
        <f t="shared" si="3"/>
        <v>0</v>
      </c>
    </row>
    <row r="26" spans="2:52">
      <c r="B26" s="197" t="s">
        <v>455</v>
      </c>
      <c r="D26" s="281" t="str">
        <f>IF(B26&lt;&gt;"", IF(B26="NA", Definition!E50, B26), Definition!E50)</f>
        <v>Summary 22</v>
      </c>
      <c r="E26" s="392">
        <f>IF(effort_Dev=0, Definition!C$25, Definition!I50*effort_Initiation/effort_Dev)</f>
        <v>0</v>
      </c>
      <c r="F26" s="392"/>
      <c r="G26" s="392"/>
      <c r="H26" s="392">
        <f>IF(effort_Dev=0, Definition!C$25, Definition!I50*effort_TechDoc/effort_Dev)</f>
        <v>0</v>
      </c>
      <c r="I26" s="392"/>
      <c r="J26" s="392"/>
      <c r="K26" s="392">
        <f>IF(effort_Dev=0, Definition!C$25, Definition!I50*effort_Cat_SPA/effort_Dev)</f>
        <v>0</v>
      </c>
      <c r="L26" s="392"/>
      <c r="M26" s="392"/>
      <c r="N26" s="393">
        <f>Definition!F50</f>
        <v>0</v>
      </c>
      <c r="O26" s="394"/>
      <c r="P26" s="395"/>
      <c r="Q26" s="392">
        <f>Definition!G50</f>
        <v>0</v>
      </c>
      <c r="R26" s="392"/>
      <c r="S26" s="392"/>
      <c r="T26" s="392">
        <f>Definition!H50</f>
        <v>0</v>
      </c>
      <c r="U26" s="392"/>
      <c r="V26" s="392"/>
      <c r="W26" s="392">
        <f>IF(effort_Dev=0, Definition!C$25, Definition!I50*effort_Cat_UI/effort_Dev)</f>
        <v>0</v>
      </c>
      <c r="X26" s="392"/>
      <c r="Y26" s="392"/>
      <c r="Z26" s="392">
        <f>IF(effort_Dev=0, Definition!C$25, Definition!I50*effort_Support_Dev/effort_Dev)</f>
        <v>0</v>
      </c>
      <c r="AA26" s="392"/>
      <c r="AB26" s="392"/>
      <c r="AC26" s="392">
        <f>IF(effort_Dev=0, Definition!C$25, Definition!I50*effort_Support_Prog/effort_Dev)</f>
        <v>0</v>
      </c>
      <c r="AD26" s="392"/>
      <c r="AE26" s="392"/>
      <c r="AF26" s="305">
        <f t="shared" si="5"/>
        <v>0</v>
      </c>
      <c r="AG26" s="305">
        <f t="shared" si="1"/>
        <v>0</v>
      </c>
      <c r="AH26" s="305">
        <f t="shared" si="4"/>
        <v>0</v>
      </c>
      <c r="AI26" s="305">
        <f t="shared" si="3"/>
        <v>0</v>
      </c>
    </row>
    <row r="27" spans="2:52">
      <c r="B27" s="197" t="s">
        <v>456</v>
      </c>
      <c r="D27" s="281" t="str">
        <f>IF(B27&lt;&gt;"", IF(B27="NA", Definition!E51, B27), Definition!E51)</f>
        <v>Summary 23</v>
      </c>
      <c r="E27" s="392">
        <f>IF(effort_Dev=0, Definition!C$25, Definition!I51*effort_Initiation/effort_Dev)</f>
        <v>0</v>
      </c>
      <c r="F27" s="392"/>
      <c r="G27" s="392"/>
      <c r="H27" s="392">
        <f>IF(effort_Dev=0, Definition!C$25, Definition!I51*effort_TechDoc/effort_Dev)</f>
        <v>0</v>
      </c>
      <c r="I27" s="392"/>
      <c r="J27" s="392"/>
      <c r="K27" s="392">
        <f>IF(effort_Dev=0, Definition!C$25, Definition!I51*effort_Cat_SPA/effort_Dev)</f>
        <v>0</v>
      </c>
      <c r="L27" s="392"/>
      <c r="M27" s="392"/>
      <c r="N27" s="393">
        <f>Definition!F51</f>
        <v>0</v>
      </c>
      <c r="O27" s="394"/>
      <c r="P27" s="395"/>
      <c r="Q27" s="392">
        <f>Definition!G51</f>
        <v>0</v>
      </c>
      <c r="R27" s="392"/>
      <c r="S27" s="392"/>
      <c r="T27" s="392">
        <f>Definition!H51</f>
        <v>0</v>
      </c>
      <c r="U27" s="392"/>
      <c r="V27" s="392"/>
      <c r="W27" s="392">
        <f>IF(effort_Dev=0, Definition!C$25, Definition!I51*effort_Cat_UI/effort_Dev)</f>
        <v>0</v>
      </c>
      <c r="X27" s="392"/>
      <c r="Y27" s="392"/>
      <c r="Z27" s="392">
        <f>IF(effort_Dev=0, Definition!C$25, Definition!I51*effort_Support_Dev/effort_Dev)</f>
        <v>0</v>
      </c>
      <c r="AA27" s="392"/>
      <c r="AB27" s="392"/>
      <c r="AC27" s="392">
        <f>IF(effort_Dev=0, Definition!C$25, Definition!I51*effort_Support_Prog/effort_Dev)</f>
        <v>0</v>
      </c>
      <c r="AD27" s="392"/>
      <c r="AE27" s="392"/>
      <c r="AF27" s="305">
        <f t="shared" si="5"/>
        <v>0</v>
      </c>
      <c r="AG27" s="305">
        <f t="shared" si="1"/>
        <v>0</v>
      </c>
      <c r="AH27" s="305">
        <f t="shared" si="4"/>
        <v>0</v>
      </c>
      <c r="AI27" s="305">
        <f t="shared" si="3"/>
        <v>0</v>
      </c>
    </row>
    <row r="28" spans="2:52">
      <c r="B28" s="197" t="s">
        <v>457</v>
      </c>
      <c r="D28" s="281" t="str">
        <f>IF(B28&lt;&gt;"", IF(B28="NA", Definition!E52, B28), Definition!E52)</f>
        <v>Summary 24</v>
      </c>
      <c r="E28" s="392">
        <f>IF(effort_Dev=0, Definition!C$25, Definition!I52*effort_Initiation/effort_Dev)</f>
        <v>0</v>
      </c>
      <c r="F28" s="392"/>
      <c r="G28" s="392"/>
      <c r="H28" s="392">
        <f>IF(effort_Dev=0, Definition!C$25, Definition!I52*effort_TechDoc/effort_Dev)</f>
        <v>0</v>
      </c>
      <c r="I28" s="392"/>
      <c r="J28" s="392"/>
      <c r="K28" s="392">
        <f>IF(effort_Dev=0, Definition!C$25, Definition!I52*effort_Cat_SPA/effort_Dev)</f>
        <v>0</v>
      </c>
      <c r="L28" s="392"/>
      <c r="M28" s="392"/>
      <c r="N28" s="393">
        <f>Definition!F52</f>
        <v>0</v>
      </c>
      <c r="O28" s="394"/>
      <c r="P28" s="395"/>
      <c r="Q28" s="392">
        <f>Definition!G52</f>
        <v>0</v>
      </c>
      <c r="R28" s="392"/>
      <c r="S28" s="392"/>
      <c r="T28" s="392">
        <f>Definition!H52</f>
        <v>0</v>
      </c>
      <c r="U28" s="392"/>
      <c r="V28" s="392"/>
      <c r="W28" s="392">
        <f>IF(effort_Dev=0, Definition!C$25, Definition!I52*effort_Cat_UI/effort_Dev)</f>
        <v>0</v>
      </c>
      <c r="X28" s="392"/>
      <c r="Y28" s="392"/>
      <c r="Z28" s="392">
        <f>IF(effort_Dev=0, Definition!C$25, Definition!I52*effort_Support_Dev/effort_Dev)</f>
        <v>0</v>
      </c>
      <c r="AA28" s="392"/>
      <c r="AB28" s="392"/>
      <c r="AC28" s="392">
        <f>IF(effort_Dev=0, Definition!C$25, Definition!I52*effort_Support_Prog/effort_Dev)</f>
        <v>0</v>
      </c>
      <c r="AD28" s="392"/>
      <c r="AE28" s="392"/>
      <c r="AF28" s="305">
        <f t="shared" si="5"/>
        <v>0</v>
      </c>
      <c r="AG28" s="305">
        <f t="shared" si="1"/>
        <v>0</v>
      </c>
      <c r="AH28" s="305">
        <f t="shared" si="4"/>
        <v>0</v>
      </c>
      <c r="AI28" s="305">
        <f t="shared" si="3"/>
        <v>0</v>
      </c>
    </row>
    <row r="29" spans="2:52">
      <c r="B29" s="197" t="s">
        <v>458</v>
      </c>
      <c r="D29" s="281" t="str">
        <f>IF(B29&lt;&gt;"", IF(B29="NA", Definition!E53, B29), Definition!E53)</f>
        <v>Summary 25</v>
      </c>
      <c r="E29" s="392">
        <f>IF(effort_Dev=0, Definition!C$25, Definition!I53*effort_Initiation/effort_Dev)</f>
        <v>0</v>
      </c>
      <c r="F29" s="392"/>
      <c r="G29" s="392"/>
      <c r="H29" s="392">
        <f>IF(effort_Dev=0, Definition!C$25, Definition!I53*effort_TechDoc/effort_Dev)</f>
        <v>0</v>
      </c>
      <c r="I29" s="392"/>
      <c r="J29" s="392"/>
      <c r="K29" s="392">
        <f>IF(effort_Dev=0, Definition!C$25, Definition!I53*effort_Cat_SPA/effort_Dev)</f>
        <v>0</v>
      </c>
      <c r="L29" s="392"/>
      <c r="M29" s="392"/>
      <c r="N29" s="393">
        <f>Definition!F53</f>
        <v>0</v>
      </c>
      <c r="O29" s="394"/>
      <c r="P29" s="395"/>
      <c r="Q29" s="392">
        <f>Definition!G53</f>
        <v>0</v>
      </c>
      <c r="R29" s="392"/>
      <c r="S29" s="392"/>
      <c r="T29" s="392">
        <f>Definition!H53</f>
        <v>0</v>
      </c>
      <c r="U29" s="392"/>
      <c r="V29" s="392"/>
      <c r="W29" s="392">
        <f>IF(effort_Dev=0, Definition!C$25, Definition!I53*effort_Cat_UI/effort_Dev)</f>
        <v>0</v>
      </c>
      <c r="X29" s="392"/>
      <c r="Y29" s="392"/>
      <c r="Z29" s="392">
        <f>IF(effort_Dev=0, Definition!C$25, Definition!I53*effort_Support_Dev/effort_Dev)</f>
        <v>0</v>
      </c>
      <c r="AA29" s="392"/>
      <c r="AB29" s="392"/>
      <c r="AC29" s="392">
        <f>IF(effort_Dev=0, Definition!C$25, Definition!I53*effort_Support_Prog/effort_Dev)</f>
        <v>0</v>
      </c>
      <c r="AD29" s="392"/>
      <c r="AE29" s="392"/>
      <c r="AF29" s="305">
        <f t="shared" si="5"/>
        <v>0</v>
      </c>
      <c r="AG29" s="305">
        <f t="shared" si="1"/>
        <v>0</v>
      </c>
      <c r="AH29" s="305">
        <f t="shared" si="4"/>
        <v>0</v>
      </c>
      <c r="AI29" s="305">
        <f t="shared" si="3"/>
        <v>0</v>
      </c>
    </row>
    <row r="30" spans="2:52">
      <c r="B30" s="197" t="s">
        <v>459</v>
      </c>
      <c r="D30" s="281" t="str">
        <f>IF(B30&lt;&gt;"", IF(B30="NA", Definition!E54, B30), Definition!E54)</f>
        <v>Summary 26</v>
      </c>
      <c r="E30" s="392">
        <f>IF(effort_Dev=0, Definition!C$25, Definition!I54*effort_Initiation/effort_Dev)</f>
        <v>0</v>
      </c>
      <c r="F30" s="392"/>
      <c r="G30" s="392"/>
      <c r="H30" s="392">
        <f>IF(effort_Dev=0, Definition!C$25, Definition!I54*effort_TechDoc/effort_Dev)</f>
        <v>0</v>
      </c>
      <c r="I30" s="392"/>
      <c r="J30" s="392"/>
      <c r="K30" s="392">
        <f>IF(effort_Dev=0, Definition!C$25, Definition!I54*effort_Cat_SPA/effort_Dev)</f>
        <v>0</v>
      </c>
      <c r="L30" s="392"/>
      <c r="M30" s="392"/>
      <c r="N30" s="393">
        <f>Definition!F54</f>
        <v>0</v>
      </c>
      <c r="O30" s="394"/>
      <c r="P30" s="395"/>
      <c r="Q30" s="392">
        <f>Definition!G54</f>
        <v>0</v>
      </c>
      <c r="R30" s="392"/>
      <c r="S30" s="392"/>
      <c r="T30" s="392">
        <f>Definition!H54</f>
        <v>0</v>
      </c>
      <c r="U30" s="392"/>
      <c r="V30" s="392"/>
      <c r="W30" s="392">
        <f>IF(effort_Dev=0, Definition!C$25, Definition!I54*effort_Cat_UI/effort_Dev)</f>
        <v>0</v>
      </c>
      <c r="X30" s="392"/>
      <c r="Y30" s="392"/>
      <c r="Z30" s="392">
        <f>IF(effort_Dev=0, Definition!C$25, Definition!I54*effort_Support_Dev/effort_Dev)</f>
        <v>0</v>
      </c>
      <c r="AA30" s="392"/>
      <c r="AB30" s="392"/>
      <c r="AC30" s="392">
        <f>IF(effort_Dev=0, Definition!C$25, Definition!I54*effort_Support_Prog/effort_Dev)</f>
        <v>0</v>
      </c>
      <c r="AD30" s="392"/>
      <c r="AE30" s="392"/>
      <c r="AF30" s="305">
        <f t="shared" si="5"/>
        <v>0</v>
      </c>
      <c r="AG30" s="305">
        <f t="shared" si="1"/>
        <v>0</v>
      </c>
      <c r="AH30" s="305">
        <f t="shared" si="4"/>
        <v>0</v>
      </c>
      <c r="AI30" s="305">
        <f t="shared" si="3"/>
        <v>0</v>
      </c>
    </row>
    <row r="31" spans="2:52">
      <c r="B31" s="197" t="s">
        <v>460</v>
      </c>
      <c r="D31" s="281" t="str">
        <f>IF(B31&lt;&gt;"", IF(B31="NA", Definition!E55, B31), Definition!E55)</f>
        <v>Summary 27</v>
      </c>
      <c r="E31" s="392">
        <f>IF(effort_Dev=0, Definition!C$25, Definition!I55*effort_Initiation/effort_Dev)</f>
        <v>0</v>
      </c>
      <c r="F31" s="392"/>
      <c r="G31" s="392"/>
      <c r="H31" s="392">
        <f>IF(effort_Dev=0, Definition!C$25, Definition!I55*effort_TechDoc/effort_Dev)</f>
        <v>0</v>
      </c>
      <c r="I31" s="392"/>
      <c r="J31" s="392"/>
      <c r="K31" s="392">
        <f>IF(effort_Dev=0, Definition!C$25, Definition!I55*effort_Cat_SPA/effort_Dev)</f>
        <v>0</v>
      </c>
      <c r="L31" s="392"/>
      <c r="M31" s="392"/>
      <c r="N31" s="393">
        <f>Definition!F55</f>
        <v>0</v>
      </c>
      <c r="O31" s="394"/>
      <c r="P31" s="395"/>
      <c r="Q31" s="392">
        <f>Definition!G55</f>
        <v>0</v>
      </c>
      <c r="R31" s="392"/>
      <c r="S31" s="392"/>
      <c r="T31" s="392">
        <f>Definition!H55</f>
        <v>0</v>
      </c>
      <c r="U31" s="392"/>
      <c r="V31" s="392"/>
      <c r="W31" s="392">
        <f>IF(effort_Dev=0, Definition!C$25, Definition!I55*effort_Cat_UI/effort_Dev)</f>
        <v>0</v>
      </c>
      <c r="X31" s="392"/>
      <c r="Y31" s="392"/>
      <c r="Z31" s="392">
        <f>IF(effort_Dev=0, Definition!C$25, Definition!I55*effort_Support_Dev/effort_Dev)</f>
        <v>0</v>
      </c>
      <c r="AA31" s="392"/>
      <c r="AB31" s="392"/>
      <c r="AC31" s="392">
        <f>IF(effort_Dev=0, Definition!C$25, Definition!I55*effort_Support_Prog/effort_Dev)</f>
        <v>0</v>
      </c>
      <c r="AD31" s="392"/>
      <c r="AE31" s="392"/>
      <c r="AF31" s="305">
        <f t="shared" si="5"/>
        <v>0</v>
      </c>
      <c r="AG31" s="305">
        <f t="shared" si="1"/>
        <v>0</v>
      </c>
      <c r="AH31" s="305">
        <f t="shared" si="4"/>
        <v>0</v>
      </c>
      <c r="AI31" s="305">
        <f t="shared" si="3"/>
        <v>0</v>
      </c>
    </row>
    <row r="32" spans="2:52">
      <c r="B32" s="197" t="s">
        <v>461</v>
      </c>
      <c r="D32" s="281" t="str">
        <f>IF(B32&lt;&gt;"", IF(B32="NA", Definition!E56, B32), Definition!E56)</f>
        <v>Summary 28</v>
      </c>
      <c r="E32" s="392">
        <f>IF(effort_Dev=0, Definition!C$25, Definition!I56*effort_Initiation/effort_Dev)</f>
        <v>0</v>
      </c>
      <c r="F32" s="392"/>
      <c r="G32" s="392"/>
      <c r="H32" s="392">
        <f>IF(effort_Dev=0, Definition!C$25, Definition!I56*effort_TechDoc/effort_Dev)</f>
        <v>0</v>
      </c>
      <c r="I32" s="392"/>
      <c r="J32" s="392"/>
      <c r="K32" s="392">
        <f>IF(effort_Dev=0, Definition!C$25, Definition!I56*effort_Cat_SPA/effort_Dev)</f>
        <v>0</v>
      </c>
      <c r="L32" s="392"/>
      <c r="M32" s="392"/>
      <c r="N32" s="393">
        <f>Definition!F56</f>
        <v>0</v>
      </c>
      <c r="O32" s="394"/>
      <c r="P32" s="395"/>
      <c r="Q32" s="392">
        <f>Definition!G56</f>
        <v>0</v>
      </c>
      <c r="R32" s="392"/>
      <c r="S32" s="392"/>
      <c r="T32" s="392">
        <f>Definition!H56</f>
        <v>0</v>
      </c>
      <c r="U32" s="392"/>
      <c r="V32" s="392"/>
      <c r="W32" s="392">
        <f>IF(effort_Dev=0, Definition!C$25, Definition!I56*effort_Cat_UI/effort_Dev)</f>
        <v>0</v>
      </c>
      <c r="X32" s="392"/>
      <c r="Y32" s="392"/>
      <c r="Z32" s="392">
        <f>IF(effort_Dev=0, Definition!C$25, Definition!I56*effort_Support_Dev/effort_Dev)</f>
        <v>0</v>
      </c>
      <c r="AA32" s="392"/>
      <c r="AB32" s="392"/>
      <c r="AC32" s="392">
        <f>IF(effort_Dev=0, Definition!C$25, Definition!I56*effort_Support_Prog/effort_Dev)</f>
        <v>0</v>
      </c>
      <c r="AD32" s="392"/>
      <c r="AE32" s="392"/>
      <c r="AF32" s="305">
        <f t="shared" si="5"/>
        <v>0</v>
      </c>
      <c r="AG32" s="305">
        <f t="shared" si="1"/>
        <v>0</v>
      </c>
      <c r="AH32" s="305">
        <f t="shared" si="4"/>
        <v>0</v>
      </c>
      <c r="AI32" s="305">
        <f t="shared" si="3"/>
        <v>0</v>
      </c>
    </row>
    <row r="33" spans="2:35">
      <c r="B33" s="197" t="s">
        <v>462</v>
      </c>
      <c r="D33" s="281" t="str">
        <f>IF(B33&lt;&gt;"", IF(B33="NA", Definition!E57, B33), Definition!E57)</f>
        <v>Summary 29</v>
      </c>
      <c r="E33" s="392">
        <f>IF(effort_Dev=0, Definition!C$25, Definition!I57*effort_Initiation/effort_Dev)</f>
        <v>0</v>
      </c>
      <c r="F33" s="392"/>
      <c r="G33" s="392"/>
      <c r="H33" s="392">
        <f>IF(effort_Dev=0, Definition!C$25, Definition!I57*effort_TechDoc/effort_Dev)</f>
        <v>0</v>
      </c>
      <c r="I33" s="392"/>
      <c r="J33" s="392"/>
      <c r="K33" s="392">
        <f>IF(effort_Dev=0, Definition!C$25, Definition!I57*effort_Cat_SPA/effort_Dev)</f>
        <v>0</v>
      </c>
      <c r="L33" s="392"/>
      <c r="M33" s="392"/>
      <c r="N33" s="393">
        <f>Definition!F57</f>
        <v>0</v>
      </c>
      <c r="O33" s="394"/>
      <c r="P33" s="395"/>
      <c r="Q33" s="392">
        <f>Definition!G57</f>
        <v>0</v>
      </c>
      <c r="R33" s="392"/>
      <c r="S33" s="392"/>
      <c r="T33" s="392">
        <f>Definition!H57</f>
        <v>0</v>
      </c>
      <c r="U33" s="392"/>
      <c r="V33" s="392"/>
      <c r="W33" s="392">
        <f>IF(effort_Dev=0, Definition!C$25, Definition!I57*effort_Cat_UI/effort_Dev)</f>
        <v>0</v>
      </c>
      <c r="X33" s="392"/>
      <c r="Y33" s="392"/>
      <c r="Z33" s="392">
        <f>IF(effort_Dev=0, Definition!C$25, Definition!I57*effort_Support_Dev/effort_Dev)</f>
        <v>0</v>
      </c>
      <c r="AA33" s="392"/>
      <c r="AB33" s="392"/>
      <c r="AC33" s="392">
        <f>IF(effort_Dev=0, Definition!C$25, Definition!I57*effort_Support_Prog/effort_Dev)</f>
        <v>0</v>
      </c>
      <c r="AD33" s="392"/>
      <c r="AE33" s="392"/>
      <c r="AF33" s="305">
        <f t="shared" si="5"/>
        <v>0</v>
      </c>
      <c r="AG33" s="305">
        <f t="shared" si="1"/>
        <v>0</v>
      </c>
      <c r="AH33" s="305">
        <f t="shared" si="4"/>
        <v>0</v>
      </c>
      <c r="AI33" s="305">
        <f t="shared" si="3"/>
        <v>0</v>
      </c>
    </row>
    <row r="34" spans="2:35">
      <c r="B34" s="197" t="s">
        <v>463</v>
      </c>
      <c r="D34" s="281" t="str">
        <f>IF(B34&lt;&gt;"", IF(B34="NA", Definition!E58, B34), Definition!E58)</f>
        <v>Summary 30</v>
      </c>
      <c r="E34" s="392">
        <f>IF(effort_Dev=0, Definition!C$25, Definition!I58*effort_Initiation/effort_Dev)</f>
        <v>0</v>
      </c>
      <c r="F34" s="392"/>
      <c r="G34" s="392"/>
      <c r="H34" s="392">
        <f>IF(effort_Dev=0, Definition!C$25, Definition!I58*effort_TechDoc/effort_Dev)</f>
        <v>0</v>
      </c>
      <c r="I34" s="392"/>
      <c r="J34" s="392"/>
      <c r="K34" s="392">
        <f>IF(effort_Dev=0, Definition!C$25, Definition!I58*effort_Cat_SPA/effort_Dev)</f>
        <v>0</v>
      </c>
      <c r="L34" s="392"/>
      <c r="M34" s="392"/>
      <c r="N34" s="393">
        <f>Definition!F58</f>
        <v>0</v>
      </c>
      <c r="O34" s="394"/>
      <c r="P34" s="395"/>
      <c r="Q34" s="392">
        <f>Definition!G58</f>
        <v>0</v>
      </c>
      <c r="R34" s="392"/>
      <c r="S34" s="392"/>
      <c r="T34" s="392">
        <f>Definition!H58</f>
        <v>0</v>
      </c>
      <c r="U34" s="392"/>
      <c r="V34" s="392"/>
      <c r="W34" s="392">
        <f>IF(effort_Dev=0, Definition!C$25, Definition!I58*effort_Cat_UI/effort_Dev)</f>
        <v>0</v>
      </c>
      <c r="X34" s="392"/>
      <c r="Y34" s="392"/>
      <c r="Z34" s="392">
        <f>IF(effort_Dev=0, Definition!C$25, Definition!I58*effort_Support_Dev/effort_Dev)</f>
        <v>0</v>
      </c>
      <c r="AA34" s="392"/>
      <c r="AB34" s="392"/>
      <c r="AC34" s="392">
        <f>IF(effort_Dev=0, Definition!C$25, Definition!I58*effort_Support_Prog/effort_Dev)</f>
        <v>0</v>
      </c>
      <c r="AD34" s="392"/>
      <c r="AE34" s="392"/>
      <c r="AF34" s="305">
        <f t="shared" si="5"/>
        <v>0</v>
      </c>
      <c r="AG34" s="305">
        <f t="shared" si="1"/>
        <v>0</v>
      </c>
      <c r="AH34" s="305">
        <f t="shared" si="4"/>
        <v>0</v>
      </c>
      <c r="AI34" s="305">
        <f t="shared" si="3"/>
        <v>0</v>
      </c>
    </row>
    <row r="35" spans="2:35">
      <c r="B35" s="197" t="s">
        <v>464</v>
      </c>
      <c r="D35" s="281" t="str">
        <f>IF(B35&lt;&gt;"", IF(B35="NA", Definition!E59, B35), Definition!E59)</f>
        <v>Summary 31</v>
      </c>
      <c r="E35" s="392">
        <f>IF(effort_Dev=0, Definition!C$25, Definition!I59*effort_Initiation/effort_Dev)</f>
        <v>0</v>
      </c>
      <c r="F35" s="392"/>
      <c r="G35" s="392"/>
      <c r="H35" s="392">
        <f>IF(effort_Dev=0, Definition!C$25, Definition!I59*effort_TechDoc/effort_Dev)</f>
        <v>0</v>
      </c>
      <c r="I35" s="392"/>
      <c r="J35" s="392"/>
      <c r="K35" s="392">
        <f>IF(effort_Dev=0, Definition!C$25, Definition!I59*effort_Cat_SPA/effort_Dev)</f>
        <v>0</v>
      </c>
      <c r="L35" s="392"/>
      <c r="M35" s="392"/>
      <c r="N35" s="393">
        <f>Definition!F59</f>
        <v>0</v>
      </c>
      <c r="O35" s="394"/>
      <c r="P35" s="395"/>
      <c r="Q35" s="392">
        <f>Definition!G59</f>
        <v>0</v>
      </c>
      <c r="R35" s="392"/>
      <c r="S35" s="392"/>
      <c r="T35" s="392">
        <f>Definition!H59</f>
        <v>0</v>
      </c>
      <c r="U35" s="392"/>
      <c r="V35" s="392"/>
      <c r="W35" s="392">
        <f>IF(effort_Dev=0, Definition!C$25, Definition!I59*effort_Cat_UI/effort_Dev)</f>
        <v>0</v>
      </c>
      <c r="X35" s="392"/>
      <c r="Y35" s="392"/>
      <c r="Z35" s="392">
        <f>IF(effort_Dev=0, Definition!C$25, Definition!I59*effort_Support_Dev/effort_Dev)</f>
        <v>0</v>
      </c>
      <c r="AA35" s="392"/>
      <c r="AB35" s="392"/>
      <c r="AC35" s="392">
        <f>IF(effort_Dev=0, Definition!C$25, Definition!I59*effort_Support_Prog/effort_Dev)</f>
        <v>0</v>
      </c>
      <c r="AD35" s="392"/>
      <c r="AE35" s="392"/>
      <c r="AF35" s="305">
        <f t="shared" si="5"/>
        <v>0</v>
      </c>
      <c r="AG35" s="305">
        <f t="shared" si="1"/>
        <v>0</v>
      </c>
      <c r="AH35" s="305">
        <f t="shared" si="4"/>
        <v>0</v>
      </c>
      <c r="AI35" s="305">
        <f t="shared" si="3"/>
        <v>0</v>
      </c>
    </row>
    <row r="36" spans="2:35">
      <c r="B36" s="197" t="s">
        <v>465</v>
      </c>
      <c r="D36" s="281" t="str">
        <f>IF(B36&lt;&gt;"", IF(B36="NA", Definition!E60, B36), Definition!E60)</f>
        <v>Summary 32</v>
      </c>
      <c r="E36" s="392">
        <f>IF(effort_Dev=0, Definition!C$25, Definition!I60*effort_Initiation/effort_Dev)</f>
        <v>0</v>
      </c>
      <c r="F36" s="392"/>
      <c r="G36" s="392"/>
      <c r="H36" s="392">
        <f>IF(effort_Dev=0, Definition!C$25, Definition!I60*effort_TechDoc/effort_Dev)</f>
        <v>0</v>
      </c>
      <c r="I36" s="392"/>
      <c r="J36" s="392"/>
      <c r="K36" s="392">
        <f>IF(effort_Dev=0, Definition!C$25, Definition!I60*effort_Cat_SPA/effort_Dev)</f>
        <v>0</v>
      </c>
      <c r="L36" s="392"/>
      <c r="M36" s="392"/>
      <c r="N36" s="393">
        <f>Definition!F60</f>
        <v>0</v>
      </c>
      <c r="O36" s="394"/>
      <c r="P36" s="395"/>
      <c r="Q36" s="392">
        <f>Definition!G60</f>
        <v>0</v>
      </c>
      <c r="R36" s="392"/>
      <c r="S36" s="392"/>
      <c r="T36" s="392">
        <f>Definition!H60</f>
        <v>0</v>
      </c>
      <c r="U36" s="392"/>
      <c r="V36" s="392"/>
      <c r="W36" s="392">
        <f>IF(effort_Dev=0, Definition!C$25, Definition!I60*effort_Cat_UI/effort_Dev)</f>
        <v>0</v>
      </c>
      <c r="X36" s="392"/>
      <c r="Y36" s="392"/>
      <c r="Z36" s="392">
        <f>IF(effort_Dev=0, Definition!C$25, Definition!I60*effort_Support_Dev/effort_Dev)</f>
        <v>0</v>
      </c>
      <c r="AA36" s="392"/>
      <c r="AB36" s="392"/>
      <c r="AC36" s="392">
        <f>IF(effort_Dev=0, Definition!C$25, Definition!I60*effort_Support_Prog/effort_Dev)</f>
        <v>0</v>
      </c>
      <c r="AD36" s="392"/>
      <c r="AE36" s="392"/>
      <c r="AF36" s="305">
        <f t="shared" si="5"/>
        <v>0</v>
      </c>
      <c r="AG36" s="305">
        <f t="shared" si="1"/>
        <v>0</v>
      </c>
      <c r="AH36" s="305">
        <f t="shared" si="4"/>
        <v>0</v>
      </c>
      <c r="AI36" s="305">
        <f t="shared" si="3"/>
        <v>0</v>
      </c>
    </row>
    <row r="37" spans="2:35">
      <c r="B37" s="197" t="s">
        <v>466</v>
      </c>
      <c r="D37" s="281" t="str">
        <f>IF(B37&lt;&gt;"", IF(B37="NA", Definition!E61, B37), Definition!E61)</f>
        <v>Summary 33</v>
      </c>
      <c r="E37" s="392">
        <f>IF(effort_Dev=0, Definition!C$25, Definition!I61*effort_Initiation/effort_Dev)</f>
        <v>0</v>
      </c>
      <c r="F37" s="392"/>
      <c r="G37" s="392"/>
      <c r="H37" s="392">
        <f>IF(effort_Dev=0, Definition!C$25, Definition!I61*effort_TechDoc/effort_Dev)</f>
        <v>0</v>
      </c>
      <c r="I37" s="392"/>
      <c r="J37" s="392"/>
      <c r="K37" s="392">
        <f>IF(effort_Dev=0, Definition!C$25, Definition!I61*effort_Cat_SPA/effort_Dev)</f>
        <v>0</v>
      </c>
      <c r="L37" s="392"/>
      <c r="M37" s="392"/>
      <c r="N37" s="393">
        <f>Definition!F61</f>
        <v>0</v>
      </c>
      <c r="O37" s="394"/>
      <c r="P37" s="395"/>
      <c r="Q37" s="392">
        <f>Definition!G61</f>
        <v>0</v>
      </c>
      <c r="R37" s="392"/>
      <c r="S37" s="392"/>
      <c r="T37" s="392">
        <f>Definition!H61</f>
        <v>0</v>
      </c>
      <c r="U37" s="392"/>
      <c r="V37" s="392"/>
      <c r="W37" s="392">
        <f>IF(effort_Dev=0, Definition!C$25, Definition!I61*effort_Cat_UI/effort_Dev)</f>
        <v>0</v>
      </c>
      <c r="X37" s="392"/>
      <c r="Y37" s="392"/>
      <c r="Z37" s="392">
        <f>IF(effort_Dev=0, Definition!C$25, Definition!I61*effort_Support_Dev/effort_Dev)</f>
        <v>0</v>
      </c>
      <c r="AA37" s="392"/>
      <c r="AB37" s="392"/>
      <c r="AC37" s="392">
        <f>IF(effort_Dev=0, Definition!C$25, Definition!I61*effort_Support_Prog/effort_Dev)</f>
        <v>0</v>
      </c>
      <c r="AD37" s="392"/>
      <c r="AE37" s="392"/>
      <c r="AF37" s="305">
        <f t="shared" si="5"/>
        <v>0</v>
      </c>
      <c r="AG37" s="305">
        <f t="shared" si="1"/>
        <v>0</v>
      </c>
      <c r="AH37" s="305">
        <f t="shared" si="4"/>
        <v>0</v>
      </c>
      <c r="AI37" s="305">
        <f t="shared" si="3"/>
        <v>0</v>
      </c>
    </row>
    <row r="38" spans="2:35">
      <c r="B38" s="197" t="s">
        <v>467</v>
      </c>
      <c r="D38" s="281" t="str">
        <f>IF(B38&lt;&gt;"", IF(B38="NA", Definition!E62, B38), Definition!E62)</f>
        <v>Summary 34</v>
      </c>
      <c r="E38" s="392">
        <f>IF(effort_Dev=0, Definition!C$25, Definition!I62*effort_Initiation/effort_Dev)</f>
        <v>0</v>
      </c>
      <c r="F38" s="392"/>
      <c r="G38" s="392"/>
      <c r="H38" s="392">
        <f>IF(effort_Dev=0, Definition!C$25, Definition!I62*effort_TechDoc/effort_Dev)</f>
        <v>0</v>
      </c>
      <c r="I38" s="392"/>
      <c r="J38" s="392"/>
      <c r="K38" s="392">
        <f>IF(effort_Dev=0, Definition!C$25, Definition!I62*effort_Cat_SPA/effort_Dev)</f>
        <v>0</v>
      </c>
      <c r="L38" s="392"/>
      <c r="M38" s="392"/>
      <c r="N38" s="393">
        <f>Definition!F62</f>
        <v>0</v>
      </c>
      <c r="O38" s="394"/>
      <c r="P38" s="395"/>
      <c r="Q38" s="392">
        <f>Definition!G62</f>
        <v>0</v>
      </c>
      <c r="R38" s="392"/>
      <c r="S38" s="392"/>
      <c r="T38" s="392">
        <f>Definition!H62</f>
        <v>0</v>
      </c>
      <c r="U38" s="392"/>
      <c r="V38" s="392"/>
      <c r="W38" s="392">
        <f>IF(effort_Dev=0, Definition!C$25, Definition!I62*effort_Cat_UI/effort_Dev)</f>
        <v>0</v>
      </c>
      <c r="X38" s="392"/>
      <c r="Y38" s="392"/>
      <c r="Z38" s="392">
        <f>IF(effort_Dev=0, Definition!C$25, Definition!I62*effort_Support_Dev/effort_Dev)</f>
        <v>0</v>
      </c>
      <c r="AA38" s="392"/>
      <c r="AB38" s="392"/>
      <c r="AC38" s="392">
        <f>IF(effort_Dev=0, Definition!C$25, Definition!I62*effort_Support_Prog/effort_Dev)</f>
        <v>0</v>
      </c>
      <c r="AD38" s="392"/>
      <c r="AE38" s="392"/>
      <c r="AF38" s="305">
        <f t="shared" si="5"/>
        <v>0</v>
      </c>
      <c r="AG38" s="305">
        <f t="shared" si="1"/>
        <v>0</v>
      </c>
      <c r="AH38" s="305">
        <f t="shared" si="4"/>
        <v>0</v>
      </c>
      <c r="AI38" s="305">
        <f t="shared" si="3"/>
        <v>0</v>
      </c>
    </row>
    <row r="39" spans="2:35">
      <c r="B39" s="197" t="s">
        <v>468</v>
      </c>
      <c r="D39" s="281" t="str">
        <f>IF(B39&lt;&gt;"", IF(B39="NA", Definition!E63, B39), Definition!E63)</f>
        <v>Summary 35</v>
      </c>
      <c r="E39" s="392">
        <f>IF(effort_Dev=0, Definition!C$25, Definition!I63*effort_Initiation/effort_Dev)</f>
        <v>0</v>
      </c>
      <c r="F39" s="392"/>
      <c r="G39" s="392"/>
      <c r="H39" s="392">
        <f>IF(effort_Dev=0, Definition!C$25, Definition!I63*effort_TechDoc/effort_Dev)</f>
        <v>0</v>
      </c>
      <c r="I39" s="392"/>
      <c r="J39" s="392"/>
      <c r="K39" s="392">
        <f>IF(effort_Dev=0, Definition!C$25, Definition!I63*effort_Cat_SPA/effort_Dev)</f>
        <v>0</v>
      </c>
      <c r="L39" s="392"/>
      <c r="M39" s="392"/>
      <c r="N39" s="393">
        <f>Definition!F63</f>
        <v>0</v>
      </c>
      <c r="O39" s="394"/>
      <c r="P39" s="395"/>
      <c r="Q39" s="392">
        <f>Definition!G63</f>
        <v>0</v>
      </c>
      <c r="R39" s="392"/>
      <c r="S39" s="392"/>
      <c r="T39" s="392">
        <f>Definition!H63</f>
        <v>0</v>
      </c>
      <c r="U39" s="392"/>
      <c r="V39" s="392"/>
      <c r="W39" s="392">
        <f>IF(effort_Dev=0, Definition!C$25, Definition!I63*effort_Cat_UI/effort_Dev)</f>
        <v>0</v>
      </c>
      <c r="X39" s="392"/>
      <c r="Y39" s="392"/>
      <c r="Z39" s="392">
        <f>IF(effort_Dev=0, Definition!C$25, Definition!I63*effort_Support_Dev/effort_Dev)</f>
        <v>0</v>
      </c>
      <c r="AA39" s="392"/>
      <c r="AB39" s="392"/>
      <c r="AC39" s="392">
        <f>IF(effort_Dev=0, Definition!C$25, Definition!I63*effort_Support_Prog/effort_Dev)</f>
        <v>0</v>
      </c>
      <c r="AD39" s="392"/>
      <c r="AE39" s="392"/>
      <c r="AF39" s="305">
        <f t="shared" si="5"/>
        <v>0</v>
      </c>
      <c r="AG39" s="305">
        <f t="shared" si="1"/>
        <v>0</v>
      </c>
      <c r="AH39" s="305">
        <f t="shared" si="4"/>
        <v>0</v>
      </c>
      <c r="AI39" s="305">
        <f t="shared" si="3"/>
        <v>0</v>
      </c>
    </row>
    <row r="40" spans="2:35">
      <c r="B40" s="197" t="s">
        <v>469</v>
      </c>
      <c r="D40" s="281" t="str">
        <f>IF(B40&lt;&gt;"", IF(B40="NA", Definition!E64, B40), Definition!E64)</f>
        <v>Summary 36</v>
      </c>
      <c r="E40" s="392">
        <f>IF(effort_Dev=0, Definition!C$25, Definition!I64*effort_Initiation/effort_Dev)</f>
        <v>0</v>
      </c>
      <c r="F40" s="392"/>
      <c r="G40" s="392"/>
      <c r="H40" s="392">
        <f>IF(effort_Dev=0, Definition!C$25, Definition!I64*effort_TechDoc/effort_Dev)</f>
        <v>0</v>
      </c>
      <c r="I40" s="392"/>
      <c r="J40" s="392"/>
      <c r="K40" s="392">
        <f>IF(effort_Dev=0, Definition!C$25, Definition!I64*effort_Cat_SPA/effort_Dev)</f>
        <v>0</v>
      </c>
      <c r="L40" s="392"/>
      <c r="M40" s="392"/>
      <c r="N40" s="393">
        <f>Definition!F64</f>
        <v>0</v>
      </c>
      <c r="O40" s="394"/>
      <c r="P40" s="395"/>
      <c r="Q40" s="392">
        <f>Definition!G64</f>
        <v>0</v>
      </c>
      <c r="R40" s="392"/>
      <c r="S40" s="392"/>
      <c r="T40" s="392">
        <f>Definition!H64</f>
        <v>0</v>
      </c>
      <c r="U40" s="392"/>
      <c r="V40" s="392"/>
      <c r="W40" s="392">
        <f>IF(effort_Dev=0, Definition!C$25, Definition!I64*effort_Cat_UI/effort_Dev)</f>
        <v>0</v>
      </c>
      <c r="X40" s="392"/>
      <c r="Y40" s="392"/>
      <c r="Z40" s="392">
        <f>IF(effort_Dev=0, Definition!C$25, Definition!I64*effort_Support_Dev/effort_Dev)</f>
        <v>0</v>
      </c>
      <c r="AA40" s="392"/>
      <c r="AB40" s="392"/>
      <c r="AC40" s="392">
        <f>IF(effort_Dev=0, Definition!C$25, Definition!I64*effort_Support_Prog/effort_Dev)</f>
        <v>0</v>
      </c>
      <c r="AD40" s="392"/>
      <c r="AE40" s="392"/>
      <c r="AF40" s="305">
        <f t="shared" si="5"/>
        <v>0</v>
      </c>
      <c r="AG40" s="305">
        <f t="shared" si="1"/>
        <v>0</v>
      </c>
      <c r="AH40" s="305">
        <f t="shared" si="4"/>
        <v>0</v>
      </c>
      <c r="AI40" s="305">
        <f t="shared" si="3"/>
        <v>0</v>
      </c>
    </row>
    <row r="41" spans="2:35">
      <c r="B41" s="197" t="s">
        <v>483</v>
      </c>
      <c r="D41" s="281" t="str">
        <f>IF(B41&lt;&gt;"", IF(B41="NA", Definition!E65, B41), Definition!E65)</f>
        <v>Copper</v>
      </c>
      <c r="E41" s="392">
        <f>IF(effort_Dev=0, Definition!C$25, Definition!I65*effort_Initiation/effort_Dev)</f>
        <v>0</v>
      </c>
      <c r="F41" s="392"/>
      <c r="G41" s="392"/>
      <c r="H41" s="392">
        <f>IF(effort_Dev=0, Definition!C$25, Definition!I65*effort_TechDoc/effort_Dev)</f>
        <v>0</v>
      </c>
      <c r="I41" s="392"/>
      <c r="J41" s="392"/>
      <c r="K41" s="392">
        <f>IF(effort_Dev=0, Definition!C$25, Definition!I65*effort_Cat_SPA/effort_Dev)</f>
        <v>0</v>
      </c>
      <c r="L41" s="392"/>
      <c r="M41" s="392"/>
      <c r="N41" s="393">
        <f>Definition!F65</f>
        <v>0</v>
      </c>
      <c r="O41" s="394"/>
      <c r="P41" s="395"/>
      <c r="Q41" s="392">
        <f>Definition!G65</f>
        <v>0</v>
      </c>
      <c r="R41" s="392"/>
      <c r="S41" s="392"/>
      <c r="T41" s="392">
        <f>Definition!H65</f>
        <v>0</v>
      </c>
      <c r="U41" s="392"/>
      <c r="V41" s="392"/>
      <c r="W41" s="392">
        <f>IF(effort_Dev=0, Definition!C$25, Definition!I65*effort_Cat_UI/effort_Dev)</f>
        <v>0</v>
      </c>
      <c r="X41" s="392"/>
      <c r="Y41" s="392"/>
      <c r="Z41" s="392">
        <f>IF(effort_Dev=0, Definition!C$25, Definition!I65*effort_Support_Dev/effort_Dev)</f>
        <v>0</v>
      </c>
      <c r="AA41" s="392"/>
      <c r="AB41" s="392"/>
      <c r="AC41" s="392">
        <f>IF(effort_Dev=0, Definition!C$25, Definition!I65*effort_Support_Prog/effort_Dev)</f>
        <v>0</v>
      </c>
      <c r="AD41" s="392"/>
      <c r="AE41" s="392"/>
      <c r="AF41" s="305">
        <f t="shared" si="5"/>
        <v>0</v>
      </c>
      <c r="AG41" s="305">
        <f t="shared" si="1"/>
        <v>0</v>
      </c>
      <c r="AH41" s="305">
        <f t="shared" si="4"/>
        <v>0</v>
      </c>
      <c r="AI41" s="305">
        <f t="shared" si="3"/>
        <v>0</v>
      </c>
    </row>
    <row r="42" spans="2:35">
      <c r="B42" s="197" t="s">
        <v>470</v>
      </c>
      <c r="D42" s="281" t="str">
        <f>IF(B42&lt;&gt;"", IF(B42="NA", Definition!E66, B42), Definition!E66)</f>
        <v>Summary 38</v>
      </c>
      <c r="E42" s="392">
        <f>IF(effort_Dev=0, Definition!C$25, Definition!I66*effort_Initiation/effort_Dev)</f>
        <v>0</v>
      </c>
      <c r="F42" s="392"/>
      <c r="G42" s="392"/>
      <c r="H42" s="392">
        <f>IF(effort_Dev=0, Definition!C$25, Definition!I66*effort_TechDoc/effort_Dev)</f>
        <v>0</v>
      </c>
      <c r="I42" s="392"/>
      <c r="J42" s="392"/>
      <c r="K42" s="392">
        <f>IF(effort_Dev=0, Definition!C$25, Definition!I66*effort_Cat_SPA/effort_Dev)</f>
        <v>0</v>
      </c>
      <c r="L42" s="392"/>
      <c r="M42" s="392"/>
      <c r="N42" s="393">
        <f>Definition!F66</f>
        <v>0</v>
      </c>
      <c r="O42" s="394"/>
      <c r="P42" s="395"/>
      <c r="Q42" s="392">
        <f>Definition!G66</f>
        <v>0</v>
      </c>
      <c r="R42" s="392"/>
      <c r="S42" s="392"/>
      <c r="T42" s="392">
        <f>Definition!H66</f>
        <v>0</v>
      </c>
      <c r="U42" s="392"/>
      <c r="V42" s="392"/>
      <c r="W42" s="392">
        <f>IF(effort_Dev=0, Definition!C$25, Definition!I66*effort_Cat_UI/effort_Dev)</f>
        <v>0</v>
      </c>
      <c r="X42" s="392"/>
      <c r="Y42" s="392"/>
      <c r="Z42" s="392">
        <f>IF(effort_Dev=0, Definition!C$25, Definition!I66*effort_Support_Dev/effort_Dev)</f>
        <v>0</v>
      </c>
      <c r="AA42" s="392"/>
      <c r="AB42" s="392"/>
      <c r="AC42" s="392">
        <f>IF(effort_Dev=0, Definition!C$25, Definition!I66*effort_Support_Prog/effort_Dev)</f>
        <v>0</v>
      </c>
      <c r="AD42" s="392"/>
      <c r="AE42" s="392"/>
      <c r="AF42" s="305">
        <f t="shared" ref="AF42:AF54" si="6">SUM(E42:AE42)</f>
        <v>0</v>
      </c>
      <c r="AG42" s="305">
        <f t="shared" si="1"/>
        <v>0</v>
      </c>
      <c r="AH42" s="305">
        <f t="shared" si="4"/>
        <v>0</v>
      </c>
      <c r="AI42" s="305">
        <f t="shared" si="3"/>
        <v>0</v>
      </c>
    </row>
    <row r="43" spans="2:35">
      <c r="B43" s="197" t="s">
        <v>471</v>
      </c>
      <c r="D43" s="281" t="str">
        <f>IF(B43&lt;&gt;"", IF(B43="NA", Definition!E67, B43), Definition!E67)</f>
        <v>Summary 39</v>
      </c>
      <c r="E43" s="392">
        <f>IF(effort_Dev=0, Definition!C$25, Definition!I67*effort_Initiation/effort_Dev)</f>
        <v>0</v>
      </c>
      <c r="F43" s="392"/>
      <c r="G43" s="392"/>
      <c r="H43" s="392">
        <f>IF(effort_Dev=0, Definition!C$25, Definition!I67*effort_TechDoc/effort_Dev)</f>
        <v>0</v>
      </c>
      <c r="I43" s="392"/>
      <c r="J43" s="392"/>
      <c r="K43" s="392">
        <f>IF(effort_Dev=0, Definition!C$25, Definition!I67*effort_Cat_SPA/effort_Dev)</f>
        <v>0</v>
      </c>
      <c r="L43" s="392"/>
      <c r="M43" s="392"/>
      <c r="N43" s="393">
        <f>Definition!F67</f>
        <v>0</v>
      </c>
      <c r="O43" s="394"/>
      <c r="P43" s="395"/>
      <c r="Q43" s="392">
        <f>Definition!G67</f>
        <v>0</v>
      </c>
      <c r="R43" s="392"/>
      <c r="S43" s="392"/>
      <c r="T43" s="392">
        <f>Definition!H67</f>
        <v>0</v>
      </c>
      <c r="U43" s="392"/>
      <c r="V43" s="392"/>
      <c r="W43" s="392">
        <f>IF(effort_Dev=0, Definition!C$25, Definition!I67*effort_Cat_UI/effort_Dev)</f>
        <v>0</v>
      </c>
      <c r="X43" s="392"/>
      <c r="Y43" s="392"/>
      <c r="Z43" s="392">
        <f>IF(effort_Dev=0, Definition!C$25, Definition!I67*effort_Support_Dev/effort_Dev)</f>
        <v>0</v>
      </c>
      <c r="AA43" s="392"/>
      <c r="AB43" s="392"/>
      <c r="AC43" s="392">
        <f>IF(effort_Dev=0, Definition!C$25, Definition!I67*effort_Support_Prog/effort_Dev)</f>
        <v>0</v>
      </c>
      <c r="AD43" s="392"/>
      <c r="AE43" s="392"/>
      <c r="AF43" s="305">
        <f t="shared" si="6"/>
        <v>0</v>
      </c>
      <c r="AG43" s="305">
        <f t="shared" si="1"/>
        <v>0</v>
      </c>
      <c r="AH43" s="305">
        <f t="shared" si="4"/>
        <v>0</v>
      </c>
      <c r="AI43" s="305">
        <f t="shared" si="3"/>
        <v>0</v>
      </c>
    </row>
    <row r="44" spans="2:35">
      <c r="B44" s="197" t="s">
        <v>472</v>
      </c>
      <c r="D44" s="281" t="str">
        <f>IF(B44&lt;&gt;"", IF(B44="NA", Definition!E68, B44), Definition!E68)</f>
        <v>Summary 40</v>
      </c>
      <c r="E44" s="392">
        <f>IF(effort_Dev=0, Definition!C$25, Definition!I68*effort_Initiation/effort_Dev)</f>
        <v>0</v>
      </c>
      <c r="F44" s="392"/>
      <c r="G44" s="392"/>
      <c r="H44" s="392">
        <f>IF(effort_Dev=0, Definition!C$25, Definition!I68*effort_TechDoc/effort_Dev)</f>
        <v>0</v>
      </c>
      <c r="I44" s="392"/>
      <c r="J44" s="392"/>
      <c r="K44" s="392">
        <f>IF(effort_Dev=0, Definition!C$25, Definition!I68*effort_Cat_SPA/effort_Dev)</f>
        <v>0</v>
      </c>
      <c r="L44" s="392"/>
      <c r="M44" s="392"/>
      <c r="N44" s="393">
        <f>Definition!F68</f>
        <v>0</v>
      </c>
      <c r="O44" s="394"/>
      <c r="P44" s="395"/>
      <c r="Q44" s="392">
        <f>Definition!G68</f>
        <v>0</v>
      </c>
      <c r="R44" s="392"/>
      <c r="S44" s="392"/>
      <c r="T44" s="392">
        <f>Definition!H68</f>
        <v>0</v>
      </c>
      <c r="U44" s="392"/>
      <c r="V44" s="392"/>
      <c r="W44" s="392">
        <f>IF(effort_Dev=0, Definition!C$25, Definition!I68*effort_Cat_UI/effort_Dev)</f>
        <v>0</v>
      </c>
      <c r="X44" s="392"/>
      <c r="Y44" s="392"/>
      <c r="Z44" s="392">
        <f>IF(effort_Dev=0, Definition!C$25, Definition!I68*effort_Support_Dev/effort_Dev)</f>
        <v>0</v>
      </c>
      <c r="AA44" s="392"/>
      <c r="AB44" s="392"/>
      <c r="AC44" s="392">
        <f>IF(effort_Dev=0, Definition!C$25, Definition!I68*effort_Support_Prog/effort_Dev)</f>
        <v>0</v>
      </c>
      <c r="AD44" s="392"/>
      <c r="AE44" s="392"/>
      <c r="AF44" s="305">
        <f t="shared" si="6"/>
        <v>0</v>
      </c>
      <c r="AG44" s="305">
        <f t="shared" si="1"/>
        <v>0</v>
      </c>
      <c r="AH44" s="305">
        <f t="shared" si="4"/>
        <v>0</v>
      </c>
      <c r="AI44" s="305">
        <f t="shared" si="3"/>
        <v>0</v>
      </c>
    </row>
    <row r="45" spans="2:35">
      <c r="B45" s="197" t="s">
        <v>473</v>
      </c>
      <c r="D45" s="281" t="str">
        <f>IF(B45&lt;&gt;"", IF(B45="NA", Definition!E69, B45), Definition!E69)</f>
        <v>Summary 41</v>
      </c>
      <c r="E45" s="392">
        <f>IF(effort_Dev=0, Definition!C$25, Definition!I69*effort_Initiation/effort_Dev)</f>
        <v>0</v>
      </c>
      <c r="F45" s="392"/>
      <c r="G45" s="392"/>
      <c r="H45" s="392">
        <f>IF(effort_Dev=0, Definition!C$25, Definition!I69*effort_TechDoc/effort_Dev)</f>
        <v>0</v>
      </c>
      <c r="I45" s="392"/>
      <c r="J45" s="392"/>
      <c r="K45" s="392">
        <f>IF(effort_Dev=0, Definition!C$25, Definition!I69*effort_Cat_SPA/effort_Dev)</f>
        <v>0</v>
      </c>
      <c r="L45" s="392"/>
      <c r="M45" s="392"/>
      <c r="N45" s="393">
        <f>Definition!F69</f>
        <v>0</v>
      </c>
      <c r="O45" s="394"/>
      <c r="P45" s="395"/>
      <c r="Q45" s="392">
        <f>Definition!G69</f>
        <v>0</v>
      </c>
      <c r="R45" s="392"/>
      <c r="S45" s="392"/>
      <c r="T45" s="392">
        <f>Definition!H69</f>
        <v>0</v>
      </c>
      <c r="U45" s="392"/>
      <c r="V45" s="392"/>
      <c r="W45" s="392">
        <f>IF(effort_Dev=0, Definition!C$25, Definition!I69*effort_Cat_UI/effort_Dev)</f>
        <v>0</v>
      </c>
      <c r="X45" s="392"/>
      <c r="Y45" s="392"/>
      <c r="Z45" s="392">
        <f>IF(effort_Dev=0, Definition!C$25, Definition!I69*effort_Support_Dev/effort_Dev)</f>
        <v>0</v>
      </c>
      <c r="AA45" s="392"/>
      <c r="AB45" s="392"/>
      <c r="AC45" s="392">
        <f>IF(effort_Dev=0, Definition!C$25, Definition!I69*effort_Support_Prog/effort_Dev)</f>
        <v>0</v>
      </c>
      <c r="AD45" s="392"/>
      <c r="AE45" s="392"/>
      <c r="AF45" s="305">
        <f t="shared" si="6"/>
        <v>0</v>
      </c>
      <c r="AG45" s="305">
        <f t="shared" si="1"/>
        <v>0</v>
      </c>
      <c r="AH45" s="305">
        <f t="shared" si="4"/>
        <v>0</v>
      </c>
      <c r="AI45" s="305">
        <f t="shared" si="3"/>
        <v>0</v>
      </c>
    </row>
    <row r="46" spans="2:35">
      <c r="B46" s="197" t="s">
        <v>474</v>
      </c>
      <c r="D46" s="281" t="str">
        <f>IF(B46&lt;&gt;"", IF(B46="NA", Definition!E70, B46), Definition!E70)</f>
        <v>Summary 42</v>
      </c>
      <c r="E46" s="392">
        <f>IF(effort_Dev=0, Definition!C$25, Definition!I70*effort_Initiation/effort_Dev)</f>
        <v>0</v>
      </c>
      <c r="F46" s="392"/>
      <c r="G46" s="392"/>
      <c r="H46" s="392">
        <f>IF(effort_Dev=0, Definition!C$25, Definition!I70*effort_TechDoc/effort_Dev)</f>
        <v>0</v>
      </c>
      <c r="I46" s="392"/>
      <c r="J46" s="392"/>
      <c r="K46" s="392">
        <f>IF(effort_Dev=0, Definition!C$25, Definition!I70*effort_Cat_SPA/effort_Dev)</f>
        <v>0</v>
      </c>
      <c r="L46" s="392"/>
      <c r="M46" s="392"/>
      <c r="N46" s="393">
        <f>Definition!F70</f>
        <v>0</v>
      </c>
      <c r="O46" s="394"/>
      <c r="P46" s="395"/>
      <c r="Q46" s="392">
        <f>Definition!G70</f>
        <v>0</v>
      </c>
      <c r="R46" s="392"/>
      <c r="S46" s="392"/>
      <c r="T46" s="392">
        <f>Definition!H70</f>
        <v>0</v>
      </c>
      <c r="U46" s="392"/>
      <c r="V46" s="392"/>
      <c r="W46" s="392">
        <f>IF(effort_Dev=0, Definition!C$25, Definition!I70*effort_Cat_UI/effort_Dev)</f>
        <v>0</v>
      </c>
      <c r="X46" s="392"/>
      <c r="Y46" s="392"/>
      <c r="Z46" s="392">
        <f>IF(effort_Dev=0, Definition!C$25, Definition!I70*effort_Support_Dev/effort_Dev)</f>
        <v>0</v>
      </c>
      <c r="AA46" s="392"/>
      <c r="AB46" s="392"/>
      <c r="AC46" s="392">
        <f>IF(effort_Dev=0, Definition!C$25, Definition!I70*effort_Support_Prog/effort_Dev)</f>
        <v>0</v>
      </c>
      <c r="AD46" s="392"/>
      <c r="AE46" s="392"/>
      <c r="AF46" s="305">
        <f t="shared" si="6"/>
        <v>0</v>
      </c>
      <c r="AG46" s="305">
        <f t="shared" si="1"/>
        <v>0</v>
      </c>
      <c r="AH46" s="305">
        <f t="shared" si="4"/>
        <v>0</v>
      </c>
      <c r="AI46" s="305">
        <f t="shared" si="3"/>
        <v>0</v>
      </c>
    </row>
    <row r="47" spans="2:35">
      <c r="B47" s="197" t="s">
        <v>475</v>
      </c>
      <c r="D47" s="281" t="str">
        <f>IF(B47&lt;&gt;"", IF(B47="NA", Definition!E71, B47), Definition!E71)</f>
        <v>Summary 43</v>
      </c>
      <c r="E47" s="392">
        <f>IF(effort_Dev=0, Definition!C$25, Definition!I71*effort_Initiation/effort_Dev)</f>
        <v>0</v>
      </c>
      <c r="F47" s="392"/>
      <c r="G47" s="392"/>
      <c r="H47" s="392">
        <f>IF(effort_Dev=0, Definition!C$25, Definition!I71*effort_TechDoc/effort_Dev)</f>
        <v>0</v>
      </c>
      <c r="I47" s="392"/>
      <c r="J47" s="392"/>
      <c r="K47" s="392">
        <f>IF(effort_Dev=0, Definition!C$25, Definition!I71*effort_Cat_SPA/effort_Dev)</f>
        <v>0</v>
      </c>
      <c r="L47" s="392"/>
      <c r="M47" s="392"/>
      <c r="N47" s="393">
        <f>Definition!F71</f>
        <v>0</v>
      </c>
      <c r="O47" s="394"/>
      <c r="P47" s="395"/>
      <c r="Q47" s="392">
        <f>Definition!G71</f>
        <v>0</v>
      </c>
      <c r="R47" s="392"/>
      <c r="S47" s="392"/>
      <c r="T47" s="392">
        <f>Definition!H71</f>
        <v>0</v>
      </c>
      <c r="U47" s="392"/>
      <c r="V47" s="392"/>
      <c r="W47" s="392">
        <f>IF(effort_Dev=0, Definition!C$25, Definition!I71*effort_Cat_UI/effort_Dev)</f>
        <v>0</v>
      </c>
      <c r="X47" s="392"/>
      <c r="Y47" s="392"/>
      <c r="Z47" s="392">
        <f>IF(effort_Dev=0, Definition!C$25, Definition!I71*effort_Support_Dev/effort_Dev)</f>
        <v>0</v>
      </c>
      <c r="AA47" s="392"/>
      <c r="AB47" s="392"/>
      <c r="AC47" s="392">
        <f>IF(effort_Dev=0, Definition!C$25, Definition!I71*effort_Support_Prog/effort_Dev)</f>
        <v>0</v>
      </c>
      <c r="AD47" s="392"/>
      <c r="AE47" s="392"/>
      <c r="AF47" s="305">
        <f t="shared" si="6"/>
        <v>0</v>
      </c>
      <c r="AG47" s="305">
        <f t="shared" si="1"/>
        <v>0</v>
      </c>
      <c r="AH47" s="305">
        <f t="shared" si="4"/>
        <v>0</v>
      </c>
      <c r="AI47" s="305">
        <f t="shared" si="3"/>
        <v>0</v>
      </c>
    </row>
    <row r="48" spans="2:35">
      <c r="B48" s="197" t="s">
        <v>476</v>
      </c>
      <c r="D48" s="281" t="str">
        <f>IF(B48&lt;&gt;"", IF(B48="NA", Definition!E72, B48), Definition!E72)</f>
        <v>Summary 44</v>
      </c>
      <c r="E48" s="392">
        <f>IF(effort_Dev=0, Definition!C$25, Definition!I72*effort_Initiation/effort_Dev)</f>
        <v>0</v>
      </c>
      <c r="F48" s="392"/>
      <c r="G48" s="392"/>
      <c r="H48" s="392">
        <f>IF(effort_Dev=0, Definition!C$25, Definition!I72*effort_TechDoc/effort_Dev)</f>
        <v>0</v>
      </c>
      <c r="I48" s="392"/>
      <c r="J48" s="392"/>
      <c r="K48" s="392">
        <f>IF(effort_Dev=0, Definition!C$25, Definition!I72*effort_Cat_SPA/effort_Dev)</f>
        <v>0</v>
      </c>
      <c r="L48" s="392"/>
      <c r="M48" s="392"/>
      <c r="N48" s="393">
        <f>Definition!F72</f>
        <v>0</v>
      </c>
      <c r="O48" s="394"/>
      <c r="P48" s="395"/>
      <c r="Q48" s="392">
        <f>Definition!G72</f>
        <v>0</v>
      </c>
      <c r="R48" s="392"/>
      <c r="S48" s="392"/>
      <c r="T48" s="392">
        <f>Definition!H72</f>
        <v>0</v>
      </c>
      <c r="U48" s="392"/>
      <c r="V48" s="392"/>
      <c r="W48" s="392">
        <f>IF(effort_Dev=0, Definition!C$25, Definition!I72*effort_Cat_UI/effort_Dev)</f>
        <v>0</v>
      </c>
      <c r="X48" s="392"/>
      <c r="Y48" s="392"/>
      <c r="Z48" s="392">
        <f>IF(effort_Dev=0, Definition!C$25, Definition!I72*effort_Support_Dev/effort_Dev)</f>
        <v>0</v>
      </c>
      <c r="AA48" s="392"/>
      <c r="AB48" s="392"/>
      <c r="AC48" s="392">
        <f>IF(effort_Dev=0, Definition!C$25, Definition!I72*effort_Support_Prog/effort_Dev)</f>
        <v>0</v>
      </c>
      <c r="AD48" s="392"/>
      <c r="AE48" s="392"/>
      <c r="AF48" s="305">
        <f t="shared" si="6"/>
        <v>0</v>
      </c>
      <c r="AG48" s="305">
        <f t="shared" si="1"/>
        <v>0</v>
      </c>
      <c r="AH48" s="305">
        <f t="shared" si="4"/>
        <v>0</v>
      </c>
      <c r="AI48" s="305">
        <f t="shared" si="3"/>
        <v>0</v>
      </c>
    </row>
    <row r="49" spans="2:35">
      <c r="B49" s="197" t="s">
        <v>477</v>
      </c>
      <c r="D49" s="281" t="str">
        <f>IF(B49&lt;&gt;"", IF(B49="NA", Definition!E73, B49), Definition!E73)</f>
        <v>Summary 45</v>
      </c>
      <c r="E49" s="392">
        <f>IF(effort_Dev=0, Definition!C$25, Definition!I73*effort_Initiation/effort_Dev)</f>
        <v>0</v>
      </c>
      <c r="F49" s="392"/>
      <c r="G49" s="392"/>
      <c r="H49" s="392">
        <f>IF(effort_Dev=0, Definition!C$25, Definition!I73*effort_TechDoc/effort_Dev)</f>
        <v>0</v>
      </c>
      <c r="I49" s="392"/>
      <c r="J49" s="392"/>
      <c r="K49" s="392">
        <f>IF(effort_Dev=0, Definition!C$25, Definition!I73*effort_Cat_SPA/effort_Dev)</f>
        <v>0</v>
      </c>
      <c r="L49" s="392"/>
      <c r="M49" s="392"/>
      <c r="N49" s="393">
        <f>Definition!F73</f>
        <v>0</v>
      </c>
      <c r="O49" s="394"/>
      <c r="P49" s="395"/>
      <c r="Q49" s="392">
        <f>Definition!G73</f>
        <v>0</v>
      </c>
      <c r="R49" s="392"/>
      <c r="S49" s="392"/>
      <c r="T49" s="392">
        <f>Definition!H73</f>
        <v>0</v>
      </c>
      <c r="U49" s="392"/>
      <c r="V49" s="392"/>
      <c r="W49" s="392">
        <f>IF(effort_Dev=0, Definition!C$25, Definition!I73*effort_Cat_UI/effort_Dev)</f>
        <v>0</v>
      </c>
      <c r="X49" s="392"/>
      <c r="Y49" s="392"/>
      <c r="Z49" s="392">
        <f>IF(effort_Dev=0, Definition!C$25, Definition!I73*effort_Support_Dev/effort_Dev)</f>
        <v>0</v>
      </c>
      <c r="AA49" s="392"/>
      <c r="AB49" s="392"/>
      <c r="AC49" s="392">
        <f>IF(effort_Dev=0, Definition!C$25, Definition!I73*effort_Support_Prog/effort_Dev)</f>
        <v>0</v>
      </c>
      <c r="AD49" s="392"/>
      <c r="AE49" s="392"/>
      <c r="AF49" s="305">
        <f t="shared" si="6"/>
        <v>0</v>
      </c>
      <c r="AG49" s="305">
        <f t="shared" si="1"/>
        <v>0</v>
      </c>
      <c r="AH49" s="305">
        <f t="shared" si="4"/>
        <v>0</v>
      </c>
      <c r="AI49" s="305">
        <f t="shared" si="3"/>
        <v>0</v>
      </c>
    </row>
    <row r="50" spans="2:35">
      <c r="B50" s="197" t="s">
        <v>478</v>
      </c>
      <c r="D50" s="281" t="str">
        <f>IF(B50&lt;&gt;"", IF(B50="NA", Definition!E74, B50), Definition!E74)</f>
        <v>Summary 46</v>
      </c>
      <c r="E50" s="392">
        <f>IF(effort_Dev=0, Definition!C$25, Definition!I74*effort_Initiation/effort_Dev)</f>
        <v>0</v>
      </c>
      <c r="F50" s="392"/>
      <c r="G50" s="392"/>
      <c r="H50" s="392">
        <f>IF(effort_Dev=0, Definition!C$25, Definition!I74*effort_TechDoc/effort_Dev)</f>
        <v>0</v>
      </c>
      <c r="I50" s="392"/>
      <c r="J50" s="392"/>
      <c r="K50" s="392">
        <f>IF(effort_Dev=0, Definition!C$25, Definition!I74*effort_Cat_SPA/effort_Dev)</f>
        <v>0</v>
      </c>
      <c r="L50" s="392"/>
      <c r="M50" s="392"/>
      <c r="N50" s="393">
        <f>Definition!F74</f>
        <v>0</v>
      </c>
      <c r="O50" s="394"/>
      <c r="P50" s="395"/>
      <c r="Q50" s="392">
        <f>Definition!G74</f>
        <v>0</v>
      </c>
      <c r="R50" s="392"/>
      <c r="S50" s="392"/>
      <c r="T50" s="392">
        <f>Definition!H74</f>
        <v>0</v>
      </c>
      <c r="U50" s="392"/>
      <c r="V50" s="392"/>
      <c r="W50" s="392">
        <f>IF(effort_Dev=0, Definition!C$25, Definition!I74*effort_Cat_UI/effort_Dev)</f>
        <v>0</v>
      </c>
      <c r="X50" s="392"/>
      <c r="Y50" s="392"/>
      <c r="Z50" s="392">
        <f>IF(effort_Dev=0, Definition!C$25, Definition!I74*effort_Support_Dev/effort_Dev)</f>
        <v>0</v>
      </c>
      <c r="AA50" s="392"/>
      <c r="AB50" s="392"/>
      <c r="AC50" s="392">
        <f>IF(effort_Dev=0, Definition!C$25, Definition!I74*effort_Support_Prog/effort_Dev)</f>
        <v>0</v>
      </c>
      <c r="AD50" s="392"/>
      <c r="AE50" s="392"/>
      <c r="AF50" s="305">
        <f t="shared" si="6"/>
        <v>0</v>
      </c>
      <c r="AG50" s="305">
        <f t="shared" si="1"/>
        <v>0</v>
      </c>
      <c r="AH50" s="305">
        <f t="shared" si="4"/>
        <v>0</v>
      </c>
      <c r="AI50" s="305">
        <f t="shared" si="3"/>
        <v>0</v>
      </c>
    </row>
    <row r="51" spans="2:35">
      <c r="B51" s="197" t="s">
        <v>479</v>
      </c>
      <c r="D51" s="281" t="str">
        <f>IF(B51&lt;&gt;"", IF(B51="NA", Definition!E75, B51), Definition!E75)</f>
        <v>Summary 47</v>
      </c>
      <c r="E51" s="392">
        <f>IF(effort_Dev=0, Definition!C$25, Definition!I75*effort_Initiation/effort_Dev)</f>
        <v>0</v>
      </c>
      <c r="F51" s="392"/>
      <c r="G51" s="392"/>
      <c r="H51" s="392">
        <f>IF(effort_Dev=0, Definition!C$25, Definition!I75*effort_TechDoc/effort_Dev)</f>
        <v>0</v>
      </c>
      <c r="I51" s="392"/>
      <c r="J51" s="392"/>
      <c r="K51" s="392">
        <f>IF(effort_Dev=0, Definition!C$25, Definition!I75*effort_Cat_SPA/effort_Dev)</f>
        <v>0</v>
      </c>
      <c r="L51" s="392"/>
      <c r="M51" s="392"/>
      <c r="N51" s="393">
        <f>Definition!F75</f>
        <v>0</v>
      </c>
      <c r="O51" s="394"/>
      <c r="P51" s="395"/>
      <c r="Q51" s="392">
        <f>Definition!G75</f>
        <v>0</v>
      </c>
      <c r="R51" s="392"/>
      <c r="S51" s="392"/>
      <c r="T51" s="392">
        <f>Definition!H75</f>
        <v>0</v>
      </c>
      <c r="U51" s="392"/>
      <c r="V51" s="392"/>
      <c r="W51" s="392">
        <f>IF(effort_Dev=0, Definition!C$25, Definition!I75*effort_Cat_UI/effort_Dev)</f>
        <v>0</v>
      </c>
      <c r="X51" s="392"/>
      <c r="Y51" s="392"/>
      <c r="Z51" s="392">
        <f>IF(effort_Dev=0, Definition!C$25, Definition!I75*effort_Support_Dev/effort_Dev)</f>
        <v>0</v>
      </c>
      <c r="AA51" s="392"/>
      <c r="AB51" s="392"/>
      <c r="AC51" s="392">
        <f>IF(effort_Dev=0, Definition!C$25, Definition!I75*effort_Support_Prog/effort_Dev)</f>
        <v>0</v>
      </c>
      <c r="AD51" s="392"/>
      <c r="AE51" s="392"/>
      <c r="AF51" s="305">
        <f t="shared" si="6"/>
        <v>0</v>
      </c>
      <c r="AG51" s="305">
        <f t="shared" si="1"/>
        <v>0</v>
      </c>
      <c r="AH51" s="305">
        <f t="shared" si="4"/>
        <v>0</v>
      </c>
      <c r="AI51" s="305">
        <f t="shared" si="3"/>
        <v>0</v>
      </c>
    </row>
    <row r="52" spans="2:35">
      <c r="B52" s="197" t="s">
        <v>480</v>
      </c>
      <c r="D52" s="281" t="str">
        <f>IF(B52&lt;&gt;"", IF(B52="NA", Definition!E76, B52), Definition!E76)</f>
        <v>Summary 48</v>
      </c>
      <c r="E52" s="392">
        <f>IF(effort_Dev=0, Definition!C$25, Definition!I76*effort_Initiation/effort_Dev)</f>
        <v>0</v>
      </c>
      <c r="F52" s="392"/>
      <c r="G52" s="392"/>
      <c r="H52" s="392">
        <f>IF(effort_Dev=0, Definition!C$25, Definition!I76*effort_TechDoc/effort_Dev)</f>
        <v>0</v>
      </c>
      <c r="I52" s="392"/>
      <c r="J52" s="392"/>
      <c r="K52" s="392">
        <f>IF(effort_Dev=0, Definition!C$25, Definition!I76*effort_Cat_SPA/effort_Dev)</f>
        <v>0</v>
      </c>
      <c r="L52" s="392"/>
      <c r="M52" s="392"/>
      <c r="N52" s="393">
        <f>Definition!F76</f>
        <v>0</v>
      </c>
      <c r="O52" s="394"/>
      <c r="P52" s="395"/>
      <c r="Q52" s="392">
        <f>Definition!G76</f>
        <v>0</v>
      </c>
      <c r="R52" s="392"/>
      <c r="S52" s="392"/>
      <c r="T52" s="392">
        <f>Definition!H76</f>
        <v>0</v>
      </c>
      <c r="U52" s="392"/>
      <c r="V52" s="392"/>
      <c r="W52" s="392">
        <f>IF(effort_Dev=0, Definition!C$25, Definition!I76*effort_Cat_UI/effort_Dev)</f>
        <v>0</v>
      </c>
      <c r="X52" s="392"/>
      <c r="Y52" s="392"/>
      <c r="Z52" s="392">
        <f>IF(effort_Dev=0, Definition!C$25, Definition!I76*effort_Support_Dev/effort_Dev)</f>
        <v>0</v>
      </c>
      <c r="AA52" s="392"/>
      <c r="AB52" s="392"/>
      <c r="AC52" s="392">
        <f>IF(effort_Dev=0, Definition!C$25, Definition!I76*effort_Support_Prog/effort_Dev)</f>
        <v>0</v>
      </c>
      <c r="AD52" s="392"/>
      <c r="AE52" s="392"/>
      <c r="AF52" s="305">
        <f t="shared" si="6"/>
        <v>0</v>
      </c>
      <c r="AG52" s="305">
        <f t="shared" si="1"/>
        <v>0</v>
      </c>
      <c r="AH52" s="305">
        <f t="shared" si="4"/>
        <v>0</v>
      </c>
      <c r="AI52" s="305">
        <f t="shared" si="3"/>
        <v>0</v>
      </c>
    </row>
    <row r="53" spans="2:35">
      <c r="B53" s="197" t="s">
        <v>481</v>
      </c>
      <c r="D53" s="281" t="str">
        <f>IF(B53&lt;&gt;"", IF(B53="NA", Definition!E77, B53), Definition!E77)</f>
        <v>Summary 49</v>
      </c>
      <c r="E53" s="392">
        <f>IF(effort_Dev=0, Definition!C$25, Definition!I77*effort_Initiation/effort_Dev)</f>
        <v>0</v>
      </c>
      <c r="F53" s="392"/>
      <c r="G53" s="392"/>
      <c r="H53" s="392">
        <f>IF(effort_Dev=0, Definition!C$25, Definition!I77*effort_TechDoc/effort_Dev)</f>
        <v>0</v>
      </c>
      <c r="I53" s="392"/>
      <c r="J53" s="392"/>
      <c r="K53" s="392">
        <f>IF(effort_Dev=0, Definition!C$25, Definition!I77*effort_Cat_SPA/effort_Dev)</f>
        <v>0</v>
      </c>
      <c r="L53" s="392"/>
      <c r="M53" s="392"/>
      <c r="N53" s="393">
        <f>Definition!F77</f>
        <v>0</v>
      </c>
      <c r="O53" s="394"/>
      <c r="P53" s="395"/>
      <c r="Q53" s="392">
        <f>Definition!G77</f>
        <v>0</v>
      </c>
      <c r="R53" s="392"/>
      <c r="S53" s="392"/>
      <c r="T53" s="392">
        <f>Definition!H77</f>
        <v>0</v>
      </c>
      <c r="U53" s="392"/>
      <c r="V53" s="392"/>
      <c r="W53" s="392">
        <f>IF(effort_Dev=0, Definition!C$25, Definition!I77*effort_Cat_UI/effort_Dev)</f>
        <v>0</v>
      </c>
      <c r="X53" s="392"/>
      <c r="Y53" s="392"/>
      <c r="Z53" s="392">
        <f>IF(effort_Dev=0, Definition!C$25, Definition!I77*effort_Support_Dev/effort_Dev)</f>
        <v>0</v>
      </c>
      <c r="AA53" s="392"/>
      <c r="AB53" s="392"/>
      <c r="AC53" s="392">
        <f>IF(effort_Dev=0, Definition!C$25, Definition!I77*effort_Support_Prog/effort_Dev)</f>
        <v>0</v>
      </c>
      <c r="AD53" s="392"/>
      <c r="AE53" s="392"/>
      <c r="AF53" s="305">
        <f t="shared" si="6"/>
        <v>0</v>
      </c>
      <c r="AG53" s="305">
        <f t="shared" si="1"/>
        <v>0</v>
      </c>
      <c r="AH53" s="305">
        <f t="shared" si="4"/>
        <v>0</v>
      </c>
      <c r="AI53" s="305">
        <f t="shared" si="3"/>
        <v>0</v>
      </c>
    </row>
    <row r="54" spans="2:35">
      <c r="B54" s="197" t="s">
        <v>482</v>
      </c>
      <c r="D54" s="281" t="str">
        <f>IF(B54&lt;&gt;"", IF(B54="NA", Definition!E78, B54), Definition!E78)</f>
        <v>Summary 50</v>
      </c>
      <c r="E54" s="392">
        <f>IF(effort_Dev=0, Definition!C$25, Definition!I78*effort_Initiation/effort_Dev)</f>
        <v>0</v>
      </c>
      <c r="F54" s="392"/>
      <c r="G54" s="392"/>
      <c r="H54" s="392">
        <f>IF(effort_Dev=0, Definition!C$25, Definition!I78*effort_TechDoc/effort_Dev)</f>
        <v>0</v>
      </c>
      <c r="I54" s="392"/>
      <c r="J54" s="392"/>
      <c r="K54" s="392">
        <f>IF(effort_Dev=0, Definition!C$25, Definition!I78*effort_Cat_SPA/effort_Dev)</f>
        <v>0</v>
      </c>
      <c r="L54" s="392"/>
      <c r="M54" s="392"/>
      <c r="N54" s="393">
        <f>Definition!F78</f>
        <v>0</v>
      </c>
      <c r="O54" s="394"/>
      <c r="P54" s="395"/>
      <c r="Q54" s="392">
        <f>Definition!G78</f>
        <v>0</v>
      </c>
      <c r="R54" s="392"/>
      <c r="S54" s="392"/>
      <c r="T54" s="392">
        <f>Definition!H78</f>
        <v>0</v>
      </c>
      <c r="U54" s="392"/>
      <c r="V54" s="392"/>
      <c r="W54" s="392">
        <f>IF(effort_Dev=0, Definition!C$25, Definition!I78*effort_Cat_UI/effort_Dev)</f>
        <v>0</v>
      </c>
      <c r="X54" s="392"/>
      <c r="Y54" s="392"/>
      <c r="Z54" s="392">
        <f>IF(effort_Dev=0, Definition!C$25, Definition!I78*effort_Support_Dev/effort_Dev)</f>
        <v>0</v>
      </c>
      <c r="AA54" s="392"/>
      <c r="AB54" s="392"/>
      <c r="AC54" s="392">
        <f>IF(effort_Dev=0, Definition!C$25, Definition!I78*effort_Support_Prog/effort_Dev)</f>
        <v>0</v>
      </c>
      <c r="AD54" s="392"/>
      <c r="AE54" s="392"/>
      <c r="AF54" s="305">
        <f t="shared" si="6"/>
        <v>0</v>
      </c>
      <c r="AG54" s="305">
        <f t="shared" si="1"/>
        <v>0</v>
      </c>
      <c r="AH54" s="305">
        <f t="shared" si="4"/>
        <v>0</v>
      </c>
      <c r="AI54" s="305">
        <f t="shared" si="3"/>
        <v>0</v>
      </c>
    </row>
    <row r="55" spans="2:35">
      <c r="B55" s="197"/>
      <c r="D55" s="281"/>
      <c r="E55" s="392"/>
      <c r="F55" s="392"/>
      <c r="G55" s="392"/>
      <c r="H55" s="392"/>
      <c r="I55" s="392"/>
      <c r="J55" s="392"/>
      <c r="K55" s="392"/>
      <c r="L55" s="392"/>
      <c r="M55" s="392"/>
      <c r="N55" s="393"/>
      <c r="O55" s="394"/>
      <c r="P55" s="395"/>
      <c r="Q55" s="392"/>
      <c r="R55" s="392"/>
      <c r="S55" s="392"/>
      <c r="T55" s="392"/>
      <c r="U55" s="392"/>
      <c r="V55" s="392"/>
      <c r="W55" s="392"/>
      <c r="X55" s="392"/>
      <c r="Y55" s="392"/>
      <c r="Z55" s="392"/>
      <c r="AA55" s="392"/>
      <c r="AB55" s="392"/>
      <c r="AC55" s="392"/>
      <c r="AD55" s="392"/>
      <c r="AE55" s="392"/>
      <c r="AF55" s="305"/>
      <c r="AG55" s="305"/>
      <c r="AH55" s="305"/>
      <c r="AI55" s="305"/>
    </row>
    <row r="56" spans="2:35">
      <c r="B56" s="197"/>
      <c r="D56" s="197"/>
      <c r="E56" s="392"/>
      <c r="F56" s="392"/>
      <c r="G56" s="392"/>
      <c r="H56" s="392"/>
      <c r="I56" s="392"/>
      <c r="J56" s="392"/>
      <c r="K56" s="392"/>
      <c r="L56" s="392"/>
      <c r="M56" s="392"/>
      <c r="N56" s="393"/>
      <c r="O56" s="394"/>
      <c r="P56" s="395"/>
      <c r="Q56" s="392"/>
      <c r="R56" s="392"/>
      <c r="S56" s="392"/>
      <c r="T56" s="392"/>
      <c r="U56" s="392"/>
      <c r="V56" s="392"/>
      <c r="W56" s="392"/>
      <c r="X56" s="392"/>
      <c r="Y56" s="392"/>
      <c r="Z56" s="392"/>
      <c r="AA56" s="392"/>
      <c r="AB56" s="392"/>
      <c r="AC56" s="392"/>
      <c r="AD56" s="392"/>
      <c r="AE56" s="392"/>
      <c r="AF56" s="305"/>
      <c r="AG56" s="305"/>
      <c r="AH56" s="305"/>
      <c r="AI56" s="305"/>
    </row>
    <row r="57" spans="2:35">
      <c r="D57" s="195" t="s">
        <v>27</v>
      </c>
      <c r="E57" s="405">
        <f>SUM(E5:J54)</f>
        <v>80</v>
      </c>
      <c r="F57" s="405"/>
      <c r="G57" s="405"/>
      <c r="H57" s="405"/>
      <c r="I57" s="405"/>
      <c r="J57" s="405"/>
      <c r="K57" s="405">
        <f>SUM(K5:M54)</f>
        <v>0</v>
      </c>
      <c r="L57" s="406"/>
      <c r="M57" s="406"/>
      <c r="N57" s="405">
        <f>SUM(N5:V54)</f>
        <v>8</v>
      </c>
      <c r="O57" s="406"/>
      <c r="P57" s="406"/>
      <c r="Q57" s="406"/>
      <c r="R57" s="406"/>
      <c r="S57" s="406"/>
      <c r="T57" s="406"/>
      <c r="U57" s="406"/>
      <c r="V57" s="406"/>
      <c r="W57" s="405">
        <f>SUM(W5:AB54)</f>
        <v>3.04</v>
      </c>
      <c r="X57" s="405"/>
      <c r="Y57" s="405"/>
      <c r="Z57" s="405"/>
      <c r="AA57" s="405"/>
      <c r="AB57" s="405"/>
      <c r="AC57" s="405">
        <f>SUM(AC5:AE54)</f>
        <v>3.2</v>
      </c>
      <c r="AD57" s="406"/>
      <c r="AE57" s="406"/>
      <c r="AF57" s="307">
        <f>SUM(AF5:AF54)</f>
        <v>94.24</v>
      </c>
      <c r="AG57" s="307">
        <f>SUM(AG5:AG54)</f>
        <v>11.78</v>
      </c>
      <c r="AH57" s="307">
        <f>SUM(AH5:AH54)</f>
        <v>2.3559999999999999</v>
      </c>
      <c r="AI57" s="307">
        <f>SUM(AI5:AI54)</f>
        <v>0.58899999999999997</v>
      </c>
    </row>
    <row r="60" spans="2:35" ht="14.1" customHeight="1">
      <c r="B60" s="401" t="s">
        <v>321</v>
      </c>
    </row>
    <row r="61" spans="2:35">
      <c r="B61" s="402"/>
    </row>
    <row r="62" spans="2:35">
      <c r="B62" s="402"/>
    </row>
    <row r="63" spans="2:35">
      <c r="B63" s="402"/>
    </row>
    <row r="64" spans="2:35">
      <c r="B64" s="402"/>
    </row>
    <row r="65" spans="2:23">
      <c r="B65" s="402"/>
    </row>
    <row r="66" spans="2:23">
      <c r="B66" s="402"/>
    </row>
    <row r="67" spans="2:23">
      <c r="B67" s="402"/>
    </row>
    <row r="68" spans="2:23">
      <c r="B68" s="402"/>
    </row>
    <row r="69" spans="2:23">
      <c r="B69" s="402"/>
    </row>
    <row r="70" spans="2:23">
      <c r="B70" s="403"/>
    </row>
    <row r="77" spans="2:23">
      <c r="Q77" s="396" t="s">
        <v>296</v>
      </c>
      <c r="R77" s="397"/>
      <c r="S77" s="397"/>
      <c r="T77" s="397"/>
      <c r="U77" s="398"/>
      <c r="V77" s="399">
        <f>SUM(E5:J54)</f>
        <v>80</v>
      </c>
      <c r="W77" s="400"/>
    </row>
    <row r="78" spans="2:23">
      <c r="Q78" s="396" t="s">
        <v>297</v>
      </c>
      <c r="R78" s="397"/>
      <c r="S78" s="397"/>
      <c r="T78" s="397"/>
      <c r="U78" s="398"/>
      <c r="V78" s="399">
        <f>SUM(K5:M54)</f>
        <v>0</v>
      </c>
      <c r="W78" s="400"/>
    </row>
    <row r="79" spans="2:23">
      <c r="Q79" s="396" t="s">
        <v>295</v>
      </c>
      <c r="R79" s="397"/>
      <c r="S79" s="397"/>
      <c r="T79" s="397"/>
      <c r="U79" s="398"/>
      <c r="V79" s="399">
        <f>SUM(N5:V54)</f>
        <v>8</v>
      </c>
      <c r="W79" s="400"/>
    </row>
    <row r="80" spans="2:23">
      <c r="Q80" s="396" t="s">
        <v>298</v>
      </c>
      <c r="R80" s="397"/>
      <c r="S80" s="397"/>
      <c r="T80" s="397"/>
      <c r="U80" s="398"/>
      <c r="V80" s="399">
        <f>SUM(W5:AB54)</f>
        <v>3.04</v>
      </c>
      <c r="W80" s="400"/>
    </row>
    <row r="81" spans="17:23">
      <c r="Q81" s="396" t="s">
        <v>299</v>
      </c>
      <c r="R81" s="397"/>
      <c r="S81" s="397"/>
      <c r="T81" s="397"/>
      <c r="U81" s="398"/>
      <c r="V81" s="399">
        <f>SUM(AC5:AE54)</f>
        <v>3.2</v>
      </c>
      <c r="W81" s="400"/>
    </row>
  </sheetData>
  <mergeCells count="499">
    <mergeCell ref="E54:G54"/>
    <mergeCell ref="H54:J54"/>
    <mergeCell ref="K54:M54"/>
    <mergeCell ref="N54:P54"/>
    <mergeCell ref="Q54:S54"/>
    <mergeCell ref="T54:V54"/>
    <mergeCell ref="W54:Y54"/>
    <mergeCell ref="Z54:AB54"/>
    <mergeCell ref="AC54:AE54"/>
    <mergeCell ref="E53:G53"/>
    <mergeCell ref="H53:J53"/>
    <mergeCell ref="K53:M53"/>
    <mergeCell ref="N53:P53"/>
    <mergeCell ref="Q53:S53"/>
    <mergeCell ref="T53:V53"/>
    <mergeCell ref="W53:Y53"/>
    <mergeCell ref="Z53:AB53"/>
    <mergeCell ref="AC53:AE53"/>
    <mergeCell ref="E52:G52"/>
    <mergeCell ref="H52:J52"/>
    <mergeCell ref="K52:M52"/>
    <mergeCell ref="N52:P52"/>
    <mergeCell ref="Q52:S52"/>
    <mergeCell ref="T52:V52"/>
    <mergeCell ref="W52:Y52"/>
    <mergeCell ref="Z52:AB52"/>
    <mergeCell ref="AC52:AE52"/>
    <mergeCell ref="E51:G51"/>
    <mergeCell ref="H51:J51"/>
    <mergeCell ref="K51:M51"/>
    <mergeCell ref="N51:P51"/>
    <mergeCell ref="Q51:S51"/>
    <mergeCell ref="T51:V51"/>
    <mergeCell ref="W51:Y51"/>
    <mergeCell ref="Z51:AB51"/>
    <mergeCell ref="AC51:AE51"/>
    <mergeCell ref="E50:G50"/>
    <mergeCell ref="H50:J50"/>
    <mergeCell ref="K50:M50"/>
    <mergeCell ref="N50:P50"/>
    <mergeCell ref="Q50:S50"/>
    <mergeCell ref="T50:V50"/>
    <mergeCell ref="W50:Y50"/>
    <mergeCell ref="Z50:AB50"/>
    <mergeCell ref="AC50:AE50"/>
    <mergeCell ref="E49:G49"/>
    <mergeCell ref="H49:J49"/>
    <mergeCell ref="K49:M49"/>
    <mergeCell ref="N49:P49"/>
    <mergeCell ref="Q49:S49"/>
    <mergeCell ref="T49:V49"/>
    <mergeCell ref="W49:Y49"/>
    <mergeCell ref="Z49:AB49"/>
    <mergeCell ref="AC49:AE49"/>
    <mergeCell ref="E48:G48"/>
    <mergeCell ref="H48:J48"/>
    <mergeCell ref="K48:M48"/>
    <mergeCell ref="N48:P48"/>
    <mergeCell ref="Q48:S48"/>
    <mergeCell ref="T48:V48"/>
    <mergeCell ref="W48:Y48"/>
    <mergeCell ref="Z48:AB48"/>
    <mergeCell ref="AC48:AE48"/>
    <mergeCell ref="E47:G47"/>
    <mergeCell ref="H47:J47"/>
    <mergeCell ref="K47:M47"/>
    <mergeCell ref="N47:P47"/>
    <mergeCell ref="Q47:S47"/>
    <mergeCell ref="T47:V47"/>
    <mergeCell ref="W47:Y47"/>
    <mergeCell ref="Z47:AB47"/>
    <mergeCell ref="AC47:AE47"/>
    <mergeCell ref="E46:G46"/>
    <mergeCell ref="H46:J46"/>
    <mergeCell ref="K46:M46"/>
    <mergeCell ref="N46:P46"/>
    <mergeCell ref="Q46:S46"/>
    <mergeCell ref="T46:V46"/>
    <mergeCell ref="W46:Y46"/>
    <mergeCell ref="Z46:AB46"/>
    <mergeCell ref="AC46:AE46"/>
    <mergeCell ref="E45:G45"/>
    <mergeCell ref="H45:J45"/>
    <mergeCell ref="K45:M45"/>
    <mergeCell ref="N45:P45"/>
    <mergeCell ref="Q45:S45"/>
    <mergeCell ref="T45:V45"/>
    <mergeCell ref="W45:Y45"/>
    <mergeCell ref="Z45:AB45"/>
    <mergeCell ref="AC45:AE45"/>
    <mergeCell ref="E44:G44"/>
    <mergeCell ref="H44:J44"/>
    <mergeCell ref="K44:M44"/>
    <mergeCell ref="N44:P44"/>
    <mergeCell ref="Q44:S44"/>
    <mergeCell ref="T44:V44"/>
    <mergeCell ref="W44:Y44"/>
    <mergeCell ref="Z44:AB44"/>
    <mergeCell ref="AC44:AE44"/>
    <mergeCell ref="E43:G43"/>
    <mergeCell ref="H43:J43"/>
    <mergeCell ref="K43:M43"/>
    <mergeCell ref="N43:P43"/>
    <mergeCell ref="Q43:S43"/>
    <mergeCell ref="T43:V43"/>
    <mergeCell ref="W43:Y43"/>
    <mergeCell ref="Z43:AB43"/>
    <mergeCell ref="AC43:AE43"/>
    <mergeCell ref="E42:G42"/>
    <mergeCell ref="H42:J42"/>
    <mergeCell ref="K42:M42"/>
    <mergeCell ref="N42:P42"/>
    <mergeCell ref="Q42:S42"/>
    <mergeCell ref="T42:V42"/>
    <mergeCell ref="W42:Y42"/>
    <mergeCell ref="Z42:AB42"/>
    <mergeCell ref="AC42:AE42"/>
    <mergeCell ref="E41:G41"/>
    <mergeCell ref="H41:J41"/>
    <mergeCell ref="K41:M41"/>
    <mergeCell ref="N41:P41"/>
    <mergeCell ref="Q41:S41"/>
    <mergeCell ref="T41:V41"/>
    <mergeCell ref="W41:Y41"/>
    <mergeCell ref="Z41:AB41"/>
    <mergeCell ref="AC41:AE41"/>
    <mergeCell ref="E40:G40"/>
    <mergeCell ref="H40:J40"/>
    <mergeCell ref="K40:M40"/>
    <mergeCell ref="N40:P40"/>
    <mergeCell ref="Q40:S40"/>
    <mergeCell ref="T40:V40"/>
    <mergeCell ref="W40:Y40"/>
    <mergeCell ref="Z40:AB40"/>
    <mergeCell ref="AC40:AE40"/>
    <mergeCell ref="E39:G39"/>
    <mergeCell ref="H39:J39"/>
    <mergeCell ref="K39:M39"/>
    <mergeCell ref="N39:P39"/>
    <mergeCell ref="Q39:S39"/>
    <mergeCell ref="T39:V39"/>
    <mergeCell ref="W39:Y39"/>
    <mergeCell ref="Z39:AB39"/>
    <mergeCell ref="AC39:AE39"/>
    <mergeCell ref="E38:G38"/>
    <mergeCell ref="H38:J38"/>
    <mergeCell ref="K38:M38"/>
    <mergeCell ref="N38:P38"/>
    <mergeCell ref="Q38:S38"/>
    <mergeCell ref="T38:V38"/>
    <mergeCell ref="W38:Y38"/>
    <mergeCell ref="Z38:AB38"/>
    <mergeCell ref="AC38:AE38"/>
    <mergeCell ref="E37:G37"/>
    <mergeCell ref="H37:J37"/>
    <mergeCell ref="K37:M37"/>
    <mergeCell ref="N37:P37"/>
    <mergeCell ref="Q37:S37"/>
    <mergeCell ref="T37:V37"/>
    <mergeCell ref="W37:Y37"/>
    <mergeCell ref="Z37:AB37"/>
    <mergeCell ref="AC37:AE37"/>
    <mergeCell ref="E36:G36"/>
    <mergeCell ref="H36:J36"/>
    <mergeCell ref="K36:M36"/>
    <mergeCell ref="N36:P36"/>
    <mergeCell ref="Q36:S36"/>
    <mergeCell ref="T36:V36"/>
    <mergeCell ref="W36:Y36"/>
    <mergeCell ref="Z36:AB36"/>
    <mergeCell ref="AC36:AE36"/>
    <mergeCell ref="E35:G35"/>
    <mergeCell ref="H35:J35"/>
    <mergeCell ref="K35:M35"/>
    <mergeCell ref="N35:P35"/>
    <mergeCell ref="Q35:S35"/>
    <mergeCell ref="T35:V35"/>
    <mergeCell ref="W35:Y35"/>
    <mergeCell ref="Z35:AB35"/>
    <mergeCell ref="AC35:AE35"/>
    <mergeCell ref="E34:G34"/>
    <mergeCell ref="H34:J34"/>
    <mergeCell ref="K34:M34"/>
    <mergeCell ref="N34:P34"/>
    <mergeCell ref="Q34:S34"/>
    <mergeCell ref="T34:V34"/>
    <mergeCell ref="W34:Y34"/>
    <mergeCell ref="Z34:AB34"/>
    <mergeCell ref="AC34:AE34"/>
    <mergeCell ref="E33:G33"/>
    <mergeCell ref="H33:J33"/>
    <mergeCell ref="K33:M33"/>
    <mergeCell ref="N33:P33"/>
    <mergeCell ref="Q33:S33"/>
    <mergeCell ref="T33:V33"/>
    <mergeCell ref="W33:Y33"/>
    <mergeCell ref="Z33:AB33"/>
    <mergeCell ref="AC33:AE33"/>
    <mergeCell ref="E32:G32"/>
    <mergeCell ref="H32:J32"/>
    <mergeCell ref="K32:M32"/>
    <mergeCell ref="N32:P32"/>
    <mergeCell ref="Q32:S32"/>
    <mergeCell ref="T32:V32"/>
    <mergeCell ref="W32:Y32"/>
    <mergeCell ref="Z32:AB32"/>
    <mergeCell ref="AC32:AE32"/>
    <mergeCell ref="E31:G31"/>
    <mergeCell ref="H31:J31"/>
    <mergeCell ref="K31:M31"/>
    <mergeCell ref="N31:P31"/>
    <mergeCell ref="Q31:S31"/>
    <mergeCell ref="T31:V31"/>
    <mergeCell ref="W31:Y31"/>
    <mergeCell ref="Z31:AB31"/>
    <mergeCell ref="AC31:AE31"/>
    <mergeCell ref="E30:G30"/>
    <mergeCell ref="H30:J30"/>
    <mergeCell ref="K30:M30"/>
    <mergeCell ref="N30:P30"/>
    <mergeCell ref="Q30:S30"/>
    <mergeCell ref="T30:V30"/>
    <mergeCell ref="W30:Y30"/>
    <mergeCell ref="Z30:AB30"/>
    <mergeCell ref="AC30:AE30"/>
    <mergeCell ref="E26:G26"/>
    <mergeCell ref="H26:J26"/>
    <mergeCell ref="K26:M26"/>
    <mergeCell ref="E29:G29"/>
    <mergeCell ref="H29:J29"/>
    <mergeCell ref="K29:M29"/>
    <mergeCell ref="N29:P29"/>
    <mergeCell ref="Q29:S29"/>
    <mergeCell ref="T29:V29"/>
    <mergeCell ref="E27:G27"/>
    <mergeCell ref="H27:J27"/>
    <mergeCell ref="K27:M27"/>
    <mergeCell ref="N27:P27"/>
    <mergeCell ref="Q27:S27"/>
    <mergeCell ref="T27:V27"/>
    <mergeCell ref="W29:Y29"/>
    <mergeCell ref="Z29:AB29"/>
    <mergeCell ref="AC29:AE29"/>
    <mergeCell ref="E28:G28"/>
    <mergeCell ref="H28:J28"/>
    <mergeCell ref="K28:M28"/>
    <mergeCell ref="N28:P28"/>
    <mergeCell ref="Q28:S28"/>
    <mergeCell ref="T28:V28"/>
    <mergeCell ref="W28:Y28"/>
    <mergeCell ref="Z28:AB28"/>
    <mergeCell ref="AC28:AE28"/>
    <mergeCell ref="W27:Y27"/>
    <mergeCell ref="Z27:AB27"/>
    <mergeCell ref="AC27:AE27"/>
    <mergeCell ref="E24:G24"/>
    <mergeCell ref="H24:J24"/>
    <mergeCell ref="K24:M24"/>
    <mergeCell ref="N24:P24"/>
    <mergeCell ref="Q24:S24"/>
    <mergeCell ref="T24:V24"/>
    <mergeCell ref="N26:P26"/>
    <mergeCell ref="Q26:S26"/>
    <mergeCell ref="T26:V26"/>
    <mergeCell ref="W26:Y26"/>
    <mergeCell ref="Z26:AB26"/>
    <mergeCell ref="AC26:AE26"/>
    <mergeCell ref="E25:G25"/>
    <mergeCell ref="H25:J25"/>
    <mergeCell ref="K25:M25"/>
    <mergeCell ref="N25:P25"/>
    <mergeCell ref="Q25:S25"/>
    <mergeCell ref="T25:V25"/>
    <mergeCell ref="W25:Y25"/>
    <mergeCell ref="Z25:AB25"/>
    <mergeCell ref="AC25:AE25"/>
    <mergeCell ref="W24:Y24"/>
    <mergeCell ref="Z24:AB24"/>
    <mergeCell ref="AC24:AE24"/>
    <mergeCell ref="E23:G23"/>
    <mergeCell ref="H23:J23"/>
    <mergeCell ref="K23:M23"/>
    <mergeCell ref="N23:P23"/>
    <mergeCell ref="Q23:S23"/>
    <mergeCell ref="T23:V23"/>
    <mergeCell ref="W23:Y23"/>
    <mergeCell ref="Z23:AB23"/>
    <mergeCell ref="AC23:AE23"/>
    <mergeCell ref="E20:G20"/>
    <mergeCell ref="H20:J20"/>
    <mergeCell ref="K20:M20"/>
    <mergeCell ref="N20:P20"/>
    <mergeCell ref="Q20:S20"/>
    <mergeCell ref="T20:V20"/>
    <mergeCell ref="W22:Y22"/>
    <mergeCell ref="Z22:AB22"/>
    <mergeCell ref="AC22:AE22"/>
    <mergeCell ref="E21:G21"/>
    <mergeCell ref="H21:J21"/>
    <mergeCell ref="K21:M21"/>
    <mergeCell ref="N21:P21"/>
    <mergeCell ref="Q21:S21"/>
    <mergeCell ref="T21:V21"/>
    <mergeCell ref="W21:Y21"/>
    <mergeCell ref="Z21:AB21"/>
    <mergeCell ref="AC21:AE21"/>
    <mergeCell ref="E22:G22"/>
    <mergeCell ref="H22:J22"/>
    <mergeCell ref="K22:M22"/>
    <mergeCell ref="N22:P22"/>
    <mergeCell ref="Q22:S22"/>
    <mergeCell ref="T22:V22"/>
    <mergeCell ref="E18:G18"/>
    <mergeCell ref="E19:G19"/>
    <mergeCell ref="K5:M5"/>
    <mergeCell ref="H10:J10"/>
    <mergeCell ref="H11:J11"/>
    <mergeCell ref="W20:Y20"/>
    <mergeCell ref="Z20:AB20"/>
    <mergeCell ref="AC20:AE20"/>
    <mergeCell ref="H16:J16"/>
    <mergeCell ref="H17:J17"/>
    <mergeCell ref="H18:J18"/>
    <mergeCell ref="H19:J19"/>
    <mergeCell ref="K8:M8"/>
    <mergeCell ref="E6:G6"/>
    <mergeCell ref="E7:G7"/>
    <mergeCell ref="E8:G8"/>
    <mergeCell ref="T7:V7"/>
    <mergeCell ref="H12:J12"/>
    <mergeCell ref="H13:J13"/>
    <mergeCell ref="H14:J14"/>
    <mergeCell ref="H15:J15"/>
    <mergeCell ref="W7:Y7"/>
    <mergeCell ref="AC7:AE7"/>
    <mergeCell ref="E16:G16"/>
    <mergeCell ref="B1:I1"/>
    <mergeCell ref="Q4:S4"/>
    <mergeCell ref="T4:V4"/>
    <mergeCell ref="W4:Y4"/>
    <mergeCell ref="Z4:AB4"/>
    <mergeCell ref="AC4:AE4"/>
    <mergeCell ref="E9:G9"/>
    <mergeCell ref="E10:G10"/>
    <mergeCell ref="E5:G5"/>
    <mergeCell ref="E4:G4"/>
    <mergeCell ref="H4:J4"/>
    <mergeCell ref="K4:M4"/>
    <mergeCell ref="N4:P4"/>
    <mergeCell ref="N5:P5"/>
    <mergeCell ref="Q5:S5"/>
    <mergeCell ref="AC6:AE6"/>
    <mergeCell ref="Q7:S7"/>
    <mergeCell ref="T5:V5"/>
    <mergeCell ref="W5:Y5"/>
    <mergeCell ref="K10:M10"/>
    <mergeCell ref="N10:P10"/>
    <mergeCell ref="Q10:S10"/>
    <mergeCell ref="T10:V10"/>
    <mergeCell ref="W10:Y10"/>
    <mergeCell ref="E17:G17"/>
    <mergeCell ref="E11:G11"/>
    <mergeCell ref="E12:G12"/>
    <mergeCell ref="E13:G13"/>
    <mergeCell ref="E14:G14"/>
    <mergeCell ref="E15:G15"/>
    <mergeCell ref="Z7:AB7"/>
    <mergeCell ref="Z5:AB5"/>
    <mergeCell ref="H7:J7"/>
    <mergeCell ref="H8:J8"/>
    <mergeCell ref="H9:J9"/>
    <mergeCell ref="K6:M6"/>
    <mergeCell ref="N6:P6"/>
    <mergeCell ref="Q6:S6"/>
    <mergeCell ref="T6:V6"/>
    <mergeCell ref="W6:Y6"/>
    <mergeCell ref="H6:J6"/>
    <mergeCell ref="H5:J5"/>
    <mergeCell ref="Q8:S8"/>
    <mergeCell ref="T8:V8"/>
    <mergeCell ref="W8:Y8"/>
    <mergeCell ref="Z6:AB6"/>
    <mergeCell ref="K7:M7"/>
    <mergeCell ref="N7:P7"/>
    <mergeCell ref="AC5:AE5"/>
    <mergeCell ref="Z8:AB8"/>
    <mergeCell ref="K9:M9"/>
    <mergeCell ref="N9:P9"/>
    <mergeCell ref="Q9:S9"/>
    <mergeCell ref="T9:V9"/>
    <mergeCell ref="W9:Y9"/>
    <mergeCell ref="AC9:AE9"/>
    <mergeCell ref="Z9:AB9"/>
    <mergeCell ref="N8:P8"/>
    <mergeCell ref="AC8:AE8"/>
    <mergeCell ref="AC10:AE10"/>
    <mergeCell ref="Z10:AB10"/>
    <mergeCell ref="K11:M11"/>
    <mergeCell ref="N11:P11"/>
    <mergeCell ref="Q11:S11"/>
    <mergeCell ref="T11:V11"/>
    <mergeCell ref="W11:Y11"/>
    <mergeCell ref="AC11:AE11"/>
    <mergeCell ref="Z11:AB11"/>
    <mergeCell ref="Q13:S13"/>
    <mergeCell ref="T13:V13"/>
    <mergeCell ref="W13:Y13"/>
    <mergeCell ref="AC13:AE13"/>
    <mergeCell ref="Z13:AB13"/>
    <mergeCell ref="AC12:AE12"/>
    <mergeCell ref="K12:M12"/>
    <mergeCell ref="N15:P15"/>
    <mergeCell ref="Q15:S15"/>
    <mergeCell ref="T15:V15"/>
    <mergeCell ref="W15:Y15"/>
    <mergeCell ref="AC15:AE15"/>
    <mergeCell ref="Z15:AB15"/>
    <mergeCell ref="N12:P12"/>
    <mergeCell ref="Q12:S12"/>
    <mergeCell ref="T12:V12"/>
    <mergeCell ref="W12:Y12"/>
    <mergeCell ref="Z12:AB12"/>
    <mergeCell ref="W14:Y14"/>
    <mergeCell ref="K18:M18"/>
    <mergeCell ref="N18:P18"/>
    <mergeCell ref="Q18:S18"/>
    <mergeCell ref="T18:V18"/>
    <mergeCell ref="W18:Y18"/>
    <mergeCell ref="AC16:AE16"/>
    <mergeCell ref="Z16:AB16"/>
    <mergeCell ref="K15:M15"/>
    <mergeCell ref="W3:AB3"/>
    <mergeCell ref="K17:M17"/>
    <mergeCell ref="N17:P17"/>
    <mergeCell ref="Q17:S17"/>
    <mergeCell ref="T17:V17"/>
    <mergeCell ref="W17:Y17"/>
    <mergeCell ref="AC17:AE17"/>
    <mergeCell ref="Z17:AB17"/>
    <mergeCell ref="N16:P16"/>
    <mergeCell ref="Q16:S16"/>
    <mergeCell ref="T16:V16"/>
    <mergeCell ref="W16:Y16"/>
    <mergeCell ref="AC14:AE14"/>
    <mergeCell ref="Z14:AB14"/>
    <mergeCell ref="K13:M13"/>
    <mergeCell ref="N13:P13"/>
    <mergeCell ref="AC19:AE19"/>
    <mergeCell ref="Z19:AB19"/>
    <mergeCell ref="K14:M14"/>
    <mergeCell ref="N14:P14"/>
    <mergeCell ref="Q14:S14"/>
    <mergeCell ref="T14:V14"/>
    <mergeCell ref="B60:B70"/>
    <mergeCell ref="E3:J3"/>
    <mergeCell ref="AC3:AE3"/>
    <mergeCell ref="E57:J57"/>
    <mergeCell ref="K57:M57"/>
    <mergeCell ref="N57:V57"/>
    <mergeCell ref="W57:AB57"/>
    <mergeCell ref="AC57:AE57"/>
    <mergeCell ref="N3:V3"/>
    <mergeCell ref="K3:M3"/>
    <mergeCell ref="AC18:AE18"/>
    <mergeCell ref="Z18:AB18"/>
    <mergeCell ref="K19:M19"/>
    <mergeCell ref="N19:P19"/>
    <mergeCell ref="Q19:S19"/>
    <mergeCell ref="T19:V19"/>
    <mergeCell ref="W19:Y19"/>
    <mergeCell ref="K16:M16"/>
    <mergeCell ref="Q77:U77"/>
    <mergeCell ref="Q78:U78"/>
    <mergeCell ref="Q79:U79"/>
    <mergeCell ref="Q80:U80"/>
    <mergeCell ref="Q81:U81"/>
    <mergeCell ref="V77:W77"/>
    <mergeCell ref="V78:W78"/>
    <mergeCell ref="V79:W79"/>
    <mergeCell ref="V80:W80"/>
    <mergeCell ref="V81:W81"/>
    <mergeCell ref="E55:G55"/>
    <mergeCell ref="H55:J55"/>
    <mergeCell ref="K55:M55"/>
    <mergeCell ref="N55:P55"/>
    <mergeCell ref="Q55:S55"/>
    <mergeCell ref="T55:V55"/>
    <mergeCell ref="W55:Y55"/>
    <mergeCell ref="Z55:AB55"/>
    <mergeCell ref="AC55:AE55"/>
    <mergeCell ref="E56:G56"/>
    <mergeCell ref="H56:J56"/>
    <mergeCell ref="K56:M56"/>
    <mergeCell ref="N56:P56"/>
    <mergeCell ref="Q56:S56"/>
    <mergeCell ref="T56:V56"/>
    <mergeCell ref="W56:Y56"/>
    <mergeCell ref="Z56:AB56"/>
    <mergeCell ref="AC56:AE56"/>
  </mergeCells>
  <conditionalFormatting sqref="E5:AI53">
    <cfRule type="cellIs" dxfId="48" priority="2" operator="greaterThan">
      <formula>0</formula>
    </cfRule>
  </conditionalFormatting>
  <conditionalFormatting sqref="E54:AI56">
    <cfRule type="cellIs" dxfId="47" priority="1" operator="greaterThan">
      <formula>0</formula>
    </cfRule>
  </conditionalFormatting>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0" tint="-0.34998626667073579"/>
  </sheetPr>
  <dimension ref="B1:AM628"/>
  <sheetViews>
    <sheetView workbookViewId="0">
      <selection activeCell="AX13" sqref="AX13"/>
    </sheetView>
  </sheetViews>
  <sheetFormatPr defaultColWidth="10.88671875" defaultRowHeight="13.8"/>
  <cols>
    <col min="1" max="1" width="3.6640625" style="3" customWidth="1"/>
    <col min="2" max="2" width="24.109375" style="7" hidden="1" customWidth="1"/>
    <col min="3" max="3" width="24.33203125" style="8" hidden="1" customWidth="1"/>
    <col min="4" max="4" width="12" style="6" hidden="1" customWidth="1"/>
    <col min="5" max="5" width="13.5546875" style="6" hidden="1" customWidth="1"/>
    <col min="6" max="6" width="12" style="6" hidden="1" customWidth="1"/>
    <col min="7" max="9" width="12" style="3" hidden="1" customWidth="1"/>
    <col min="10" max="10" width="14.5546875" style="3" hidden="1" customWidth="1"/>
    <col min="11" max="11" width="8.6640625" style="3" hidden="1" customWidth="1"/>
    <col min="12" max="12" width="12.44140625" style="3" hidden="1" customWidth="1"/>
    <col min="13" max="13" width="8.109375" style="3" hidden="1" customWidth="1"/>
    <col min="14" max="15" width="8.109375" style="44" hidden="1" customWidth="1"/>
    <col min="16" max="22" width="8.109375" style="3" hidden="1" customWidth="1"/>
    <col min="23" max="23" width="14.109375" style="3" hidden="1" customWidth="1"/>
    <col min="24" max="25" width="10.88671875" style="3" hidden="1" customWidth="1"/>
    <col min="26" max="26" width="15" style="3" hidden="1" customWidth="1"/>
    <col min="27" max="27" width="10.88671875" style="3" hidden="1" customWidth="1"/>
    <col min="28" max="28" width="16.88671875" style="3" hidden="1" customWidth="1"/>
    <col min="29" max="39" width="10.88671875" style="3" hidden="1" customWidth="1"/>
    <col min="40" max="16384" width="10.88671875" style="3"/>
  </cols>
  <sheetData>
    <row r="1" spans="2:39" s="35" customFormat="1" ht="47.25" customHeight="1">
      <c r="B1" s="320" t="s">
        <v>204</v>
      </c>
      <c r="C1" s="320"/>
      <c r="D1" s="320"/>
      <c r="E1" s="320"/>
      <c r="F1" s="320"/>
      <c r="G1" s="320"/>
      <c r="H1" s="320"/>
      <c r="I1" s="320"/>
      <c r="J1" s="70"/>
      <c r="K1" s="154"/>
      <c r="L1" s="154"/>
    </row>
    <row r="2" spans="2:39">
      <c r="H2" s="9"/>
      <c r="N2" s="55"/>
      <c r="O2" s="55"/>
    </row>
    <row r="3" spans="2:39" ht="12.75" customHeight="1">
      <c r="D3" s="191" t="s">
        <v>272</v>
      </c>
      <c r="E3" s="195" t="s">
        <v>257</v>
      </c>
      <c r="F3" s="195" t="s">
        <v>22</v>
      </c>
      <c r="G3" s="195" t="s">
        <v>0</v>
      </c>
      <c r="H3" s="195" t="s">
        <v>21</v>
      </c>
      <c r="I3" s="195" t="s">
        <v>258</v>
      </c>
      <c r="K3" s="410" t="s">
        <v>281</v>
      </c>
      <c r="L3" s="411"/>
      <c r="M3" s="411"/>
      <c r="N3" s="411"/>
      <c r="O3" s="412"/>
      <c r="P3" s="410" t="s">
        <v>284</v>
      </c>
      <c r="Q3" s="411"/>
      <c r="R3" s="411"/>
      <c r="S3" s="411"/>
      <c r="T3" s="412"/>
      <c r="U3" s="214" t="s">
        <v>279</v>
      </c>
      <c r="V3" s="215" t="s">
        <v>278</v>
      </c>
    </row>
    <row r="4" spans="2:39">
      <c r="B4" s="415" t="s">
        <v>10</v>
      </c>
      <c r="C4" s="36" t="s">
        <v>3</v>
      </c>
      <c r="D4" s="66">
        <v>12</v>
      </c>
      <c r="E4" s="249">
        <v>24</v>
      </c>
      <c r="F4" s="249">
        <v>16</v>
      </c>
      <c r="G4" s="249">
        <v>12</v>
      </c>
      <c r="H4" s="249">
        <v>8</v>
      </c>
      <c r="I4" s="249">
        <v>4</v>
      </c>
      <c r="K4" s="183">
        <f>IF(compute_ManualOverrideUI="No", COUNTIFS(UI!B$5:B$14974,Definition!C4,UI!D$5:D$14974,Definition!E$3), UI!H15)</f>
        <v>0</v>
      </c>
      <c r="L4" s="183">
        <f>IF(compute_ManualOverrideUI="No", COUNTIFS(UI!B$5:B$14974,Definition!C4,UI!D$5:D$14974,Definition!F$3), UI!I15)</f>
        <v>0</v>
      </c>
      <c r="M4" s="183">
        <f>IF(compute_ManualOverrideUI="No", COUNTIFS(UI!B$5:B$14974,Definition!C4,UI!D$5:D$14974,Definition!G$3),UI!J15)</f>
        <v>0</v>
      </c>
      <c r="N4" s="183">
        <f>IF(compute_ManualOverrideUI="No", COUNTIFS(UI!B$5:B$14974,Definition!C4,UI!D$5:D$14974,Definition!H$3),UI!K15)</f>
        <v>0</v>
      </c>
      <c r="O4" s="183">
        <f>IF(compute_ManualOverrideUI="No", COUNTIFS(UI!B$5:B$14974,Definition!C4,UI!D$5:D$14974,Definition!I$3),UI!L15)</f>
        <v>0</v>
      </c>
      <c r="P4" s="183">
        <f>Definition!K4*Definition!E4</f>
        <v>0</v>
      </c>
      <c r="Q4" s="183">
        <f>Definition!L4*Definition!F4</f>
        <v>0</v>
      </c>
      <c r="R4" s="183">
        <f>Definition!M4*Definition!G4</f>
        <v>0</v>
      </c>
      <c r="S4" s="183">
        <f>Definition!N4*Definition!H4</f>
        <v>0</v>
      </c>
      <c r="T4" s="183">
        <f>Definition!O4*Definition!I4</f>
        <v>0</v>
      </c>
      <c r="U4" s="183">
        <f>SUM(P4:T4)</f>
        <v>0</v>
      </c>
      <c r="V4" s="183">
        <f>(Definition!K4*Definition!E$4+Definition!L4*Definition!F$4+ Definition!M4*Definition!G$4+Definition!N4*Definition!H$4+Definition!O4*Definition!I$4)</f>
        <v>0</v>
      </c>
      <c r="W4" s="153" t="s">
        <v>289</v>
      </c>
      <c r="X4" s="37">
        <f>(Definition!E7*Definition!K7)+(Definition!F7*Definition!L7)+(Definition!G7*Definition!M7)+(Definition!H7*Definition!N7)+(Definition!I7*Definition!O7)</f>
        <v>0</v>
      </c>
      <c r="AA4" s="237"/>
      <c r="AB4" s="238"/>
      <c r="AC4" s="239" t="s">
        <v>272</v>
      </c>
      <c r="AD4" s="240" t="s">
        <v>257</v>
      </c>
      <c r="AE4" s="240" t="s">
        <v>22</v>
      </c>
      <c r="AF4" s="240" t="s">
        <v>0</v>
      </c>
      <c r="AG4" s="240" t="s">
        <v>21</v>
      </c>
      <c r="AH4" s="240" t="s">
        <v>258</v>
      </c>
      <c r="AI4" s="240" t="s">
        <v>257</v>
      </c>
      <c r="AJ4" s="240" t="s">
        <v>22</v>
      </c>
      <c r="AK4" s="240" t="s">
        <v>0</v>
      </c>
      <c r="AL4" s="240" t="s">
        <v>21</v>
      </c>
      <c r="AM4" s="240" t="s">
        <v>258</v>
      </c>
    </row>
    <row r="5" spans="2:39">
      <c r="B5" s="415"/>
      <c r="C5" s="36" t="s">
        <v>5</v>
      </c>
      <c r="D5" s="66">
        <v>8</v>
      </c>
      <c r="E5" s="249">
        <v>12</v>
      </c>
      <c r="F5" s="249">
        <v>10</v>
      </c>
      <c r="G5" s="249">
        <v>8</v>
      </c>
      <c r="H5" s="249">
        <v>4</v>
      </c>
      <c r="I5" s="249">
        <v>2</v>
      </c>
      <c r="K5" s="183">
        <f>IF(compute_ManualOverrideUI="No", COUNTIFS(UI!B$5:B$14974,Definition!C5,UI!D$5:D$14974,Definition!E$3), UI!H16)</f>
        <v>0</v>
      </c>
      <c r="L5" s="183">
        <f>IF(compute_ManualOverrideUI="No", COUNTIFS(UI!B$5:B$14974,Definition!C5,UI!D$5:D$14974,Definition!F$3), UI!I16)</f>
        <v>0</v>
      </c>
      <c r="M5" s="183">
        <f>IF(compute_ManualOverrideUI="No", COUNTIFS(UI!B$5:B$14974,Definition!C5,UI!D$5:D$14974,Definition!G$3),UI!J16)</f>
        <v>1</v>
      </c>
      <c r="N5" s="37">
        <f>IF(compute_ManualOverrideUI="No", COUNTIFS(UI!B$5:B$14974,Definition!C5,UI!D$5:D$14974,Definition!H$3),UI!K16)</f>
        <v>0</v>
      </c>
      <c r="O5" s="196">
        <f>IF(compute_ManualOverrideUI="No", COUNTIFS(UI!B$5:B$14974,Definition!C5,UI!D$5:D$14974,Definition!I$3),UI!L16)</f>
        <v>0</v>
      </c>
      <c r="P5" s="183">
        <f>Definition!K5*Definition!E5</f>
        <v>0</v>
      </c>
      <c r="Q5" s="183">
        <f>Definition!L5*Definition!F5</f>
        <v>0</v>
      </c>
      <c r="R5" s="183">
        <f>Definition!M5*Definition!G5</f>
        <v>8</v>
      </c>
      <c r="S5" s="183">
        <f>Definition!N5*Definition!H5</f>
        <v>0</v>
      </c>
      <c r="T5" s="183">
        <f>Definition!O5*Definition!I5</f>
        <v>0</v>
      </c>
      <c r="U5" s="37">
        <f t="shared" ref="U5:U7" si="0">SUM(P5:T5)</f>
        <v>8</v>
      </c>
      <c r="V5" s="37">
        <f>(Definition!K5*Definition!E$5+Definition!L5*Definition!F$5+Definition!M5*Definition!G$5+Definition!N5*Definition!H$5+Definition!O5*Definition!I$5)</f>
        <v>8</v>
      </c>
      <c r="W5" s="120" t="s">
        <v>114</v>
      </c>
      <c r="X5" s="37">
        <f>SUM(V4:V7)</f>
        <v>8</v>
      </c>
      <c r="AA5" s="429" t="s">
        <v>10</v>
      </c>
      <c r="AB5" s="241" t="s">
        <v>3</v>
      </c>
      <c r="AC5" s="242">
        <v>14.5</v>
      </c>
      <c r="AD5" s="39">
        <v>2</v>
      </c>
      <c r="AE5" s="39">
        <v>1.2</v>
      </c>
      <c r="AF5" s="39">
        <v>0.8</v>
      </c>
      <c r="AG5" s="39">
        <v>0.4</v>
      </c>
      <c r="AH5" s="39">
        <v>0.1</v>
      </c>
      <c r="AI5" s="243">
        <f>AC5*AD5</f>
        <v>29</v>
      </c>
      <c r="AJ5" s="243">
        <f>AC5*AE5</f>
        <v>17.399999999999999</v>
      </c>
      <c r="AK5" s="243">
        <f>AC5*AF5</f>
        <v>11.600000000000001</v>
      </c>
      <c r="AL5" s="243">
        <f>AC5*AG5</f>
        <v>5.8000000000000007</v>
      </c>
      <c r="AM5" s="243">
        <f>AC5*AH5</f>
        <v>1.4500000000000002</v>
      </c>
    </row>
    <row r="6" spans="2:39">
      <c r="B6" s="415"/>
      <c r="C6" s="36" t="s">
        <v>47</v>
      </c>
      <c r="D6" s="66">
        <v>10</v>
      </c>
      <c r="E6" s="249">
        <v>24</v>
      </c>
      <c r="F6" s="249">
        <v>18</v>
      </c>
      <c r="G6" s="249">
        <v>10</v>
      </c>
      <c r="H6" s="249">
        <v>6</v>
      </c>
      <c r="I6" s="249">
        <v>3</v>
      </c>
      <c r="K6" s="183">
        <f>IF(compute_ManualOverrideUI="No", COUNTIFS(UI!B$5:B$14974,Definition!C6,UI!D$5:D$14974,Definition!E$3), UI!H17)</f>
        <v>0</v>
      </c>
      <c r="L6" s="183">
        <f>IF(compute_ManualOverrideUI="No", COUNTIFS(UI!B$5:B$14974,Definition!C6,UI!D$5:D$14974,Definition!F$3), UI!I17)</f>
        <v>0</v>
      </c>
      <c r="M6" s="183">
        <f>IF(compute_ManualOverrideUI="No", COUNTIFS(UI!B$5:B$14974,Definition!C6,UI!D$5:D$14974,Definition!G$3),UI!J17)</f>
        <v>0</v>
      </c>
      <c r="N6" s="37">
        <f>IF(compute_ManualOverrideUI="No", COUNTIFS(UI!B$5:B$14974,Definition!C6,UI!D$5:D$14974,Definition!H$3),UI!K17)</f>
        <v>0</v>
      </c>
      <c r="O6" s="196">
        <f>IF(compute_ManualOverrideUI="No", COUNTIFS(UI!B$5:B$14974,Definition!C6,UI!D$5:D$14974,Definition!I$3),UI!L17)</f>
        <v>0</v>
      </c>
      <c r="P6" s="183">
        <f>Definition!K6*Definition!E6</f>
        <v>0</v>
      </c>
      <c r="Q6" s="183">
        <f>Definition!L6*Definition!F6</f>
        <v>0</v>
      </c>
      <c r="R6" s="183">
        <f>Definition!M6*Definition!G6</f>
        <v>0</v>
      </c>
      <c r="S6" s="183">
        <f>Definition!N6*Definition!H6</f>
        <v>0</v>
      </c>
      <c r="T6" s="183">
        <f>Definition!O6*Definition!I6</f>
        <v>0</v>
      </c>
      <c r="U6" s="37">
        <f t="shared" si="0"/>
        <v>0</v>
      </c>
      <c r="V6" s="37">
        <f>(Definition!K6*Definition!E$6+Definition!L6*Definition!F$6+Definition!M6*Definition!G$6+Definition!N6*Definition!H$6+Definition!O6*Definition!I$6)</f>
        <v>0</v>
      </c>
      <c r="W6" s="120" t="s">
        <v>126</v>
      </c>
      <c r="X6" s="80">
        <f>UI!K$4*UI!H$3*((Definition!V$4/IF((Definition!L$4+Definition!M$4+Definition!N$4)=0,1,(Definition!L$4+Definition!M$4+Definition!N$4)))+(Definition!V$6/IF((Definition!L$5+Definition!M$5+Definition!N$5)=0,1,(Definition!L$5+Definition!M$5+Definition!N$5))*Definition!X$4)+(Definition!V$7/IF((Definition!L$6+Definition!M$6+Definition!N$6)=0,1,(Definition!L$6+Definition!M$6+Definition!N$6))))</f>
        <v>0</v>
      </c>
      <c r="AA6" s="430"/>
      <c r="AB6" s="244" t="s">
        <v>5</v>
      </c>
      <c r="AC6" s="242">
        <v>8</v>
      </c>
      <c r="AD6" s="39">
        <v>1.5</v>
      </c>
      <c r="AE6" s="39">
        <v>1.3</v>
      </c>
      <c r="AF6" s="39">
        <v>1</v>
      </c>
      <c r="AG6" s="39">
        <v>0.5</v>
      </c>
      <c r="AH6" s="39">
        <v>0.1</v>
      </c>
      <c r="AI6" s="243">
        <f t="shared" ref="AI6:AI19" si="1">AC6*AD6</f>
        <v>12</v>
      </c>
      <c r="AJ6" s="243">
        <f t="shared" ref="AJ6:AJ19" si="2">AC6*AE6</f>
        <v>10.4</v>
      </c>
      <c r="AK6" s="243">
        <f t="shared" ref="AK6:AK19" si="3">AC6*AF6</f>
        <v>8</v>
      </c>
      <c r="AL6" s="243">
        <f t="shared" ref="AL6:AL19" si="4">AC6*AG6</f>
        <v>4</v>
      </c>
      <c r="AM6" s="243">
        <f t="shared" ref="AM6:AM19" si="5">AC6*AH6</f>
        <v>0.8</v>
      </c>
    </row>
    <row r="7" spans="2:39">
      <c r="B7" s="415"/>
      <c r="C7" s="36" t="s">
        <v>77</v>
      </c>
      <c r="D7" s="66">
        <v>0</v>
      </c>
      <c r="E7" s="249">
        <v>0</v>
      </c>
      <c r="F7" s="249">
        <v>0</v>
      </c>
      <c r="G7" s="249">
        <v>0</v>
      </c>
      <c r="H7" s="249">
        <v>0</v>
      </c>
      <c r="I7" s="249">
        <v>0</v>
      </c>
      <c r="J7" s="190"/>
      <c r="K7" s="183">
        <v>0</v>
      </c>
      <c r="L7" s="183">
        <v>0</v>
      </c>
      <c r="M7" s="183">
        <v>0</v>
      </c>
      <c r="N7" s="183">
        <v>0</v>
      </c>
      <c r="O7" s="183">
        <v>0</v>
      </c>
      <c r="P7" s="183">
        <f>Definition!K7*Definition!E7</f>
        <v>0</v>
      </c>
      <c r="Q7" s="183">
        <f>Definition!L7*Definition!F7</f>
        <v>0</v>
      </c>
      <c r="R7" s="183">
        <f>Definition!M7*Definition!G7</f>
        <v>0</v>
      </c>
      <c r="S7" s="183">
        <f>Definition!N7*Definition!H7</f>
        <v>0</v>
      </c>
      <c r="T7" s="183">
        <f>Definition!O7*Definition!I7</f>
        <v>0</v>
      </c>
      <c r="U7" s="37">
        <f t="shared" si="0"/>
        <v>0</v>
      </c>
      <c r="V7" s="37">
        <f>(Definition!K7*Definition!E$7+Definition!L7*Definition!F$7+Definition!M7*Definition!G$7+Definition!N7*Definition!H$7+Definition!O7*Definition!I$7)</f>
        <v>0</v>
      </c>
      <c r="X7" s="216">
        <f>SUM(Definition!X5,Definition!X6)</f>
        <v>8</v>
      </c>
      <c r="AA7" s="430"/>
      <c r="AB7" s="244" t="s">
        <v>47</v>
      </c>
      <c r="AC7" s="242">
        <v>10</v>
      </c>
      <c r="AD7" s="39">
        <v>3</v>
      </c>
      <c r="AE7" s="39">
        <v>2.5</v>
      </c>
      <c r="AF7" s="39">
        <v>1.2</v>
      </c>
      <c r="AG7" s="39">
        <v>0.6</v>
      </c>
      <c r="AH7" s="39">
        <v>0.3</v>
      </c>
      <c r="AI7" s="243">
        <f t="shared" si="1"/>
        <v>30</v>
      </c>
      <c r="AJ7" s="243">
        <f t="shared" si="2"/>
        <v>25</v>
      </c>
      <c r="AK7" s="243">
        <f t="shared" si="3"/>
        <v>12</v>
      </c>
      <c r="AL7" s="243">
        <f t="shared" si="4"/>
        <v>6</v>
      </c>
      <c r="AM7" s="243">
        <f t="shared" si="5"/>
        <v>3</v>
      </c>
    </row>
    <row r="8" spans="2:39">
      <c r="B8" s="415" t="s">
        <v>55</v>
      </c>
      <c r="C8" s="36" t="s">
        <v>84</v>
      </c>
      <c r="D8" s="66">
        <v>8</v>
      </c>
      <c r="E8" s="249">
        <v>24</v>
      </c>
      <c r="F8" s="249">
        <v>16</v>
      </c>
      <c r="G8" s="249">
        <v>8</v>
      </c>
      <c r="H8" s="249">
        <v>6</v>
      </c>
      <c r="I8" s="249">
        <v>4</v>
      </c>
      <c r="J8" s="190"/>
      <c r="K8" s="410" t="s">
        <v>280</v>
      </c>
      <c r="L8" s="411"/>
      <c r="M8" s="411"/>
      <c r="N8" s="411"/>
      <c r="O8" s="412"/>
      <c r="P8" s="410" t="s">
        <v>283</v>
      </c>
      <c r="Q8" s="411"/>
      <c r="R8" s="411"/>
      <c r="S8" s="411"/>
      <c r="T8" s="412"/>
      <c r="U8" s="214" t="s">
        <v>279</v>
      </c>
      <c r="V8" s="215" t="s">
        <v>278</v>
      </c>
      <c r="AA8" s="431"/>
      <c r="AB8" s="244" t="s">
        <v>77</v>
      </c>
      <c r="AC8" s="242">
        <v>0.5</v>
      </c>
      <c r="AD8" s="39">
        <v>0</v>
      </c>
      <c r="AE8" s="39">
        <v>0</v>
      </c>
      <c r="AF8" s="39">
        <v>0</v>
      </c>
      <c r="AG8" s="39">
        <v>0</v>
      </c>
      <c r="AH8" s="39">
        <v>0</v>
      </c>
      <c r="AI8" s="243">
        <f t="shared" si="1"/>
        <v>0</v>
      </c>
      <c r="AJ8" s="243">
        <f t="shared" si="2"/>
        <v>0</v>
      </c>
      <c r="AK8" s="243">
        <f t="shared" si="3"/>
        <v>0</v>
      </c>
      <c r="AL8" s="243">
        <f t="shared" si="4"/>
        <v>0</v>
      </c>
      <c r="AM8" s="243">
        <f t="shared" si="5"/>
        <v>0</v>
      </c>
    </row>
    <row r="9" spans="2:39">
      <c r="B9" s="415"/>
      <c r="C9" s="36" t="s">
        <v>263</v>
      </c>
      <c r="D9" s="66">
        <v>3</v>
      </c>
      <c r="E9" s="249">
        <v>9</v>
      </c>
      <c r="F9" s="249">
        <v>6</v>
      </c>
      <c r="G9" s="249">
        <v>3</v>
      </c>
      <c r="H9" s="249">
        <v>1.5</v>
      </c>
      <c r="I9" s="249">
        <v>1</v>
      </c>
      <c r="J9" s="190"/>
      <c r="K9" s="183">
        <f>IF(compute_ManualOverrideSPA="No", COUNTIFS(JSMVC!B$5:B$14987,Definition!C8,JSMVC!D$5:D$14987,Definition!E$3),JSMVC!H16)</f>
        <v>0</v>
      </c>
      <c r="L9" s="183">
        <f>IF(compute_ManualOverrideSPA="No", COUNTIFS(JSMVC!B$5:B$14987,Definition!C8,JSMVC!D$5:D$14987,Definition!F$3),JSMVC!I16)</f>
        <v>0</v>
      </c>
      <c r="M9" s="183">
        <f>IF(compute_ManualOverrideSPA="No", COUNTIFS(JSMVC!B$5:B$14987,Definition!C8,JSMVC!D$5:D$14987,Definition!G$3),JSMVC!J16)</f>
        <v>0</v>
      </c>
      <c r="N9" s="37">
        <f>IF(compute_ManualOverrideSPA="No", COUNTIFS(JSMVC!B$5:B$14987,Definition!C8,JSMVC!D$5:D$14987,Definition!H$3),JSMVC!K16)</f>
        <v>0</v>
      </c>
      <c r="O9" s="196">
        <f>IF(compute_ManualOverrideSPA="No", COUNTIFS(JSMVC!B$5:B$14987,Definition!C8,JSMVC!D$5:D$14987,Definition!I$3),JSMVC!L16)</f>
        <v>0</v>
      </c>
      <c r="P9" s="37">
        <f>Definition!K9*Definition!E8</f>
        <v>0</v>
      </c>
      <c r="Q9" s="37">
        <f>Definition!L9*Definition!F8</f>
        <v>0</v>
      </c>
      <c r="R9" s="37">
        <f>Definition!M9*Definition!G8</f>
        <v>0</v>
      </c>
      <c r="S9" s="37">
        <f>Definition!N9*Definition!H8</f>
        <v>0</v>
      </c>
      <c r="T9" s="37">
        <f>Definition!O9*Definition!I8</f>
        <v>0</v>
      </c>
      <c r="U9" s="183">
        <f t="shared" ref="U9:U14" si="6">SUM(P9:T9)</f>
        <v>0</v>
      </c>
      <c r="V9" s="183">
        <f>(Definition!K9*Definition!E$8+ Definition!L9*Definition!F$8+Definition!M9*Definition!G$8+Definition!N9*Definition!H$8+Definition!O9*Definition!I$8)</f>
        <v>0</v>
      </c>
      <c r="W9" s="192" t="s">
        <v>288</v>
      </c>
      <c r="X9" s="37">
        <f>SUM(V9:V14)</f>
        <v>0</v>
      </c>
      <c r="AA9" s="429" t="s">
        <v>55</v>
      </c>
      <c r="AB9" s="244" t="s">
        <v>84</v>
      </c>
      <c r="AC9" s="242">
        <v>8</v>
      </c>
      <c r="AD9" s="39">
        <v>3</v>
      </c>
      <c r="AE9" s="39">
        <v>2</v>
      </c>
      <c r="AF9" s="39">
        <v>1.2</v>
      </c>
      <c r="AG9" s="39">
        <v>0.8</v>
      </c>
      <c r="AH9" s="39">
        <v>0.5</v>
      </c>
      <c r="AI9" s="243">
        <f t="shared" si="1"/>
        <v>24</v>
      </c>
      <c r="AJ9" s="243">
        <f t="shared" si="2"/>
        <v>16</v>
      </c>
      <c r="AK9" s="243">
        <f t="shared" si="3"/>
        <v>9.6</v>
      </c>
      <c r="AL9" s="243">
        <f t="shared" si="4"/>
        <v>6.4</v>
      </c>
      <c r="AM9" s="243">
        <f t="shared" si="5"/>
        <v>4</v>
      </c>
    </row>
    <row r="10" spans="2:39">
      <c r="B10" s="415"/>
      <c r="C10" s="36" t="s">
        <v>262</v>
      </c>
      <c r="D10" s="66">
        <v>8</v>
      </c>
      <c r="E10" s="249">
        <v>24</v>
      </c>
      <c r="F10" s="249">
        <v>16</v>
      </c>
      <c r="G10" s="249">
        <v>8</v>
      </c>
      <c r="H10" s="249">
        <v>6</v>
      </c>
      <c r="I10" s="249">
        <v>3</v>
      </c>
      <c r="J10" s="190"/>
      <c r="K10" s="183">
        <f>IF(compute_ManualOverrideSPA="No", COUNTIFS(JSMVC!B$5:B$14987,Definition!C9,JSMVC!D$5:D$14987,Definition!E$3),JSMVC!H17)</f>
        <v>0</v>
      </c>
      <c r="L10" s="183">
        <f>IF(compute_ManualOverrideSPA="No", COUNTIFS(JSMVC!B$5:B$14987,Definition!C9,JSMVC!D$5:D$14987,Definition!F$3),JSMVC!I17)</f>
        <v>0</v>
      </c>
      <c r="M10" s="183">
        <f>IF(compute_ManualOverrideSPA="No", COUNTIFS(JSMVC!B$5:B$14987,Definition!C9,JSMVC!D$5:D$14987,Definition!G$3),JSMVC!J17)</f>
        <v>0</v>
      </c>
      <c r="N10" s="37">
        <f>IF(compute_ManualOverrideSPA="No", COUNTIFS(JSMVC!B$5:B$14987,Definition!C9,JSMVC!D$5:D$14987,Definition!H$3),JSMVC!K17)</f>
        <v>0</v>
      </c>
      <c r="O10" s="196">
        <f>IF(compute_ManualOverrideSPA="No", COUNTIFS(JSMVC!B$5:B$14987,Definition!C9,JSMVC!D$5:D$14987,Definition!I$3),JSMVC!L17)</f>
        <v>0</v>
      </c>
      <c r="P10" s="37">
        <f>Definition!K10*Definition!E9</f>
        <v>0</v>
      </c>
      <c r="Q10" s="37">
        <f>Definition!L10*Definition!F9</f>
        <v>0</v>
      </c>
      <c r="R10" s="37">
        <f>Definition!M10*Definition!G9</f>
        <v>0</v>
      </c>
      <c r="S10" s="37">
        <f>Definition!N10*Definition!H9</f>
        <v>0</v>
      </c>
      <c r="T10" s="37">
        <f>Definition!O10*Definition!I9</f>
        <v>0</v>
      </c>
      <c r="U10" s="37">
        <f t="shared" si="6"/>
        <v>0</v>
      </c>
      <c r="V10" s="37">
        <f>(Definition!K10*Definition!E$9+Definition!L10*Definition!F$9+Definition!M10*Definition!G$9+Definition!N10*Definition!H$9+Definition!O10*Definition!I$9)</f>
        <v>0</v>
      </c>
      <c r="W10" s="192" t="s">
        <v>275</v>
      </c>
      <c r="X10" s="37">
        <f>effort_Cat_NFR+effort_Cat_REST+effort_SPA_Design</f>
        <v>0</v>
      </c>
      <c r="AA10" s="430"/>
      <c r="AB10" s="244" t="s">
        <v>263</v>
      </c>
      <c r="AC10" s="242">
        <v>3</v>
      </c>
      <c r="AD10" s="39">
        <v>3</v>
      </c>
      <c r="AE10" s="39">
        <v>2</v>
      </c>
      <c r="AF10" s="39">
        <v>0.6</v>
      </c>
      <c r="AG10" s="39">
        <v>0.4</v>
      </c>
      <c r="AH10" s="39">
        <v>0.2</v>
      </c>
      <c r="AI10" s="243">
        <f t="shared" si="1"/>
        <v>9</v>
      </c>
      <c r="AJ10" s="243">
        <f t="shared" si="2"/>
        <v>6</v>
      </c>
      <c r="AK10" s="243">
        <f t="shared" si="3"/>
        <v>1.7999999999999998</v>
      </c>
      <c r="AL10" s="243">
        <f t="shared" si="4"/>
        <v>1.2000000000000002</v>
      </c>
      <c r="AM10" s="243">
        <f t="shared" si="5"/>
        <v>0.60000000000000009</v>
      </c>
    </row>
    <row r="11" spans="2:39">
      <c r="B11" s="415"/>
      <c r="C11" s="36" t="s">
        <v>5</v>
      </c>
      <c r="D11" s="66">
        <v>24</v>
      </c>
      <c r="E11" s="249">
        <v>36</v>
      </c>
      <c r="F11" s="249">
        <v>30</v>
      </c>
      <c r="G11" s="249">
        <v>24</v>
      </c>
      <c r="H11" s="249">
        <v>8</v>
      </c>
      <c r="I11" s="249">
        <v>6</v>
      </c>
      <c r="J11" s="190"/>
      <c r="K11" s="183">
        <f>IF(compute_ManualOverrideSPA="No", COUNTIFS(JSMVC!B$5:B$14987,Definition!C10,JSMVC!D$5:D$14987,Definition!E$3),JSMVC!H18)</f>
        <v>0</v>
      </c>
      <c r="L11" s="183">
        <f>IF(compute_ManualOverrideSPA="No", COUNTIFS(JSMVC!B$5:B$14987,Definition!C10,JSMVC!D$5:D$14987,Definition!F$3),JSMVC!I18)</f>
        <v>0</v>
      </c>
      <c r="M11" s="183">
        <f>IF(compute_ManualOverrideSPA="No", COUNTIFS(JSMVC!B$5:B$14987,Definition!C10,JSMVC!D$5:D$14987,Definition!G$3),JSMVC!J18)</f>
        <v>0</v>
      </c>
      <c r="N11" s="37">
        <f>IF(compute_ManualOverrideSPA="No", COUNTIFS(JSMVC!B$5:B$14987,Definition!C10,JSMVC!D$5:D$14987,Definition!H$3),JSMVC!K18)</f>
        <v>0</v>
      </c>
      <c r="O11" s="196">
        <f>IF(compute_ManualOverrideSPA="No", COUNTIFS(JSMVC!B$5:B$14987,Definition!C10,JSMVC!D$5:D$14987,Definition!I$3),JSMVC!L18)</f>
        <v>0</v>
      </c>
      <c r="P11" s="37">
        <f>Definition!K11*Definition!E10</f>
        <v>0</v>
      </c>
      <c r="Q11" s="37">
        <f>Definition!L11*Definition!F10</f>
        <v>0</v>
      </c>
      <c r="R11" s="37">
        <f>Definition!M11*Definition!G10</f>
        <v>0</v>
      </c>
      <c r="S11" s="37">
        <f>Definition!N11*Definition!H10</f>
        <v>0</v>
      </c>
      <c r="T11" s="37">
        <f>Definition!O11*Definition!I10</f>
        <v>0</v>
      </c>
      <c r="U11" s="37">
        <f t="shared" si="6"/>
        <v>0</v>
      </c>
      <c r="V11" s="37">
        <f>(Definition!K11*Definition!E$10+Definition!L11*Definition!F$10+Definition!M11*Definition!G$10+Definition!N11*Definition!H$10+Definition!O11*Definition!I$10)</f>
        <v>0</v>
      </c>
      <c r="X11" s="216">
        <f>SUM(X9:X10)</f>
        <v>0</v>
      </c>
      <c r="AA11" s="430"/>
      <c r="AB11" s="244" t="s">
        <v>262</v>
      </c>
      <c r="AC11" s="242">
        <v>8</v>
      </c>
      <c r="AD11" s="39">
        <v>3</v>
      </c>
      <c r="AE11" s="39">
        <v>2</v>
      </c>
      <c r="AF11" s="39">
        <v>1.2</v>
      </c>
      <c r="AG11" s="39">
        <v>0.8</v>
      </c>
      <c r="AH11" s="39">
        <v>0.4</v>
      </c>
      <c r="AI11" s="243">
        <f t="shared" si="1"/>
        <v>24</v>
      </c>
      <c r="AJ11" s="243">
        <f t="shared" si="2"/>
        <v>16</v>
      </c>
      <c r="AK11" s="243">
        <f t="shared" si="3"/>
        <v>9.6</v>
      </c>
      <c r="AL11" s="243">
        <f t="shared" si="4"/>
        <v>6.4</v>
      </c>
      <c r="AM11" s="243">
        <f t="shared" si="5"/>
        <v>3.2</v>
      </c>
    </row>
    <row r="12" spans="2:39">
      <c r="B12" s="415"/>
      <c r="C12" s="36" t="s">
        <v>266</v>
      </c>
      <c r="D12" s="66">
        <v>8</v>
      </c>
      <c r="E12" s="249">
        <v>24</v>
      </c>
      <c r="F12" s="249">
        <v>16</v>
      </c>
      <c r="G12" s="249">
        <v>8</v>
      </c>
      <c r="H12" s="249">
        <v>6</v>
      </c>
      <c r="I12" s="249">
        <v>4</v>
      </c>
      <c r="J12" s="190"/>
      <c r="K12" s="183">
        <f>IF(compute_ManualOverrideSPA="No", COUNTIFS(JSMVC!B$5:B$14987,Definition!C11,JSMVC!D$5:D$14987,Definition!E$3),JSMVC!H19)</f>
        <v>0</v>
      </c>
      <c r="L12" s="183">
        <f>IF(compute_ManualOverrideSPA="No", COUNTIFS(JSMVC!B$5:B$14987,Definition!C11,JSMVC!D$5:D$14987,Definition!F$3),JSMVC!I19)</f>
        <v>0</v>
      </c>
      <c r="M12" s="183">
        <f>IF(compute_ManualOverrideSPA="No", COUNTIFS(JSMVC!B$5:B$14987,Definition!C11,JSMVC!D$5:D$14987,Definition!G$3),JSMVC!J19)</f>
        <v>0</v>
      </c>
      <c r="N12" s="37">
        <f>IF(compute_ManualOverrideSPA="No", COUNTIFS(JSMVC!B$5:B$14987,Definition!C11,JSMVC!D$5:D$14987,Definition!H$3),JSMVC!K19)</f>
        <v>0</v>
      </c>
      <c r="O12" s="196">
        <f>IF(compute_ManualOverrideSPA="No", COUNTIFS(JSMVC!B$5:B$14987,Definition!C11,JSMVC!D$5:D$14987,Definition!I$3),JSMVC!L19)</f>
        <v>0</v>
      </c>
      <c r="P12" s="37">
        <f>Definition!K12*Definition!E11</f>
        <v>0</v>
      </c>
      <c r="Q12" s="37">
        <f>Definition!L12*Definition!F11</f>
        <v>0</v>
      </c>
      <c r="R12" s="37">
        <f>Definition!M12*Definition!G11</f>
        <v>0</v>
      </c>
      <c r="S12" s="37">
        <f>Definition!N12*Definition!H11</f>
        <v>0</v>
      </c>
      <c r="T12" s="37">
        <f>Definition!O12*Definition!I11</f>
        <v>0</v>
      </c>
      <c r="U12" s="37">
        <f t="shared" si="6"/>
        <v>0</v>
      </c>
      <c r="V12" s="37">
        <f>(Definition!K12*Definition!E$11+Definition!L12*Definition!F$11+Definition!M12*Definition!G$11+Definition!N12*Definition!H$11+Definition!O12*Definition!I$11)</f>
        <v>0</v>
      </c>
      <c r="AA12" s="430"/>
      <c r="AB12" s="244" t="s">
        <v>5</v>
      </c>
      <c r="AC12" s="242">
        <v>24</v>
      </c>
      <c r="AD12" s="39">
        <v>1.5</v>
      </c>
      <c r="AE12" s="39">
        <v>1.25</v>
      </c>
      <c r="AF12" s="39">
        <v>0.75</v>
      </c>
      <c r="AG12" s="39">
        <v>0.33</v>
      </c>
      <c r="AH12" s="39">
        <v>0.25</v>
      </c>
      <c r="AI12" s="243">
        <f t="shared" si="1"/>
        <v>36</v>
      </c>
      <c r="AJ12" s="243">
        <f t="shared" si="2"/>
        <v>30</v>
      </c>
      <c r="AK12" s="243">
        <f t="shared" si="3"/>
        <v>18</v>
      </c>
      <c r="AL12" s="243">
        <f t="shared" si="4"/>
        <v>7.92</v>
      </c>
      <c r="AM12" s="243">
        <f t="shared" si="5"/>
        <v>6</v>
      </c>
    </row>
    <row r="13" spans="2:39">
      <c r="B13" s="415"/>
      <c r="C13" s="36" t="s">
        <v>68</v>
      </c>
      <c r="D13" s="66">
        <v>8</v>
      </c>
      <c r="E13" s="249">
        <v>24</v>
      </c>
      <c r="F13" s="249">
        <v>16</v>
      </c>
      <c r="G13" s="249">
        <v>8</v>
      </c>
      <c r="H13" s="249">
        <v>6</v>
      </c>
      <c r="I13" s="249">
        <v>3</v>
      </c>
      <c r="J13" s="190"/>
      <c r="K13" s="183">
        <f>IF(compute_ManualOverrideSPA="No", COUNTIFS(JSMVC!B$5:B$14987,Definition!C12,JSMVC!D$5:D$14987,Definition!E$3),JSMVC!H20)</f>
        <v>0</v>
      </c>
      <c r="L13" s="183">
        <f>IF(compute_ManualOverrideSPA="No", COUNTIFS(JSMVC!B$5:B$14987,Definition!C12,JSMVC!D$5:D$14987,Definition!F$3),JSMVC!I20)</f>
        <v>0</v>
      </c>
      <c r="M13" s="183">
        <f>IF(compute_ManualOverrideSPA="No", COUNTIFS(JSMVC!B$5:B$14987,Definition!C12,JSMVC!D$5:D$14987,Definition!G$3),JSMVC!J20)</f>
        <v>0</v>
      </c>
      <c r="N13" s="37">
        <f>IF(compute_ManualOverrideSPA="No", COUNTIFS(JSMVC!B$5:B$14987,Definition!C12,JSMVC!D$5:D$14987,Definition!H$3),JSMVC!K20)</f>
        <v>0</v>
      </c>
      <c r="O13" s="196">
        <f>IF(compute_ManualOverrideSPA="No", COUNTIFS(JSMVC!B$5:B$14987,Definition!C12,JSMVC!D$5:D$14987,Definition!I$3),JSMVC!L20)</f>
        <v>0</v>
      </c>
      <c r="P13" s="37">
        <f>Definition!K13*Definition!E12</f>
        <v>0</v>
      </c>
      <c r="Q13" s="37">
        <f>Definition!L13*Definition!F12</f>
        <v>0</v>
      </c>
      <c r="R13" s="37">
        <f>Definition!M13*Definition!G12</f>
        <v>0</v>
      </c>
      <c r="S13" s="37">
        <f>Definition!N13*Definition!H12</f>
        <v>0</v>
      </c>
      <c r="T13" s="37">
        <f>Definition!O13*Definition!I12</f>
        <v>0</v>
      </c>
      <c r="U13" s="37">
        <f t="shared" si="6"/>
        <v>0</v>
      </c>
      <c r="V13" s="37">
        <f>(Definition!K13*Definition!E$12+Definition!L13*Definition!F$12+Definition!M13*Definition!G$12+Definition!N13*Definition!H$12+Definition!O13*Definition!I$12)</f>
        <v>0</v>
      </c>
      <c r="AA13" s="430"/>
      <c r="AB13" s="244" t="s">
        <v>266</v>
      </c>
      <c r="AC13" s="242">
        <v>8</v>
      </c>
      <c r="AD13" s="39">
        <v>3</v>
      </c>
      <c r="AE13" s="39">
        <v>2</v>
      </c>
      <c r="AF13" s="39">
        <v>1</v>
      </c>
      <c r="AG13" s="39">
        <v>0.75</v>
      </c>
      <c r="AH13" s="39">
        <v>0.5</v>
      </c>
      <c r="AI13" s="243">
        <f t="shared" si="1"/>
        <v>24</v>
      </c>
      <c r="AJ13" s="243">
        <f t="shared" si="2"/>
        <v>16</v>
      </c>
      <c r="AK13" s="243">
        <f t="shared" si="3"/>
        <v>8</v>
      </c>
      <c r="AL13" s="243">
        <f t="shared" si="4"/>
        <v>6</v>
      </c>
      <c r="AM13" s="243">
        <f t="shared" si="5"/>
        <v>4</v>
      </c>
    </row>
    <row r="14" spans="2:39">
      <c r="B14" s="415" t="s">
        <v>83</v>
      </c>
      <c r="C14" s="41" t="s">
        <v>84</v>
      </c>
      <c r="D14" s="66">
        <v>8</v>
      </c>
      <c r="E14" s="249">
        <v>24</v>
      </c>
      <c r="F14" s="249">
        <v>16</v>
      </c>
      <c r="G14" s="249">
        <v>8</v>
      </c>
      <c r="H14" s="249">
        <v>6</v>
      </c>
      <c r="I14" s="249">
        <v>3</v>
      </c>
      <c r="J14" s="190"/>
      <c r="K14" s="183">
        <f>IF(compute_ManualOverrideSPA="No", COUNTIFS(JSMVC!B$5:B$14987,Definition!C13,JSMVC!D$5:D$14987,Definition!E$3),JSMVC!H21)</f>
        <v>0</v>
      </c>
      <c r="L14" s="183">
        <f>IF(compute_ManualOverrideSPA="No", COUNTIFS(JSMVC!B$5:B$14987,Definition!C13,JSMVC!D$5:D$14987,Definition!F$3),JSMVC!I21)</f>
        <v>0</v>
      </c>
      <c r="M14" s="183">
        <f>IF(compute_ManualOverrideSPA="No", COUNTIFS(JSMVC!B$5:B$14987,Definition!C13,JSMVC!D$5:D$14987,Definition!G$3),JSMVC!J21)</f>
        <v>0</v>
      </c>
      <c r="N14" s="37">
        <f>IF(compute_ManualOverrideSPA="No", COUNTIFS(JSMVC!B$5:B$14987,Definition!C13,JSMVC!D$5:D$14987,Definition!H$3),JSMVC!K21)</f>
        <v>0</v>
      </c>
      <c r="O14" s="196">
        <f>IF(compute_ManualOverrideSPA="No", COUNTIFS(JSMVC!B$5:B$14987,Definition!C13,JSMVC!D$5:D$14987,Definition!I$3),JSMVC!L21)</f>
        <v>0</v>
      </c>
      <c r="P14" s="37">
        <f>Definition!K14*Definition!E13</f>
        <v>0</v>
      </c>
      <c r="Q14" s="37">
        <f>Definition!L14*Definition!F13</f>
        <v>0</v>
      </c>
      <c r="R14" s="37">
        <f>Definition!M14*Definition!G13</f>
        <v>0</v>
      </c>
      <c r="S14" s="37">
        <f>Definition!N14*Definition!H13</f>
        <v>0</v>
      </c>
      <c r="T14" s="37">
        <f>Definition!O14*Definition!I13</f>
        <v>0</v>
      </c>
      <c r="U14" s="37">
        <f t="shared" si="6"/>
        <v>0</v>
      </c>
      <c r="V14" s="37">
        <f>(Definition!K14*Definition!E$13+Definition!L14*Definition!F$13+Definition!M14*Definition!G$13+Definition!N14*Definition!H$13+Definition!O14*Definition!I$13)</f>
        <v>0</v>
      </c>
      <c r="AA14" s="431"/>
      <c r="AB14" s="244" t="s">
        <v>68</v>
      </c>
      <c r="AC14" s="242">
        <v>8</v>
      </c>
      <c r="AD14" s="39">
        <v>3</v>
      </c>
      <c r="AE14" s="39">
        <v>2</v>
      </c>
      <c r="AF14" s="39">
        <v>1.2</v>
      </c>
      <c r="AG14" s="39">
        <v>0.8</v>
      </c>
      <c r="AH14" s="39">
        <v>0.4</v>
      </c>
      <c r="AI14" s="243">
        <f t="shared" si="1"/>
        <v>24</v>
      </c>
      <c r="AJ14" s="243">
        <f t="shared" si="2"/>
        <v>16</v>
      </c>
      <c r="AK14" s="243">
        <f t="shared" si="3"/>
        <v>9.6</v>
      </c>
      <c r="AL14" s="243">
        <f t="shared" si="4"/>
        <v>6.4</v>
      </c>
      <c r="AM14" s="243">
        <f t="shared" si="5"/>
        <v>3.2</v>
      </c>
    </row>
    <row r="15" spans="2:39">
      <c r="B15" s="415"/>
      <c r="C15" s="41" t="s">
        <v>85</v>
      </c>
      <c r="D15" s="66">
        <v>16</v>
      </c>
      <c r="E15" s="249">
        <v>32</v>
      </c>
      <c r="F15" s="249">
        <v>24</v>
      </c>
      <c r="G15" s="249">
        <v>16</v>
      </c>
      <c r="H15" s="249">
        <v>8</v>
      </c>
      <c r="I15" s="249">
        <v>4</v>
      </c>
      <c r="J15" s="190"/>
      <c r="K15" s="410" t="s">
        <v>282</v>
      </c>
      <c r="L15" s="411"/>
      <c r="M15" s="411"/>
      <c r="N15" s="411"/>
      <c r="O15" s="412"/>
      <c r="P15" s="410" t="s">
        <v>285</v>
      </c>
      <c r="Q15" s="411"/>
      <c r="R15" s="411"/>
      <c r="S15" s="411"/>
      <c r="T15" s="412"/>
      <c r="U15" s="215" t="s">
        <v>279</v>
      </c>
      <c r="V15" s="215" t="s">
        <v>278</v>
      </c>
      <c r="W15" s="198" t="s">
        <v>286</v>
      </c>
      <c r="X15" s="51">
        <f>IF(Hybrid!H4=1,Definition!C80*Hybrid!I4,0)</f>
        <v>48</v>
      </c>
      <c r="AA15" s="429" t="s">
        <v>83</v>
      </c>
      <c r="AB15" s="245" t="s">
        <v>84</v>
      </c>
      <c r="AC15" s="242">
        <v>8</v>
      </c>
      <c r="AD15" s="39">
        <v>3</v>
      </c>
      <c r="AE15" s="39">
        <v>2</v>
      </c>
      <c r="AF15" s="39">
        <v>1.2</v>
      </c>
      <c r="AG15" s="39">
        <v>0.8</v>
      </c>
      <c r="AH15" s="39">
        <v>0.4</v>
      </c>
      <c r="AI15" s="243">
        <f t="shared" si="1"/>
        <v>24</v>
      </c>
      <c r="AJ15" s="243">
        <f t="shared" si="2"/>
        <v>16</v>
      </c>
      <c r="AK15" s="243">
        <f t="shared" si="3"/>
        <v>9.6</v>
      </c>
      <c r="AL15" s="243">
        <f t="shared" si="4"/>
        <v>6.4</v>
      </c>
      <c r="AM15" s="243">
        <f t="shared" si="5"/>
        <v>3.2</v>
      </c>
    </row>
    <row r="16" spans="2:39">
      <c r="B16" s="415"/>
      <c r="C16" s="41" t="s">
        <v>86</v>
      </c>
      <c r="D16" s="66">
        <v>8</v>
      </c>
      <c r="E16" s="249">
        <v>24</v>
      </c>
      <c r="F16" s="249">
        <v>16</v>
      </c>
      <c r="G16" s="249">
        <v>8</v>
      </c>
      <c r="H16" s="249">
        <v>6</v>
      </c>
      <c r="I16" s="249">
        <v>3</v>
      </c>
      <c r="J16" s="190"/>
      <c r="K16" s="37">
        <f>IF(compute_ManualOverrideHybrid="No", COUNTIFS(Hybrid!B$5:B$14987,Definition!C14,Hybrid!D$5:D$14987,Definition!E$3), Hybrid!H17)</f>
        <v>0</v>
      </c>
      <c r="L16" s="183">
        <f>IF(compute_ManualOverrideHybrid="No", COUNTIFS(Hybrid!B$5:B$14987,Definition!C14,Hybrid!D$5:D$14987,Definition!F$3), Hybrid!I17)</f>
        <v>0</v>
      </c>
      <c r="M16" s="183">
        <f>IF(compute_ManualOverrideHybrid="No", COUNTIFS(Hybrid!B$5:B$14987,Definition!C14,Hybrid!D$5:D$14987,Definition!G$3), Hybrid!J17)</f>
        <v>0</v>
      </c>
      <c r="N16" s="37">
        <f>IF(compute_ManualOverrideHybrid="No", COUNTIFS(Hybrid!B$5:B$14987,Definition!C14,Hybrid!D$5:D$14987,Definition!H$3), Hybrid!K17)</f>
        <v>0</v>
      </c>
      <c r="O16" s="37">
        <f>IF(compute_ManualOverrideHybrid="No", COUNTIFS(Hybrid!B$5:B$14987,Definition!C14,Hybrid!D$5:D$14987,Definition!I$3), Hybrid!L17)</f>
        <v>0</v>
      </c>
      <c r="P16" s="37">
        <f>Definition!K16*Definition!E14</f>
        <v>0</v>
      </c>
      <c r="Q16" s="37">
        <f>Definition!L16*Definition!F14</f>
        <v>0</v>
      </c>
      <c r="R16" s="37">
        <f>Definition!M16*Definition!G14</f>
        <v>0</v>
      </c>
      <c r="S16" s="37">
        <f>Definition!N16*Definition!H14</f>
        <v>0</v>
      </c>
      <c r="T16" s="37">
        <f>Definition!O16*Definition!I14</f>
        <v>0</v>
      </c>
      <c r="U16" s="183">
        <f>SUM(P16:T16)</f>
        <v>0</v>
      </c>
      <c r="V16" s="183">
        <f>(Definition!K16*Definition!E$14+Definition!L16*Definition!F$14+Definition!M16*Definition!G$14+Definition!N16*Definition!H$14+Definition!O16*Definition!I$14)</f>
        <v>0</v>
      </c>
      <c r="W16" s="198" t="s">
        <v>287</v>
      </c>
      <c r="X16" s="51">
        <f>IF(Hybrid!H5=1,Definition!C81*Hybrid!I5,0)</f>
        <v>32</v>
      </c>
      <c r="AA16" s="430"/>
      <c r="AB16" s="245" t="s">
        <v>85</v>
      </c>
      <c r="AC16" s="242">
        <v>16</v>
      </c>
      <c r="AD16" s="39">
        <v>2</v>
      </c>
      <c r="AE16" s="39">
        <v>1.5</v>
      </c>
      <c r="AF16" s="39">
        <v>1</v>
      </c>
      <c r="AG16" s="39">
        <v>0.5</v>
      </c>
      <c r="AH16" s="39">
        <v>0.2</v>
      </c>
      <c r="AI16" s="243">
        <f t="shared" si="1"/>
        <v>32</v>
      </c>
      <c r="AJ16" s="243">
        <f t="shared" si="2"/>
        <v>24</v>
      </c>
      <c r="AK16" s="243">
        <f t="shared" si="3"/>
        <v>16</v>
      </c>
      <c r="AL16" s="243">
        <f t="shared" si="4"/>
        <v>8</v>
      </c>
      <c r="AM16" s="243">
        <f t="shared" si="5"/>
        <v>3.2</v>
      </c>
    </row>
    <row r="17" spans="2:39">
      <c r="B17" s="415" t="s">
        <v>164</v>
      </c>
      <c r="C17" s="36" t="s">
        <v>165</v>
      </c>
      <c r="D17" s="66">
        <v>1.5</v>
      </c>
      <c r="E17" s="249">
        <v>0</v>
      </c>
      <c r="F17" s="249">
        <v>2</v>
      </c>
      <c r="G17" s="249">
        <v>1.5</v>
      </c>
      <c r="H17" s="249">
        <v>1</v>
      </c>
      <c r="I17" s="249">
        <v>0.5</v>
      </c>
      <c r="J17" s="190"/>
      <c r="K17" s="37">
        <f>IF(compute_ManualOverrideHybrid="No", COUNTIFS(Hybrid!B$5:B$14987,Definition!C15,Hybrid!D$5:D$14987,Definition!E$3), Hybrid!H18)</f>
        <v>0</v>
      </c>
      <c r="L17" s="183">
        <f>IF(compute_ManualOverrideHybrid="No", COUNTIFS(Hybrid!B$5:B$14987,Definition!C15,Hybrid!D$5:D$14987,Definition!F$3), Hybrid!I18)</f>
        <v>0</v>
      </c>
      <c r="M17" s="183">
        <f>IF(compute_ManualOverrideHybrid="No", COUNTIFS(Hybrid!B$5:B$14987,Definition!C15,Hybrid!D$5:D$14987,Definition!G$3), Hybrid!J18)</f>
        <v>0</v>
      </c>
      <c r="N17" s="37">
        <f>IF(compute_ManualOverrideHybrid="No", COUNTIFS(Hybrid!B$5:B$14987,Definition!C15,Hybrid!D$5:D$14987,Definition!H$3), Hybrid!K18)</f>
        <v>0</v>
      </c>
      <c r="O17" s="37">
        <f>IF(compute_ManualOverrideHybrid="No", COUNTIFS(Hybrid!B$5:B$14987,Definition!C15,Hybrid!D$5:D$14987,Definition!I$3), Hybrid!L18)</f>
        <v>0</v>
      </c>
      <c r="P17" s="37">
        <f>Definition!K17*Definition!E15</f>
        <v>0</v>
      </c>
      <c r="Q17" s="37">
        <f>Definition!L17*Definition!F15</f>
        <v>0</v>
      </c>
      <c r="R17" s="37">
        <f>Definition!M17*Definition!G15</f>
        <v>0</v>
      </c>
      <c r="S17" s="37">
        <f>Definition!N17*Definition!H15</f>
        <v>0</v>
      </c>
      <c r="T17" s="37">
        <f>Definition!O17*Definition!I15</f>
        <v>0</v>
      </c>
      <c r="U17" s="183">
        <f t="shared" ref="U17:U18" si="7">SUM(P17:T17)</f>
        <v>0</v>
      </c>
      <c r="V17" s="183">
        <f>(Definition!K17*Definition!E$15+Definition!L17*Definition!F$15+Definition!M17*Definition!G$15+Definition!N17*Definition!H$15+Definition!O17*Definition!I$15)</f>
        <v>0</v>
      </c>
      <c r="W17" s="153" t="s">
        <v>276</v>
      </c>
      <c r="X17" s="37">
        <f>SUM(V16:V18)</f>
        <v>0</v>
      </c>
      <c r="AA17" s="431"/>
      <c r="AB17" s="245" t="s">
        <v>86</v>
      </c>
      <c r="AC17" s="242">
        <v>8</v>
      </c>
      <c r="AD17" s="39">
        <v>3</v>
      </c>
      <c r="AE17" s="39">
        <v>2</v>
      </c>
      <c r="AF17" s="39">
        <v>1.2</v>
      </c>
      <c r="AG17" s="39">
        <v>0.8</v>
      </c>
      <c r="AH17" s="39">
        <v>0.4</v>
      </c>
      <c r="AI17" s="243">
        <f t="shared" si="1"/>
        <v>24</v>
      </c>
      <c r="AJ17" s="243">
        <f t="shared" si="2"/>
        <v>16</v>
      </c>
      <c r="AK17" s="243">
        <f t="shared" si="3"/>
        <v>9.6</v>
      </c>
      <c r="AL17" s="243">
        <f t="shared" si="4"/>
        <v>6.4</v>
      </c>
      <c r="AM17" s="243">
        <f t="shared" si="5"/>
        <v>3.2</v>
      </c>
    </row>
    <row r="18" spans="2:39">
      <c r="B18" s="415"/>
      <c r="C18" s="36" t="s">
        <v>166</v>
      </c>
      <c r="D18" s="66">
        <v>20</v>
      </c>
      <c r="E18" s="249">
        <v>0</v>
      </c>
      <c r="F18" s="249">
        <v>24</v>
      </c>
      <c r="G18" s="249">
        <v>20</v>
      </c>
      <c r="H18" s="249">
        <v>8</v>
      </c>
      <c r="I18" s="249">
        <v>4</v>
      </c>
      <c r="J18" s="190"/>
      <c r="K18" s="37">
        <f>IF(compute_ManualOverrideHybrid="No", COUNTIFS(Hybrid!B$5:B$14987,Definition!C16,Hybrid!D$5:D$14987,Definition!E$3), Hybrid!H19)</f>
        <v>0</v>
      </c>
      <c r="L18" s="183">
        <f>IF(compute_ManualOverrideHybrid="No", COUNTIFS(Hybrid!B$5:B$14987,Definition!C16,Hybrid!D$5:D$14987,Definition!F$3), Hybrid!I19)</f>
        <v>0</v>
      </c>
      <c r="M18" s="183">
        <f>IF(compute_ManualOverrideHybrid="No", COUNTIFS(Hybrid!B$5:B$14987,Definition!C16,Hybrid!D$5:D$14987,Definition!G$3), Hybrid!J19)</f>
        <v>0</v>
      </c>
      <c r="N18" s="37">
        <f>IF(compute_ManualOverrideHybrid="No", COUNTIFS(Hybrid!B$5:B$14987,Definition!C16,Hybrid!D$5:D$14987,Definition!H$3), Hybrid!K19)</f>
        <v>0</v>
      </c>
      <c r="O18" s="37">
        <f>IF(compute_ManualOverrideHybrid="No", COUNTIFS(Hybrid!B$5:B$14987,Definition!C16,Hybrid!D$5:D$14987,Definition!I$3), Hybrid!L19)</f>
        <v>0</v>
      </c>
      <c r="P18" s="37">
        <f>Definition!K18*Definition!E16</f>
        <v>0</v>
      </c>
      <c r="Q18" s="37">
        <f>Definition!L18*Definition!F16</f>
        <v>0</v>
      </c>
      <c r="R18" s="37">
        <f>Definition!M18*Definition!G16</f>
        <v>0</v>
      </c>
      <c r="S18" s="37">
        <f>Definition!N18*Definition!H16</f>
        <v>0</v>
      </c>
      <c r="T18" s="37">
        <f>Definition!O18*Definition!I16</f>
        <v>0</v>
      </c>
      <c r="U18" s="183">
        <f t="shared" si="7"/>
        <v>0</v>
      </c>
      <c r="V18" s="183">
        <f>(Definition!K18*Definition!E$16+Definition!L18*Definition!F$16+Definition!M18*Definition!G$16+Definition!N18*Definition!H$16+Definition!O18*Definition!I$16)</f>
        <v>0</v>
      </c>
      <c r="X18" s="216">
        <f>SUM(X15:X17)</f>
        <v>80</v>
      </c>
      <c r="AA18" s="429" t="s">
        <v>164</v>
      </c>
      <c r="AB18" s="244" t="s">
        <v>165</v>
      </c>
      <c r="AC18" s="242">
        <v>1.5</v>
      </c>
      <c r="AD18" s="39">
        <v>0</v>
      </c>
      <c r="AE18" s="39">
        <v>1.45</v>
      </c>
      <c r="AF18" s="39">
        <v>0.91</v>
      </c>
      <c r="AG18" s="39">
        <v>0.46</v>
      </c>
      <c r="AH18" s="39">
        <v>0.2</v>
      </c>
      <c r="AI18" s="243">
        <f t="shared" si="1"/>
        <v>0</v>
      </c>
      <c r="AJ18" s="243">
        <f t="shared" si="2"/>
        <v>2.1749999999999998</v>
      </c>
      <c r="AK18" s="243">
        <f t="shared" si="3"/>
        <v>1.365</v>
      </c>
      <c r="AL18" s="243">
        <f t="shared" si="4"/>
        <v>0.69000000000000006</v>
      </c>
      <c r="AM18" s="243">
        <f t="shared" si="5"/>
        <v>0.30000000000000004</v>
      </c>
    </row>
    <row r="19" spans="2:39">
      <c r="C19" s="7"/>
      <c r="D19" s="7"/>
      <c r="E19" s="190"/>
      <c r="H19" s="190"/>
      <c r="I19" s="189"/>
      <c r="J19" s="189"/>
      <c r="M19" s="44"/>
      <c r="O19" s="3"/>
      <c r="R19" s="44"/>
      <c r="S19" s="44"/>
      <c r="T19" s="413" t="s">
        <v>208</v>
      </c>
      <c r="U19" s="414"/>
      <c r="V19" s="109">
        <f>IF(compute_ManualOverrideMigration="No", SUM(Definition!U$21:V$21), Definition!X20)</f>
        <v>3432.5</v>
      </c>
      <c r="AA19" s="431"/>
      <c r="AB19" s="244" t="s">
        <v>166</v>
      </c>
      <c r="AC19" s="242">
        <v>19.7</v>
      </c>
      <c r="AD19" s="39">
        <v>0</v>
      </c>
      <c r="AE19" s="39">
        <v>1.21</v>
      </c>
      <c r="AF19" s="39">
        <v>0.7</v>
      </c>
      <c r="AG19" s="39">
        <v>0.35</v>
      </c>
      <c r="AH19" s="39">
        <v>0.2</v>
      </c>
      <c r="AI19" s="243">
        <f t="shared" si="1"/>
        <v>0</v>
      </c>
      <c r="AJ19" s="243">
        <f t="shared" si="2"/>
        <v>23.837</v>
      </c>
      <c r="AK19" s="243">
        <f t="shared" si="3"/>
        <v>13.79</v>
      </c>
      <c r="AL19" s="243">
        <f t="shared" si="4"/>
        <v>6.8949999999999996</v>
      </c>
      <c r="AM19" s="243">
        <f t="shared" si="5"/>
        <v>3.94</v>
      </c>
    </row>
    <row r="20" spans="2:39">
      <c r="E20" s="3"/>
      <c r="F20" s="190"/>
      <c r="G20" s="190"/>
      <c r="H20" s="190"/>
      <c r="I20" s="189"/>
      <c r="J20" s="189"/>
      <c r="M20" s="44"/>
      <c r="N20" s="3"/>
      <c r="O20" s="3"/>
      <c r="R20" s="44"/>
      <c r="S20" s="44"/>
      <c r="T20" s="183">
        <f>IF(compute_ManualOverrideMigration="No", COUNTA(Migration!B$5:B$14974), SUM(Migration!R$14:R$15))</f>
        <v>25</v>
      </c>
      <c r="U20" s="183">
        <f>IF(compute_ManualOverrideMigration="No", COUNTIF(Migration!M$5:M$14974, 1), Migration!R$14)</f>
        <v>1</v>
      </c>
      <c r="V20" s="37">
        <f>IF(compute_ManualOverrideMigration="No", COUNTIF(Migration!N$5:N$14974, 1), Migration!R$15)</f>
        <v>2</v>
      </c>
      <c r="W20" s="153" t="s">
        <v>277</v>
      </c>
      <c r="X20" s="37">
        <f>Migration!R$14*Migration!R$16*(Migration!R$17*Definition!H$17+Migration!R$18*Definition!G$17+Migration!R$19*Definition!F$17)+Migration!R$15*Migration!R$16*(Migration!R$17*Definition!H$18+Migration!R$18*Definition!G$18+Migration!R$19*Definition!F$18)</f>
        <v>1950</v>
      </c>
    </row>
    <row r="21" spans="2:39" ht="12.75" customHeight="1">
      <c r="B21" s="40" t="s">
        <v>127</v>
      </c>
      <c r="C21" s="188">
        <v>0</v>
      </c>
      <c r="D21" s="188">
        <v>1</v>
      </c>
      <c r="F21" s="418" t="s">
        <v>70</v>
      </c>
      <c r="G21" s="419"/>
      <c r="H21" s="420"/>
      <c r="I21" s="123" t="s">
        <v>25</v>
      </c>
      <c r="K21" s="421" t="s">
        <v>148</v>
      </c>
      <c r="L21" s="421"/>
      <c r="M21" s="421"/>
      <c r="N21" s="421"/>
      <c r="O21" s="123" t="s">
        <v>153</v>
      </c>
      <c r="R21" s="44"/>
      <c r="S21" s="44"/>
      <c r="T21" s="37">
        <f>IF(compute_ManualOverrideMigration="No", IF(Migration!R3="Percentage", SUM(Migration!D$5:D$14974), SUM(Migration!H$5:J$14974)), Migration!R$16)</f>
        <v>2466</v>
      </c>
      <c r="U21" s="37">
        <f>IF(compute_ManualOverrideMigration="No", SUM(Migration!K$5:K$14974), Migration!R$14*Migration!R$16*(Migration!R$17*Definition!H$17+Migration!R$18*Definition!G$17+Migration!R$19*Definition!F$17))</f>
        <v>152.5</v>
      </c>
      <c r="V21" s="37">
        <f>IF(compute_ManualOverrideMigration="No", SUM(Migration!L$5:L$14974), Migration!R$15*Migration!R$16*(Migration!R$17*Definition!H$18+Migration!R$18*Definition!G$18+Migration!R$19*Definition!F$18))</f>
        <v>3280</v>
      </c>
    </row>
    <row r="22" spans="2:39" ht="12.75" customHeight="1">
      <c r="B22" s="40" t="s">
        <v>31</v>
      </c>
      <c r="C22" s="188" t="s">
        <v>32</v>
      </c>
      <c r="D22" s="188" t="s">
        <v>33</v>
      </c>
      <c r="F22" s="121" t="s">
        <v>21</v>
      </c>
      <c r="G22" s="416" t="s">
        <v>201</v>
      </c>
      <c r="H22" s="417"/>
      <c r="I22" s="39">
        <v>0.2</v>
      </c>
      <c r="K22" s="115">
        <v>10</v>
      </c>
      <c r="L22" s="425" t="s">
        <v>200</v>
      </c>
      <c r="M22" s="425"/>
      <c r="N22" s="425"/>
      <c r="O22" s="114">
        <v>6.5000000000000002E-2</v>
      </c>
    </row>
    <row r="23" spans="2:39">
      <c r="B23" s="40" t="s">
        <v>322</v>
      </c>
      <c r="C23" s="188" t="s">
        <v>323</v>
      </c>
      <c r="D23" s="188" t="s">
        <v>199</v>
      </c>
      <c r="F23" s="121" t="s">
        <v>0</v>
      </c>
      <c r="G23" s="416" t="s">
        <v>202</v>
      </c>
      <c r="H23" s="417"/>
      <c r="I23" s="39">
        <v>0.5</v>
      </c>
      <c r="K23" s="115">
        <v>50</v>
      </c>
      <c r="L23" s="425" t="s">
        <v>151</v>
      </c>
      <c r="M23" s="425"/>
      <c r="N23" s="425"/>
      <c r="O23" s="114">
        <v>0.05</v>
      </c>
    </row>
    <row r="24" spans="2:39">
      <c r="B24" s="40" t="s">
        <v>319</v>
      </c>
      <c r="C24" s="209" t="s">
        <v>199</v>
      </c>
      <c r="F24" s="121" t="s">
        <v>22</v>
      </c>
      <c r="G24" s="416" t="s">
        <v>203</v>
      </c>
      <c r="H24" s="417"/>
      <c r="I24" s="39">
        <v>0.6</v>
      </c>
      <c r="K24" s="115">
        <v>51</v>
      </c>
      <c r="L24" s="425" t="s">
        <v>152</v>
      </c>
      <c r="M24" s="425"/>
      <c r="N24" s="425"/>
      <c r="O24" s="114">
        <v>0.04</v>
      </c>
    </row>
    <row r="25" spans="2:39">
      <c r="B25" s="36" t="s">
        <v>320</v>
      </c>
      <c r="C25" s="208" t="s">
        <v>9</v>
      </c>
      <c r="F25" s="210"/>
      <c r="G25" s="211"/>
      <c r="H25" s="211"/>
      <c r="I25" s="190"/>
      <c r="K25" s="212"/>
      <c r="L25" s="211"/>
      <c r="M25" s="211"/>
      <c r="N25" s="211"/>
      <c r="O25" s="213"/>
    </row>
    <row r="27" spans="2:39" ht="12.75" customHeight="1">
      <c r="M27" s="410" t="s">
        <v>2</v>
      </c>
      <c r="N27" s="411"/>
      <c r="O27" s="411"/>
      <c r="P27" s="411"/>
      <c r="Q27" s="412"/>
      <c r="R27" s="410" t="s">
        <v>290</v>
      </c>
      <c r="S27" s="411"/>
      <c r="T27" s="411"/>
      <c r="U27" s="411"/>
      <c r="V27" s="412"/>
      <c r="W27" s="432" t="s">
        <v>27</v>
      </c>
      <c r="X27" s="433"/>
    </row>
    <row r="28" spans="2:39" ht="12.75" customHeight="1">
      <c r="B28" s="193" t="s">
        <v>117</v>
      </c>
      <c r="C28" s="194"/>
      <c r="E28" s="205" t="s">
        <v>484</v>
      </c>
      <c r="F28" s="209" t="s">
        <v>10</v>
      </c>
      <c r="G28" s="209" t="s">
        <v>55</v>
      </c>
      <c r="H28" s="209" t="s">
        <v>83</v>
      </c>
      <c r="I28" s="209" t="s">
        <v>27</v>
      </c>
      <c r="L28" s="195"/>
      <c r="M28" s="195" t="s">
        <v>265</v>
      </c>
      <c r="N28" s="195" t="s">
        <v>96</v>
      </c>
      <c r="O28" s="195" t="s">
        <v>95</v>
      </c>
      <c r="P28" s="195" t="s">
        <v>94</v>
      </c>
      <c r="Q28" s="195" t="s">
        <v>268</v>
      </c>
      <c r="R28" s="195" t="s">
        <v>265</v>
      </c>
      <c r="S28" s="195" t="s">
        <v>96</v>
      </c>
      <c r="T28" s="195" t="s">
        <v>95</v>
      </c>
      <c r="U28" s="195" t="s">
        <v>94</v>
      </c>
      <c r="V28" s="195" t="s">
        <v>268</v>
      </c>
      <c r="W28" s="195" t="s">
        <v>293</v>
      </c>
      <c r="X28" s="195" t="s">
        <v>294</v>
      </c>
      <c r="Z28" s="255" t="s">
        <v>396</v>
      </c>
      <c r="AA28" s="37">
        <f>COUNTIF(W29:W178,"&gt;0")</f>
        <v>1</v>
      </c>
    </row>
    <row r="29" spans="2:39" ht="12.75" customHeight="1">
      <c r="B29" s="77" t="s">
        <v>129</v>
      </c>
      <c r="C29" s="138" t="s">
        <v>273</v>
      </c>
      <c r="E29" s="281" t="s">
        <v>331</v>
      </c>
      <c r="F29" s="208">
        <f t="shared" ref="F29:F60" si="8">IF(compute_UI=1, SUM(X29,X79,X129), 0)</f>
        <v>8</v>
      </c>
      <c r="G29" s="208">
        <f t="shared" ref="G29:G60" si="9">IF(compute_SPA=1, SUM(X179,X229,X279,X329,X379,X429), 0)</f>
        <v>0</v>
      </c>
      <c r="H29" s="208">
        <f t="shared" ref="H29:H60" si="10">IF(compute_Hybrid=1, SUM(X479,X529,X579), 0)</f>
        <v>0</v>
      </c>
      <c r="I29" s="208">
        <f>SUM(F29:H29)</f>
        <v>8</v>
      </c>
      <c r="L29" s="426" t="str">
        <f>C4</f>
        <v>Templates</v>
      </c>
      <c r="M29" s="68">
        <f>IF(compute_ManualOverrideUI="No", COUNTIFS(UI!E$5:E$14974,UCDEffortSpread!D5, UI!B$5:B$14974,Definition!C$4,UI!D$5:D$14974,Definition!E$3), UI!H$15)</f>
        <v>0</v>
      </c>
      <c r="N29" s="68">
        <f>IF(compute_ManualOverrideUI="No", COUNTIFS(UI!E$5:E$14974,UCDEffortSpread!D5, UI!B$5:B$14974,Definition!C$4,UI!D$5:D$14974,Definition!F$3), UI!I$15)</f>
        <v>0</v>
      </c>
      <c r="O29" s="68">
        <f>IF(compute_ManualOverrideUI="No", COUNTIFS(UI!E$5:E$14974,UCDEffortSpread!D5, UI!B$5:B$14974,Definition!C$4,UI!D$5:D$14974,Definition!G$3),UI!J$15)</f>
        <v>0</v>
      </c>
      <c r="P29" s="68">
        <f>IF(compute_ManualOverrideUI="No", COUNTIFS(UI!E$5:E$14974,UCDEffortSpread!D5, UI!B$5:B$14974,Definition!C$4,UI!D$5:D$14974,Definition!H$3),UI!K$15)</f>
        <v>0</v>
      </c>
      <c r="Q29" s="200">
        <f>IF(compute_ManualOverrideUI="No", COUNTIFS(UI!E$5:E$14974,UCDEffortSpread!D5, UI!B$5:B$14974,Definition!C$4,UI!D$5:D$14974,Definition!I$3),UI!L$15)</f>
        <v>0</v>
      </c>
      <c r="R29" s="202">
        <f>(Definition!M29*Definition!E$4)</f>
        <v>0</v>
      </c>
      <c r="S29" s="202">
        <f>(Definition!N29*Definition!F$4)</f>
        <v>0</v>
      </c>
      <c r="T29" s="202">
        <f>(Definition!O29*Definition!G$4)</f>
        <v>0</v>
      </c>
      <c r="U29" s="202">
        <f>(Definition!P29*Definition!H$4)</f>
        <v>0</v>
      </c>
      <c r="V29" s="202">
        <f>(Definition!Q29*Definition!I$4)</f>
        <v>0</v>
      </c>
      <c r="W29" s="203">
        <f>SUM(R29:V29)</f>
        <v>0</v>
      </c>
      <c r="X29" s="206">
        <f>IF(W29&lt;&gt;0,SUM(R29:V29)+(effort_UI_PageEffort/AA$28),0)</f>
        <v>0</v>
      </c>
      <c r="Y29" s="3">
        <f>IF(W29&lt;&gt;0,SUM(R29:V29)+(effort_UI_PageEffort/AA$28),0)</f>
        <v>0</v>
      </c>
      <c r="Z29" s="255" t="s">
        <v>397</v>
      </c>
      <c r="AA29" s="37">
        <f>COUNTIF(W179:W478,"&gt;0")</f>
        <v>0</v>
      </c>
    </row>
    <row r="30" spans="2:39" ht="12.75" customHeight="1">
      <c r="B30" s="45" t="s">
        <v>69</v>
      </c>
      <c r="C30" s="127">
        <v>0.02</v>
      </c>
      <c r="E30" s="281" t="s">
        <v>332</v>
      </c>
      <c r="F30" s="208">
        <f t="shared" si="8"/>
        <v>0</v>
      </c>
      <c r="G30" s="208">
        <f t="shared" si="9"/>
        <v>0</v>
      </c>
      <c r="H30" s="208">
        <f t="shared" si="10"/>
        <v>0</v>
      </c>
      <c r="I30" s="208">
        <f>SUM(F30:H30)</f>
        <v>0</v>
      </c>
      <c r="L30" s="427"/>
      <c r="M30" s="68">
        <f>IF(compute_ManualOverrideUI="No", COUNTIFS(UI!E$5:E$14974,UCDEffortSpread!D6, UI!B$5:B$14974,Definition!C$4,UI!D$5:D$14974,Definition!E$3), 0)</f>
        <v>0</v>
      </c>
      <c r="N30" s="68">
        <f>IF(compute_ManualOverrideUI="No", COUNTIFS(UI!E$5:E$14974,UCDEffortSpread!D6, UI!B$5:B$14974,Definition!C$4,UI!D$5:D$14974,Definition!F$3), 0)</f>
        <v>0</v>
      </c>
      <c r="O30" s="68">
        <f>IF(compute_ManualOverrideUI="No", COUNTIFS(UI!E$5:E$14974,UCDEffortSpread!D6, UI!B$5:B$14974,Definition!C$4,UI!D$5:D$14974,Definition!G$3),0)</f>
        <v>0</v>
      </c>
      <c r="P30" s="68">
        <f>IF(compute_ManualOverrideUI="No", COUNTIFS(UI!E$5:E$14974,UCDEffortSpread!D6, UI!B$5:B$14974,Definition!C$4,UI!D$5:D$14974,Definition!H$3),0)</f>
        <v>0</v>
      </c>
      <c r="Q30" s="200">
        <f>IF(compute_ManualOverrideUI="No", COUNTIFS(UI!E$5:E$14974,UCDEffortSpread!D6, UI!B$5:B$14974,Definition!C$4,UI!D$5:D$14974,Definition!I$3),0)</f>
        <v>0</v>
      </c>
      <c r="R30" s="202">
        <f>(Definition!M30*Definition!E$4)</f>
        <v>0</v>
      </c>
      <c r="S30" s="202">
        <f>(Definition!N30*Definition!F$4)</f>
        <v>0</v>
      </c>
      <c r="T30" s="202">
        <f>(Definition!O30*Definition!G$4)</f>
        <v>0</v>
      </c>
      <c r="U30" s="202">
        <f>(Definition!P30*Definition!H$4)</f>
        <v>0</v>
      </c>
      <c r="V30" s="202">
        <f>(Definition!Q30*Definition!I$4)</f>
        <v>0</v>
      </c>
      <c r="W30" s="203">
        <f t="shared" ref="W30:W43" si="11">SUM(R30:V30)</f>
        <v>0</v>
      </c>
      <c r="X30" s="206">
        <f t="shared" ref="X30:X92" si="12">IF(W30&lt;&gt;0,SUM(R30:V30)+(effort_UI_PageEffort/AA$28),0)</f>
        <v>0</v>
      </c>
      <c r="Z30" s="255" t="s">
        <v>398</v>
      </c>
      <c r="AA30" s="37">
        <f>COUNTIF(W479:W628,"&gt;0")</f>
        <v>0</v>
      </c>
    </row>
    <row r="31" spans="2:39" ht="12.75" customHeight="1">
      <c r="B31" s="45" t="s">
        <v>18</v>
      </c>
      <c r="C31" s="127">
        <v>0.02</v>
      </c>
      <c r="E31" s="281" t="s">
        <v>333</v>
      </c>
      <c r="F31" s="208">
        <f t="shared" si="8"/>
        <v>0</v>
      </c>
      <c r="G31" s="208">
        <f t="shared" si="9"/>
        <v>0</v>
      </c>
      <c r="H31" s="208">
        <f t="shared" si="10"/>
        <v>0</v>
      </c>
      <c r="I31" s="208">
        <f t="shared" ref="I31:I43" si="13">SUM(F31:H31)</f>
        <v>0</v>
      </c>
      <c r="L31" s="427"/>
      <c r="M31" s="68">
        <f>IF(compute_ManualOverrideUI="No", COUNTIFS(UI!E$5:E$14974,UCDEffortSpread!D7, UI!B$5:B$14974,Definition!C$4,UI!D$5:D$14974,Definition!E$3), 0)</f>
        <v>0</v>
      </c>
      <c r="N31" s="68">
        <f>IF(compute_ManualOverrideUI="No", COUNTIFS(UI!E$5:E$14974,UCDEffortSpread!D7, UI!B$5:B$14974,Definition!C$4,UI!D$5:D$14974,Definition!F$3), 0)</f>
        <v>0</v>
      </c>
      <c r="O31" s="68">
        <f>IF(compute_ManualOverrideUI="No", COUNTIFS(UI!E$5:E$14974,UCDEffortSpread!D7, UI!B$5:B$14974,Definition!C$4,UI!D$5:D$14974,Definition!G$3),0)</f>
        <v>0</v>
      </c>
      <c r="P31" s="68">
        <f>IF(compute_ManualOverrideUI="No", COUNTIFS(UI!E$5:E$14974,UCDEffortSpread!D7, UI!B$5:B$14974,Definition!C$4,UI!D$5:D$14974,Definition!H$3),0)</f>
        <v>0</v>
      </c>
      <c r="Q31" s="200">
        <f>IF(compute_ManualOverrideUI="No", COUNTIFS(UI!E$5:E$14974,UCDEffortSpread!D7, UI!B$5:B$14974,Definition!C$4,UI!D$5:D$14974,Definition!I$3),0)</f>
        <v>0</v>
      </c>
      <c r="R31" s="202">
        <f>(Definition!M31*Definition!E$4)</f>
        <v>0</v>
      </c>
      <c r="S31" s="202">
        <f>(Definition!N31*Definition!F$4)</f>
        <v>0</v>
      </c>
      <c r="T31" s="202">
        <f>(Definition!O31*Definition!G$4)</f>
        <v>0</v>
      </c>
      <c r="U31" s="202">
        <f>(Definition!P31*Definition!H$4)</f>
        <v>0</v>
      </c>
      <c r="V31" s="202">
        <f>(Definition!Q31*Definition!I$4)</f>
        <v>0</v>
      </c>
      <c r="W31" s="203">
        <f t="shared" si="11"/>
        <v>0</v>
      </c>
      <c r="X31" s="206">
        <f t="shared" si="12"/>
        <v>0</v>
      </c>
    </row>
    <row r="32" spans="2:39" ht="12.75" customHeight="1">
      <c r="B32" s="45" t="s">
        <v>8</v>
      </c>
      <c r="C32" s="127">
        <v>0.02</v>
      </c>
      <c r="E32" s="281" t="s">
        <v>334</v>
      </c>
      <c r="F32" s="208">
        <f t="shared" si="8"/>
        <v>0</v>
      </c>
      <c r="G32" s="208">
        <f t="shared" si="9"/>
        <v>0</v>
      </c>
      <c r="H32" s="208">
        <f t="shared" si="10"/>
        <v>0</v>
      </c>
      <c r="I32" s="208">
        <f t="shared" si="13"/>
        <v>0</v>
      </c>
      <c r="L32" s="427"/>
      <c r="M32" s="68">
        <f>IF(compute_ManualOverrideUI="No", COUNTIFS(UI!E$5:E$14974,UCDEffortSpread!D8, UI!B$5:B$14974,Definition!C$4,UI!D$5:D$14974,Definition!E$3), 0)</f>
        <v>0</v>
      </c>
      <c r="N32" s="68">
        <f>IF(compute_ManualOverrideUI="No", COUNTIFS(UI!E$5:E$14974,UCDEffortSpread!D8, UI!B$5:B$14974,Definition!C$4,UI!D$5:D$14974,Definition!F$3), 0)</f>
        <v>0</v>
      </c>
      <c r="O32" s="68">
        <f>IF(compute_ManualOverrideUI="No", COUNTIFS(UI!E$5:E$14974,UCDEffortSpread!D8, UI!B$5:B$14974,Definition!C$4,UI!D$5:D$14974,Definition!G$3),0)</f>
        <v>0</v>
      </c>
      <c r="P32" s="68">
        <f>IF(compute_ManualOverrideUI="No", COUNTIFS(UI!E$5:E$14974,UCDEffortSpread!D8, UI!B$5:B$14974,Definition!C$4,UI!D$5:D$14974,Definition!H$3),0)</f>
        <v>0</v>
      </c>
      <c r="Q32" s="200">
        <f>IF(compute_ManualOverrideUI="No", COUNTIFS(UI!E$5:E$14974,UCDEffortSpread!D8, UI!B$5:B$14974,Definition!C$4,UI!D$5:D$14974,Definition!I$3),0)</f>
        <v>0</v>
      </c>
      <c r="R32" s="202">
        <f>(Definition!M32*Definition!E$4)</f>
        <v>0</v>
      </c>
      <c r="S32" s="202">
        <f>(Definition!N32*Definition!F$4)</f>
        <v>0</v>
      </c>
      <c r="T32" s="202">
        <f>(Definition!O32*Definition!G$4)</f>
        <v>0</v>
      </c>
      <c r="U32" s="202">
        <f>(Definition!P32*Definition!H$4)</f>
        <v>0</v>
      </c>
      <c r="V32" s="202">
        <f>(Definition!Q32*Definition!I$4)</f>
        <v>0</v>
      </c>
      <c r="W32" s="203">
        <f t="shared" si="11"/>
        <v>0</v>
      </c>
      <c r="X32" s="206">
        <f t="shared" si="12"/>
        <v>0</v>
      </c>
    </row>
    <row r="33" spans="2:24" ht="12.75" customHeight="1">
      <c r="B33" s="45" t="s">
        <v>19</v>
      </c>
      <c r="C33" s="127">
        <v>0.02</v>
      </c>
      <c r="E33" s="281" t="s">
        <v>335</v>
      </c>
      <c r="F33" s="208">
        <f t="shared" si="8"/>
        <v>0</v>
      </c>
      <c r="G33" s="208">
        <f t="shared" si="9"/>
        <v>0</v>
      </c>
      <c r="H33" s="208">
        <f t="shared" si="10"/>
        <v>0</v>
      </c>
      <c r="I33" s="208">
        <f t="shared" si="13"/>
        <v>0</v>
      </c>
      <c r="L33" s="427"/>
      <c r="M33" s="68">
        <f>IF(compute_ManualOverrideUI="No", COUNTIFS(UI!E$5:E$14974,UCDEffortSpread!D9, UI!B$5:B$14974,Definition!C$4,UI!D$5:D$14974,Definition!E$3), 0)</f>
        <v>0</v>
      </c>
      <c r="N33" s="68">
        <f>IF(compute_ManualOverrideUI="No", COUNTIFS(UI!E$5:E$14974,UCDEffortSpread!D9, UI!B$5:B$14974,Definition!C$4,UI!D$5:D$14974,Definition!F$3), 0)</f>
        <v>0</v>
      </c>
      <c r="O33" s="68">
        <f>IF(compute_ManualOverrideUI="No", COUNTIFS(UI!E$5:E$14974,UCDEffortSpread!D9, UI!B$5:B$14974,Definition!C$4,UI!D$5:D$14974,Definition!G$3),0)</f>
        <v>0</v>
      </c>
      <c r="P33" s="68">
        <f>IF(compute_ManualOverrideUI="No", COUNTIFS(UI!E$5:E$14974,UCDEffortSpread!D9, UI!B$5:B$14974,Definition!C$4,UI!D$5:D$14974,Definition!H$3),0)</f>
        <v>0</v>
      </c>
      <c r="Q33" s="200">
        <f>IF(compute_ManualOverrideUI="No", COUNTIFS(UI!E$5:E$14974,UCDEffortSpread!D9, UI!B$5:B$14974,Definition!C$4,UI!D$5:D$14974,Definition!I$3),0)</f>
        <v>0</v>
      </c>
      <c r="R33" s="202">
        <f>(Definition!M33*Definition!E$4)</f>
        <v>0</v>
      </c>
      <c r="S33" s="202">
        <f>(Definition!N33*Definition!F$4)</f>
        <v>0</v>
      </c>
      <c r="T33" s="202">
        <f>(Definition!O33*Definition!G$4)</f>
        <v>0</v>
      </c>
      <c r="U33" s="202">
        <f>(Definition!P33*Definition!H$4)</f>
        <v>0</v>
      </c>
      <c r="V33" s="202">
        <f>(Definition!Q33*Definition!I$4)</f>
        <v>0</v>
      </c>
      <c r="W33" s="203">
        <f t="shared" si="11"/>
        <v>0</v>
      </c>
      <c r="X33" s="206">
        <f t="shared" si="12"/>
        <v>0</v>
      </c>
    </row>
    <row r="34" spans="2:24">
      <c r="B34" s="45" t="s">
        <v>20</v>
      </c>
      <c r="C34" s="127">
        <v>0.02</v>
      </c>
      <c r="E34" s="281" t="s">
        <v>336</v>
      </c>
      <c r="F34" s="208">
        <f t="shared" si="8"/>
        <v>0</v>
      </c>
      <c r="G34" s="208">
        <f t="shared" si="9"/>
        <v>0</v>
      </c>
      <c r="H34" s="208">
        <f t="shared" si="10"/>
        <v>0</v>
      </c>
      <c r="I34" s="208">
        <f t="shared" si="13"/>
        <v>0</v>
      </c>
      <c r="L34" s="427"/>
      <c r="M34" s="68">
        <f>IF(compute_ManualOverrideUI="No", COUNTIFS(UI!E$5:E$14974,UCDEffortSpread!D10, UI!B$5:B$14974,Definition!C$4,UI!D$5:D$14974,Definition!E$3), 0)</f>
        <v>0</v>
      </c>
      <c r="N34" s="68">
        <f>IF(compute_ManualOverrideUI="No", COUNTIFS(UI!E$5:E$14974,UCDEffortSpread!D10, UI!B$5:B$14974,Definition!C$4,UI!D$5:D$14974,Definition!F$3), 0)</f>
        <v>0</v>
      </c>
      <c r="O34" s="68">
        <f>IF(compute_ManualOverrideUI="No", COUNTIFS(UI!E$5:E$14974,UCDEffortSpread!D10, UI!B$5:B$14974,Definition!C$4,UI!D$5:D$14974,Definition!G$3),0)</f>
        <v>0</v>
      </c>
      <c r="P34" s="68">
        <f>IF(compute_ManualOverrideUI="No", COUNTIFS(UI!E$5:E$14974,UCDEffortSpread!D10, UI!B$5:B$14974,Definition!C$4,UI!D$5:D$14974,Definition!H$3),0)</f>
        <v>0</v>
      </c>
      <c r="Q34" s="200">
        <f>IF(compute_ManualOverrideUI="No", COUNTIFS(UI!E$5:E$14974,UCDEffortSpread!D10, UI!B$5:B$14974,Definition!C$4,UI!D$5:D$14974,Definition!I$3),0)</f>
        <v>0</v>
      </c>
      <c r="R34" s="202">
        <f>(Definition!M34*Definition!E$4)</f>
        <v>0</v>
      </c>
      <c r="S34" s="202">
        <f>(Definition!N34*Definition!F$4)</f>
        <v>0</v>
      </c>
      <c r="T34" s="202">
        <f>(Definition!O34*Definition!G$4)</f>
        <v>0</v>
      </c>
      <c r="U34" s="202">
        <f>(Definition!P34*Definition!H$4)</f>
        <v>0</v>
      </c>
      <c r="V34" s="202">
        <f>(Definition!Q34*Definition!I$4)</f>
        <v>0</v>
      </c>
      <c r="W34" s="203">
        <f t="shared" si="11"/>
        <v>0</v>
      </c>
      <c r="X34" s="206">
        <f t="shared" si="12"/>
        <v>0</v>
      </c>
    </row>
    <row r="35" spans="2:24" ht="12.75" customHeight="1">
      <c r="B35" s="77" t="s">
        <v>130</v>
      </c>
      <c r="C35" s="138" t="s">
        <v>273</v>
      </c>
      <c r="E35" s="281" t="s">
        <v>337</v>
      </c>
      <c r="F35" s="208">
        <f t="shared" si="8"/>
        <v>0</v>
      </c>
      <c r="G35" s="208">
        <f t="shared" si="9"/>
        <v>0</v>
      </c>
      <c r="H35" s="208">
        <f t="shared" si="10"/>
        <v>0</v>
      </c>
      <c r="I35" s="208">
        <f t="shared" si="13"/>
        <v>0</v>
      </c>
      <c r="L35" s="427"/>
      <c r="M35" s="68">
        <f>IF(compute_ManualOverrideUI="No", COUNTIFS(UI!E$5:E$14974,UCDEffortSpread!D11, UI!B$5:B$14974,Definition!C$4,UI!D$5:D$14974,Definition!E$3), 0)</f>
        <v>0</v>
      </c>
      <c r="N35" s="68">
        <f>IF(compute_ManualOverrideUI="No", COUNTIFS(UI!E$5:E$14974,UCDEffortSpread!D11, UI!B$5:B$14974,Definition!C$4,UI!D$5:D$14974,Definition!F$3), 0)</f>
        <v>0</v>
      </c>
      <c r="O35" s="68">
        <f>IF(compute_ManualOverrideUI="No", COUNTIFS(UI!E$5:E$14974,UCDEffortSpread!D11, UI!B$5:B$14974,Definition!C$4,UI!D$5:D$14974,Definition!G$3),0)</f>
        <v>0</v>
      </c>
      <c r="P35" s="68">
        <f>IF(compute_ManualOverrideUI="No", COUNTIFS(UI!E$5:E$14974,UCDEffortSpread!D11, UI!B$5:B$14974,Definition!C$4,UI!D$5:D$14974,Definition!H$3),0)</f>
        <v>0</v>
      </c>
      <c r="Q35" s="200">
        <f>IF(compute_ManualOverrideUI="No", COUNTIFS(UI!E$5:E$14974,UCDEffortSpread!D11, UI!B$5:B$14974,Definition!C$4,UI!D$5:D$14974,Definition!I$3),0)</f>
        <v>0</v>
      </c>
      <c r="R35" s="202">
        <f>(Definition!M35*Definition!E$4)</f>
        <v>0</v>
      </c>
      <c r="S35" s="202">
        <f>(Definition!N35*Definition!F$4)</f>
        <v>0</v>
      </c>
      <c r="T35" s="202">
        <f>(Definition!O35*Definition!G$4)</f>
        <v>0</v>
      </c>
      <c r="U35" s="202">
        <f>(Definition!P35*Definition!H$4)</f>
        <v>0</v>
      </c>
      <c r="V35" s="202">
        <f>(Definition!Q35*Definition!I$4)</f>
        <v>0</v>
      </c>
      <c r="W35" s="203">
        <f t="shared" si="11"/>
        <v>0</v>
      </c>
      <c r="X35" s="206">
        <f t="shared" si="12"/>
        <v>0</v>
      </c>
    </row>
    <row r="36" spans="2:24" ht="12.75" customHeight="1">
      <c r="B36" s="43" t="s">
        <v>15</v>
      </c>
      <c r="C36" s="127">
        <v>0.02</v>
      </c>
      <c r="E36" s="281" t="s">
        <v>338</v>
      </c>
      <c r="F36" s="208">
        <f t="shared" si="8"/>
        <v>0</v>
      </c>
      <c r="G36" s="208">
        <f t="shared" si="9"/>
        <v>0</v>
      </c>
      <c r="H36" s="208">
        <f t="shared" si="10"/>
        <v>0</v>
      </c>
      <c r="I36" s="208">
        <f t="shared" si="13"/>
        <v>0</v>
      </c>
      <c r="L36" s="427"/>
      <c r="M36" s="68">
        <f>IF(compute_ManualOverrideUI="No", COUNTIFS(UI!E$5:E$14974,UCDEffortSpread!D12, UI!B$5:B$14974,Definition!C$4,UI!D$5:D$14974,Definition!E$3), 0)</f>
        <v>0</v>
      </c>
      <c r="N36" s="68">
        <f>IF(compute_ManualOverrideUI="No", COUNTIFS(UI!E$5:E$14974,UCDEffortSpread!D12, UI!B$5:B$14974,Definition!C$4,UI!D$5:D$14974,Definition!F$3), 0)</f>
        <v>0</v>
      </c>
      <c r="O36" s="68">
        <f>IF(compute_ManualOverrideUI="No", COUNTIFS(UI!E$5:E$14974,UCDEffortSpread!D12, UI!B$5:B$14974,Definition!C$4,UI!D$5:D$14974,Definition!G$3),0)</f>
        <v>0</v>
      </c>
      <c r="P36" s="68">
        <f>IF(compute_ManualOverrideUI="No", COUNTIFS(UI!E$5:E$14974,UCDEffortSpread!D12, UI!B$5:B$14974,Definition!C$4,UI!D$5:D$14974,Definition!H$3),0)</f>
        <v>0</v>
      </c>
      <c r="Q36" s="200">
        <f>IF(compute_ManualOverrideUI="No", COUNTIFS(UI!E$5:E$14974,UCDEffortSpread!D12, UI!B$5:B$14974,Definition!C$4,UI!D$5:D$14974,Definition!I$3),0)</f>
        <v>0</v>
      </c>
      <c r="R36" s="202">
        <f>(Definition!M36*Definition!E$4)</f>
        <v>0</v>
      </c>
      <c r="S36" s="202">
        <f>(Definition!N36*Definition!F$4)</f>
        <v>0</v>
      </c>
      <c r="T36" s="202">
        <f>(Definition!O36*Definition!G$4)</f>
        <v>0</v>
      </c>
      <c r="U36" s="202">
        <f>(Definition!P36*Definition!H$4)</f>
        <v>0</v>
      </c>
      <c r="V36" s="202">
        <f>(Definition!Q36*Definition!I$4)</f>
        <v>0</v>
      </c>
      <c r="W36" s="203">
        <f t="shared" si="11"/>
        <v>0</v>
      </c>
      <c r="X36" s="206">
        <f t="shared" si="12"/>
        <v>0</v>
      </c>
    </row>
    <row r="37" spans="2:24" ht="12.75" customHeight="1">
      <c r="B37" s="43" t="s">
        <v>16</v>
      </c>
      <c r="C37" s="127">
        <v>0.02</v>
      </c>
      <c r="E37" s="281" t="s">
        <v>339</v>
      </c>
      <c r="F37" s="208">
        <f t="shared" si="8"/>
        <v>0</v>
      </c>
      <c r="G37" s="208">
        <f t="shared" si="9"/>
        <v>0</v>
      </c>
      <c r="H37" s="208">
        <f t="shared" si="10"/>
        <v>0</v>
      </c>
      <c r="I37" s="208">
        <f t="shared" si="13"/>
        <v>0</v>
      </c>
      <c r="L37" s="427"/>
      <c r="M37" s="68">
        <f>IF(compute_ManualOverrideUI="No", COUNTIFS(UI!E$5:E$14974,UCDEffortSpread!D13, UI!B$5:B$14974,Definition!C$4,UI!D$5:D$14974,Definition!E$3), 0)</f>
        <v>0</v>
      </c>
      <c r="N37" s="68">
        <f>IF(compute_ManualOverrideUI="No", COUNTIFS(UI!E$5:E$14974,UCDEffortSpread!D13, UI!B$5:B$14974,Definition!C$4,UI!D$5:D$14974,Definition!F$3), 0)</f>
        <v>0</v>
      </c>
      <c r="O37" s="68">
        <f>IF(compute_ManualOverrideUI="No", COUNTIFS(UI!E$5:E$14974,UCDEffortSpread!D13, UI!B$5:B$14974,Definition!C$4,UI!D$5:D$14974,Definition!G$3),0)</f>
        <v>0</v>
      </c>
      <c r="P37" s="68">
        <f>IF(compute_ManualOverrideUI="No", COUNTIFS(UI!E$5:E$14974,UCDEffortSpread!D13, UI!B$5:B$14974,Definition!C$4,UI!D$5:D$14974,Definition!H$3),0)</f>
        <v>0</v>
      </c>
      <c r="Q37" s="200">
        <f>IF(compute_ManualOverrideUI="No", COUNTIFS(UI!E$5:E$14974,UCDEffortSpread!D13, UI!B$5:B$14974,Definition!C$4,UI!D$5:D$14974,Definition!I$3),0)</f>
        <v>0</v>
      </c>
      <c r="R37" s="202">
        <f>(Definition!M37*Definition!E$4)</f>
        <v>0</v>
      </c>
      <c r="S37" s="202">
        <f>(Definition!N37*Definition!F$4)</f>
        <v>0</v>
      </c>
      <c r="T37" s="202">
        <f>(Definition!O37*Definition!G$4)</f>
        <v>0</v>
      </c>
      <c r="U37" s="202">
        <f>(Definition!P37*Definition!H$4)</f>
        <v>0</v>
      </c>
      <c r="V37" s="202">
        <f>(Definition!Q37*Definition!I$4)</f>
        <v>0</v>
      </c>
      <c r="W37" s="203">
        <f t="shared" si="11"/>
        <v>0</v>
      </c>
      <c r="X37" s="206">
        <f t="shared" si="12"/>
        <v>0</v>
      </c>
    </row>
    <row r="38" spans="2:24" ht="12.75" customHeight="1">
      <c r="B38" s="43" t="s">
        <v>87</v>
      </c>
      <c r="C38" s="127">
        <v>0.02</v>
      </c>
      <c r="E38" s="281" t="s">
        <v>340</v>
      </c>
      <c r="F38" s="208">
        <f t="shared" si="8"/>
        <v>0</v>
      </c>
      <c r="G38" s="208">
        <f t="shared" si="9"/>
        <v>0</v>
      </c>
      <c r="H38" s="208">
        <f t="shared" si="10"/>
        <v>0</v>
      </c>
      <c r="I38" s="208">
        <f t="shared" si="13"/>
        <v>0</v>
      </c>
      <c r="L38" s="427"/>
      <c r="M38" s="68">
        <f>IF(compute_ManualOverrideUI="No", COUNTIFS(UI!E$5:E$14974,UCDEffortSpread!D14, UI!B$5:B$14974,Definition!C$4,UI!D$5:D$14974,Definition!E$3), 0)</f>
        <v>0</v>
      </c>
      <c r="N38" s="68">
        <f>IF(compute_ManualOverrideUI="No", COUNTIFS(UI!E$5:E$14974,UCDEffortSpread!D14, UI!B$5:B$14974,Definition!C$4,UI!D$5:D$14974,Definition!F$3), 0)</f>
        <v>0</v>
      </c>
      <c r="O38" s="68">
        <f>IF(compute_ManualOverrideUI="No", COUNTIFS(UI!E$5:E$14974,UCDEffortSpread!D14, UI!B$5:B$14974,Definition!C$4,UI!D$5:D$14974,Definition!G$3),0)</f>
        <v>0</v>
      </c>
      <c r="P38" s="68">
        <f>IF(compute_ManualOverrideUI="No", COUNTIFS(UI!E$5:E$14974,UCDEffortSpread!D14, UI!B$5:B$14974,Definition!C$4,UI!D$5:D$14974,Definition!H$3),0)</f>
        <v>0</v>
      </c>
      <c r="Q38" s="200">
        <f>IF(compute_ManualOverrideUI="No", COUNTIFS(UI!E$5:E$14974,UCDEffortSpread!D14, UI!B$5:B$14974,Definition!C$4,UI!D$5:D$14974,Definition!I$3),0)</f>
        <v>0</v>
      </c>
      <c r="R38" s="202">
        <f>(Definition!M38*Definition!E$4)</f>
        <v>0</v>
      </c>
      <c r="S38" s="202">
        <f>(Definition!N38*Definition!F$4)</f>
        <v>0</v>
      </c>
      <c r="T38" s="202">
        <f>(Definition!O38*Definition!G$4)</f>
        <v>0</v>
      </c>
      <c r="U38" s="202">
        <f>(Definition!P38*Definition!H$4)</f>
        <v>0</v>
      </c>
      <c r="V38" s="202">
        <f>(Definition!Q38*Definition!I$4)</f>
        <v>0</v>
      </c>
      <c r="W38" s="203">
        <f t="shared" si="11"/>
        <v>0</v>
      </c>
      <c r="X38" s="206">
        <f t="shared" si="12"/>
        <v>0</v>
      </c>
    </row>
    <row r="39" spans="2:24" ht="12.75" customHeight="1">
      <c r="B39" s="43" t="s">
        <v>89</v>
      </c>
      <c r="C39" s="127">
        <v>0.05</v>
      </c>
      <c r="E39" s="281" t="s">
        <v>341</v>
      </c>
      <c r="F39" s="208">
        <f t="shared" si="8"/>
        <v>0</v>
      </c>
      <c r="G39" s="208">
        <f t="shared" si="9"/>
        <v>0</v>
      </c>
      <c r="H39" s="208">
        <f t="shared" si="10"/>
        <v>0</v>
      </c>
      <c r="I39" s="208">
        <f t="shared" si="13"/>
        <v>0</v>
      </c>
      <c r="L39" s="427"/>
      <c r="M39" s="68">
        <f>IF(compute_ManualOverrideUI="No", COUNTIFS(UI!E$5:E$14974,UCDEffortSpread!D15, UI!B$5:B$14974,Definition!C$4,UI!D$5:D$14974,Definition!E$3), 0)</f>
        <v>0</v>
      </c>
      <c r="N39" s="68">
        <f>IF(compute_ManualOverrideUI="No", COUNTIFS(UI!E$5:E$14974,UCDEffortSpread!D15, UI!B$5:B$14974,Definition!C$4,UI!D$5:D$14974,Definition!F$3), 0)</f>
        <v>0</v>
      </c>
      <c r="O39" s="68">
        <f>IF(compute_ManualOverrideUI="No", COUNTIFS(UI!E$5:E$14974,UCDEffortSpread!D15, UI!B$5:B$14974,Definition!C$4,UI!D$5:D$14974,Definition!G$3),0)</f>
        <v>0</v>
      </c>
      <c r="P39" s="68">
        <f>IF(compute_ManualOverrideUI="No", COUNTIFS(UI!E$5:E$14974,UCDEffortSpread!D15, UI!B$5:B$14974,Definition!C$4,UI!D$5:D$14974,Definition!H$3),0)</f>
        <v>0</v>
      </c>
      <c r="Q39" s="200">
        <f>IF(compute_ManualOverrideUI="No", COUNTIFS(UI!E$5:E$14974,UCDEffortSpread!D15, UI!B$5:B$14974,Definition!C$4,UI!D$5:D$14974,Definition!I$3),0)</f>
        <v>0</v>
      </c>
      <c r="R39" s="202">
        <f>(Definition!M39*Definition!E$4)</f>
        <v>0</v>
      </c>
      <c r="S39" s="202">
        <f>(Definition!N39*Definition!F$4)</f>
        <v>0</v>
      </c>
      <c r="T39" s="202">
        <f>(Definition!O39*Definition!G$4)</f>
        <v>0</v>
      </c>
      <c r="U39" s="202">
        <f>(Definition!P39*Definition!H$4)</f>
        <v>0</v>
      </c>
      <c r="V39" s="202">
        <f>(Definition!Q39*Definition!I$4)</f>
        <v>0</v>
      </c>
      <c r="W39" s="203">
        <f t="shared" si="11"/>
        <v>0</v>
      </c>
      <c r="X39" s="206">
        <f t="shared" si="12"/>
        <v>0</v>
      </c>
    </row>
    <row r="40" spans="2:24" ht="12.75" customHeight="1">
      <c r="B40" s="78" t="s">
        <v>251</v>
      </c>
      <c r="C40" s="138" t="s">
        <v>273</v>
      </c>
      <c r="E40" s="281" t="s">
        <v>342</v>
      </c>
      <c r="F40" s="208">
        <f t="shared" si="8"/>
        <v>0</v>
      </c>
      <c r="G40" s="208">
        <f t="shared" si="9"/>
        <v>0</v>
      </c>
      <c r="H40" s="208">
        <f t="shared" si="10"/>
        <v>0</v>
      </c>
      <c r="I40" s="208">
        <f t="shared" si="13"/>
        <v>0</v>
      </c>
      <c r="L40" s="427"/>
      <c r="M40" s="68">
        <f>IF(compute_ManualOverrideUI="No", COUNTIFS(UI!E$5:E$14974,UCDEffortSpread!D16, UI!B$5:B$14974,Definition!C$4,UI!D$5:D$14974,Definition!E$3), 0)</f>
        <v>0</v>
      </c>
      <c r="N40" s="68">
        <f>IF(compute_ManualOverrideUI="No", COUNTIFS(UI!E$5:E$14974,UCDEffortSpread!D16, UI!B$5:B$14974,Definition!C$4,UI!D$5:D$14974,Definition!F$3), 0)</f>
        <v>0</v>
      </c>
      <c r="O40" s="68">
        <f>IF(compute_ManualOverrideUI="No", COUNTIFS(UI!E$5:E$14974,UCDEffortSpread!D16, UI!B$5:B$14974,Definition!C$4,UI!D$5:D$14974,Definition!G$3),0)</f>
        <v>0</v>
      </c>
      <c r="P40" s="68">
        <f>IF(compute_ManualOverrideUI="No", COUNTIFS(UI!E$5:E$14974,UCDEffortSpread!D16, UI!B$5:B$14974,Definition!C$4,UI!D$5:D$14974,Definition!H$3),0)</f>
        <v>0</v>
      </c>
      <c r="Q40" s="200">
        <f>IF(compute_ManualOverrideUI="No", COUNTIFS(UI!E$5:E$14974,UCDEffortSpread!D16, UI!B$5:B$14974,Definition!C$4,UI!D$5:D$14974,Definition!I$3),0)</f>
        <v>0</v>
      </c>
      <c r="R40" s="202">
        <f>(Definition!M40*Definition!E$4)</f>
        <v>0</v>
      </c>
      <c r="S40" s="202">
        <f>(Definition!N40*Definition!F$4)</f>
        <v>0</v>
      </c>
      <c r="T40" s="202">
        <f>(Definition!O40*Definition!G$4)</f>
        <v>0</v>
      </c>
      <c r="U40" s="202">
        <f>(Definition!P40*Definition!H$4)</f>
        <v>0</v>
      </c>
      <c r="V40" s="202">
        <f>(Definition!Q40*Definition!I$4)</f>
        <v>0</v>
      </c>
      <c r="W40" s="203">
        <f t="shared" si="11"/>
        <v>0</v>
      </c>
      <c r="X40" s="206">
        <f t="shared" si="12"/>
        <v>0</v>
      </c>
    </row>
    <row r="41" spans="2:24" ht="12.75" customHeight="1">
      <c r="B41" s="43" t="s">
        <v>131</v>
      </c>
      <c r="C41" s="125">
        <v>0.2</v>
      </c>
      <c r="E41" s="281" t="s">
        <v>343</v>
      </c>
      <c r="F41" s="208">
        <f t="shared" si="8"/>
        <v>0</v>
      </c>
      <c r="G41" s="208">
        <f t="shared" si="9"/>
        <v>0</v>
      </c>
      <c r="H41" s="208">
        <f t="shared" si="10"/>
        <v>0</v>
      </c>
      <c r="I41" s="208">
        <f t="shared" si="13"/>
        <v>0</v>
      </c>
      <c r="L41" s="427"/>
      <c r="M41" s="68">
        <f>IF(compute_ManualOverrideUI="No", COUNTIFS(UI!E$5:E$14974,UCDEffortSpread!D17, UI!B$5:B$14974,Definition!C$4,UI!D$5:D$14974,Definition!E$3), 0)</f>
        <v>0</v>
      </c>
      <c r="N41" s="68">
        <f>IF(compute_ManualOverrideUI="No", COUNTIFS(UI!E$5:E$14974,UCDEffortSpread!D17, UI!B$5:B$14974,Definition!C$4,UI!D$5:D$14974,Definition!F$3), 0)</f>
        <v>0</v>
      </c>
      <c r="O41" s="68">
        <f>IF(compute_ManualOverrideUI="No", COUNTIFS(UI!E$5:E$14974,UCDEffortSpread!D17, UI!B$5:B$14974,Definition!C$4,UI!D$5:D$14974,Definition!G$3),0)</f>
        <v>0</v>
      </c>
      <c r="P41" s="68">
        <f>IF(compute_ManualOverrideUI="No", COUNTIFS(UI!E$5:E$14974,UCDEffortSpread!D17, UI!B$5:B$14974,Definition!C$4,UI!D$5:D$14974,Definition!H$3),0)</f>
        <v>0</v>
      </c>
      <c r="Q41" s="200">
        <f>IF(compute_ManualOverrideUI="No", COUNTIFS(UI!E$5:E$14974,UCDEffortSpread!D17, UI!B$5:B$14974,Definition!C$4,UI!D$5:D$14974,Definition!I$3),0)</f>
        <v>0</v>
      </c>
      <c r="R41" s="202">
        <f>(Definition!M41*Definition!E$4)</f>
        <v>0</v>
      </c>
      <c r="S41" s="202">
        <f>(Definition!N41*Definition!F$4)</f>
        <v>0</v>
      </c>
      <c r="T41" s="202">
        <f>(Definition!O41*Definition!G$4)</f>
        <v>0</v>
      </c>
      <c r="U41" s="202">
        <f>(Definition!P41*Definition!H$4)</f>
        <v>0</v>
      </c>
      <c r="V41" s="202">
        <f>(Definition!Q41*Definition!I$4)</f>
        <v>0</v>
      </c>
      <c r="W41" s="203">
        <f t="shared" si="11"/>
        <v>0</v>
      </c>
      <c r="X41" s="206">
        <f t="shared" si="12"/>
        <v>0</v>
      </c>
    </row>
    <row r="42" spans="2:24" ht="12.75" customHeight="1">
      <c r="B42" s="43" t="s">
        <v>250</v>
      </c>
      <c r="C42" s="126">
        <v>0.05</v>
      </c>
      <c r="E42" s="281" t="s">
        <v>344</v>
      </c>
      <c r="F42" s="208">
        <f t="shared" si="8"/>
        <v>0</v>
      </c>
      <c r="G42" s="208">
        <f t="shared" si="9"/>
        <v>0</v>
      </c>
      <c r="H42" s="208">
        <f t="shared" si="10"/>
        <v>0</v>
      </c>
      <c r="I42" s="208">
        <f t="shared" si="13"/>
        <v>0</v>
      </c>
      <c r="L42" s="427"/>
      <c r="M42" s="68">
        <f>IF(compute_ManualOverrideUI="No", COUNTIFS(UI!E$5:E$14974,UCDEffortSpread!D18, UI!B$5:B$14974,Definition!C$4,UI!D$5:D$14974,Definition!E$3), 0)</f>
        <v>0</v>
      </c>
      <c r="N42" s="68">
        <f>IF(compute_ManualOverrideUI="No", COUNTIFS(UI!E$5:E$14974,UCDEffortSpread!D18, UI!B$5:B$14974,Definition!C$4,UI!D$5:D$14974,Definition!F$3), 0)</f>
        <v>0</v>
      </c>
      <c r="O42" s="68">
        <f>IF(compute_ManualOverrideUI="No", COUNTIFS(UI!E$5:E$14974,UCDEffortSpread!D18, UI!B$5:B$14974,Definition!C$4,UI!D$5:D$14974,Definition!G$3),0)</f>
        <v>0</v>
      </c>
      <c r="P42" s="68">
        <f>IF(compute_ManualOverrideUI="No", COUNTIFS(UI!E$5:E$14974,UCDEffortSpread!D18, UI!B$5:B$14974,Definition!C$4,UI!D$5:D$14974,Definition!H$3),0)</f>
        <v>0</v>
      </c>
      <c r="Q42" s="200">
        <f>IF(compute_ManualOverrideUI="No", COUNTIFS(UI!E$5:E$14974,UCDEffortSpread!D18, UI!B$5:B$14974,Definition!C$4,UI!D$5:D$14974,Definition!I$3),0)</f>
        <v>0</v>
      </c>
      <c r="R42" s="202">
        <f>(Definition!M42*Definition!E$4)</f>
        <v>0</v>
      </c>
      <c r="S42" s="202">
        <f>(Definition!N42*Definition!F$4)</f>
        <v>0</v>
      </c>
      <c r="T42" s="202">
        <f>(Definition!O42*Definition!G$4)</f>
        <v>0</v>
      </c>
      <c r="U42" s="202">
        <f>(Definition!P42*Definition!H$4)</f>
        <v>0</v>
      </c>
      <c r="V42" s="202">
        <f>(Definition!Q42*Definition!I$4)</f>
        <v>0</v>
      </c>
      <c r="W42" s="203">
        <f t="shared" si="11"/>
        <v>0</v>
      </c>
      <c r="X42" s="206">
        <f t="shared" si="12"/>
        <v>0</v>
      </c>
    </row>
    <row r="43" spans="2:24" ht="12.75" customHeight="1">
      <c r="B43" s="43" t="s">
        <v>207</v>
      </c>
      <c r="C43" s="126">
        <f>IF(compute_UI=1,2%,0)</f>
        <v>0.02</v>
      </c>
      <c r="E43" s="281" t="s">
        <v>345</v>
      </c>
      <c r="F43" s="208">
        <f t="shared" si="8"/>
        <v>0</v>
      </c>
      <c r="G43" s="208">
        <f t="shared" si="9"/>
        <v>0</v>
      </c>
      <c r="H43" s="208">
        <f t="shared" si="10"/>
        <v>0</v>
      </c>
      <c r="I43" s="208">
        <f t="shared" si="13"/>
        <v>0</v>
      </c>
      <c r="L43" s="427"/>
      <c r="M43" s="68">
        <f>IF(compute_ManualOverrideUI="No", COUNTIFS(UI!E$5:E$14974,UCDEffortSpread!D19, UI!B$5:B$14974,Definition!C$4,UI!D$5:D$14974,Definition!E$3), 0)</f>
        <v>0</v>
      </c>
      <c r="N43" s="68">
        <f>IF(compute_ManualOverrideUI="No", COUNTIFS(UI!E$5:E$14974,UCDEffortSpread!D19, UI!B$5:B$14974,Definition!C$4,UI!D$5:D$14974,Definition!F$3), 0)</f>
        <v>0</v>
      </c>
      <c r="O43" s="68">
        <f>IF(compute_ManualOverrideUI="No", COUNTIFS(UI!E$5:E$14974,UCDEffortSpread!D19, UI!B$5:B$14974,Definition!C$4,UI!D$5:D$14974,Definition!G$3),0)</f>
        <v>0</v>
      </c>
      <c r="P43" s="68">
        <f>IF(compute_ManualOverrideUI="No", COUNTIFS(UI!E$5:E$14974,UCDEffortSpread!D19, UI!B$5:B$14974,Definition!C$4,UI!D$5:D$14974,Definition!H$3),0)</f>
        <v>0</v>
      </c>
      <c r="Q43" s="200">
        <f>IF(compute_ManualOverrideUI="No", COUNTIFS(UI!E$5:E$14974,UCDEffortSpread!D19, UI!B$5:B$14974,Definition!C$4,UI!D$5:D$14974,Definition!I$3),0)</f>
        <v>0</v>
      </c>
      <c r="R43" s="202">
        <f>(Definition!M43*Definition!E$4)</f>
        <v>0</v>
      </c>
      <c r="S43" s="202">
        <f>(Definition!N43*Definition!F$4)</f>
        <v>0</v>
      </c>
      <c r="T43" s="202">
        <f>(Definition!O43*Definition!G$4)</f>
        <v>0</v>
      </c>
      <c r="U43" s="202">
        <f>(Definition!P43*Definition!H$4)</f>
        <v>0</v>
      </c>
      <c r="V43" s="202">
        <f>(Definition!Q43*Definition!I$4)</f>
        <v>0</v>
      </c>
      <c r="W43" s="203">
        <f t="shared" si="11"/>
        <v>0</v>
      </c>
      <c r="X43" s="206">
        <f t="shared" si="12"/>
        <v>0</v>
      </c>
    </row>
    <row r="44" spans="2:24" ht="12.75" customHeight="1">
      <c r="B44" s="77" t="s">
        <v>44</v>
      </c>
      <c r="C44" s="138" t="s">
        <v>273</v>
      </c>
      <c r="E44" s="281" t="s">
        <v>346</v>
      </c>
      <c r="F44" s="208">
        <f t="shared" si="8"/>
        <v>0</v>
      </c>
      <c r="G44" s="208">
        <f t="shared" si="9"/>
        <v>0</v>
      </c>
      <c r="H44" s="208">
        <f t="shared" si="10"/>
        <v>0</v>
      </c>
      <c r="I44" s="208">
        <f t="shared" ref="I44:I78" si="14">SUM(F44:H44)</f>
        <v>0</v>
      </c>
      <c r="L44" s="427"/>
      <c r="M44" s="68">
        <f>IF(compute_ManualOverrideUI="No", COUNTIFS(UI!E$5:E$14974,UCDEffortSpread!D20, UI!B$5:B$14974,Definition!C$4,UI!D$5:D$14974,Definition!E$3), 0)</f>
        <v>0</v>
      </c>
      <c r="N44" s="68">
        <f>IF(compute_ManualOverrideUI="No", COUNTIFS(UI!E$5:E$14974,UCDEffortSpread!D20, UI!B$5:B$14974,Definition!C$4,UI!D$5:D$14974,Definition!F$3), 0)</f>
        <v>0</v>
      </c>
      <c r="O44" s="68">
        <f>IF(compute_ManualOverrideUI="No", COUNTIFS(UI!E$5:E$14974,UCDEffortSpread!D20, UI!B$5:B$14974,Definition!C$4,UI!D$5:D$14974,Definition!G$3),0)</f>
        <v>0</v>
      </c>
      <c r="P44" s="68">
        <f>IF(compute_ManualOverrideUI="No", COUNTIFS(UI!E$5:E$14974,UCDEffortSpread!D20, UI!B$5:B$14974,Definition!C$4,UI!D$5:D$14974,Definition!H$3),0)</f>
        <v>0</v>
      </c>
      <c r="Q44" s="200">
        <f>IF(compute_ManualOverrideUI="No", COUNTIFS(UI!E$5:E$14974,UCDEffortSpread!D20, UI!B$5:B$14974,Definition!C$4,UI!D$5:D$14974,Definition!I$3),0)</f>
        <v>0</v>
      </c>
      <c r="R44" s="202">
        <f>(Definition!M44*Definition!E$4)</f>
        <v>0</v>
      </c>
      <c r="S44" s="202">
        <f>(Definition!N44*Definition!F$4)</f>
        <v>0</v>
      </c>
      <c r="T44" s="202">
        <f>(Definition!O44*Definition!G$4)</f>
        <v>0</v>
      </c>
      <c r="U44" s="202">
        <f>(Definition!P44*Definition!H$4)</f>
        <v>0</v>
      </c>
      <c r="V44" s="202">
        <f>(Definition!Q44*Definition!I$4)</f>
        <v>0</v>
      </c>
      <c r="W44" s="203">
        <f t="shared" ref="W44:W78" si="15">SUM(R44:V44)</f>
        <v>0</v>
      </c>
      <c r="X44" s="206">
        <f t="shared" si="12"/>
        <v>0</v>
      </c>
    </row>
    <row r="45" spans="2:24" ht="12.75" customHeight="1">
      <c r="B45" s="43" t="s">
        <v>88</v>
      </c>
      <c r="C45" s="125">
        <v>0.2</v>
      </c>
      <c r="E45" s="281" t="s">
        <v>360</v>
      </c>
      <c r="F45" s="208">
        <f t="shared" si="8"/>
        <v>0</v>
      </c>
      <c r="G45" s="208">
        <f t="shared" si="9"/>
        <v>0</v>
      </c>
      <c r="H45" s="208">
        <f t="shared" si="10"/>
        <v>0</v>
      </c>
      <c r="I45" s="208">
        <f t="shared" si="14"/>
        <v>0</v>
      </c>
      <c r="L45" s="427"/>
      <c r="M45" s="68">
        <f>IF(compute_ManualOverrideUI="No", COUNTIFS(UI!E$5:E$14974,UCDEffortSpread!D21, UI!B$5:B$14974,Definition!C$4,UI!D$5:D$14974,Definition!E$3), 0)</f>
        <v>0</v>
      </c>
      <c r="N45" s="68">
        <f>IF(compute_ManualOverrideUI="No", COUNTIFS(UI!E$5:E$14974,UCDEffortSpread!D21, UI!B$5:B$14974,Definition!C$4,UI!D$5:D$14974,Definition!F$3), 0)</f>
        <v>0</v>
      </c>
      <c r="O45" s="68">
        <f>IF(compute_ManualOverrideUI="No", COUNTIFS(UI!E$5:E$14974,UCDEffortSpread!D21, UI!B$5:B$14974,Definition!C$4,UI!D$5:D$14974,Definition!G$3),0)</f>
        <v>0</v>
      </c>
      <c r="P45" s="68">
        <f>IF(compute_ManualOverrideUI="No", COUNTIFS(UI!E$5:E$14974,UCDEffortSpread!D21, UI!B$5:B$14974,Definition!C$4,UI!D$5:D$14974,Definition!H$3),0)</f>
        <v>0</v>
      </c>
      <c r="Q45" s="200">
        <f>IF(compute_ManualOverrideUI="No", COUNTIFS(UI!E$5:E$14974,UCDEffortSpread!D21, UI!B$5:B$14974,Definition!C$4,UI!D$5:D$14974,Definition!I$3),0)</f>
        <v>0</v>
      </c>
      <c r="R45" s="202">
        <f>(Definition!M45*Definition!E$4)</f>
        <v>0</v>
      </c>
      <c r="S45" s="202">
        <f>(Definition!N45*Definition!F$4)</f>
        <v>0</v>
      </c>
      <c r="T45" s="202">
        <f>(Definition!O45*Definition!G$4)</f>
        <v>0</v>
      </c>
      <c r="U45" s="202">
        <f>(Definition!P45*Definition!H$4)</f>
        <v>0</v>
      </c>
      <c r="V45" s="202">
        <f>(Definition!Q45*Definition!I$4)</f>
        <v>0</v>
      </c>
      <c r="W45" s="203">
        <f t="shared" si="15"/>
        <v>0</v>
      </c>
      <c r="X45" s="206">
        <f t="shared" si="12"/>
        <v>0</v>
      </c>
    </row>
    <row r="46" spans="2:24" ht="12.75" customHeight="1">
      <c r="B46" s="43" t="s">
        <v>15</v>
      </c>
      <c r="C46" s="247">
        <v>0.01</v>
      </c>
      <c r="E46" s="281" t="s">
        <v>361</v>
      </c>
      <c r="F46" s="208">
        <f t="shared" si="8"/>
        <v>0</v>
      </c>
      <c r="G46" s="208">
        <f t="shared" si="9"/>
        <v>0</v>
      </c>
      <c r="H46" s="208">
        <f t="shared" si="10"/>
        <v>0</v>
      </c>
      <c r="I46" s="208">
        <f t="shared" si="14"/>
        <v>0</v>
      </c>
      <c r="L46" s="427"/>
      <c r="M46" s="68">
        <f>IF(compute_ManualOverrideUI="No", COUNTIFS(UI!E$5:E$14974,UCDEffortSpread!D22, UI!B$5:B$14974,Definition!C$4,UI!D$5:D$14974,Definition!E$3), 0)</f>
        <v>0</v>
      </c>
      <c r="N46" s="68">
        <f>IF(compute_ManualOverrideUI="No", COUNTIFS(UI!E$5:E$14974,UCDEffortSpread!D22, UI!B$5:B$14974,Definition!C$4,UI!D$5:D$14974,Definition!F$3), 0)</f>
        <v>0</v>
      </c>
      <c r="O46" s="68">
        <f>IF(compute_ManualOverrideUI="No", COUNTIFS(UI!E$5:E$14974,UCDEffortSpread!D22, UI!B$5:B$14974,Definition!C$4,UI!D$5:D$14974,Definition!G$3),0)</f>
        <v>0</v>
      </c>
      <c r="P46" s="68">
        <f>IF(compute_ManualOverrideUI="No", COUNTIFS(UI!E$5:E$14974,UCDEffortSpread!D22, UI!B$5:B$14974,Definition!C$4,UI!D$5:D$14974,Definition!H$3),0)</f>
        <v>0</v>
      </c>
      <c r="Q46" s="200">
        <f>IF(compute_ManualOverrideUI="No", COUNTIFS(UI!E$5:E$14974,UCDEffortSpread!D22, UI!B$5:B$14974,Definition!C$4,UI!D$5:D$14974,Definition!I$3),0)</f>
        <v>0</v>
      </c>
      <c r="R46" s="202">
        <f>(Definition!M46*Definition!E$4)</f>
        <v>0</v>
      </c>
      <c r="S46" s="202">
        <f>(Definition!N46*Definition!F$4)</f>
        <v>0</v>
      </c>
      <c r="T46" s="202">
        <f>(Definition!O46*Definition!G$4)</f>
        <v>0</v>
      </c>
      <c r="U46" s="202">
        <f>(Definition!P46*Definition!H$4)</f>
        <v>0</v>
      </c>
      <c r="V46" s="202">
        <f>(Definition!Q46*Definition!I$4)</f>
        <v>0</v>
      </c>
      <c r="W46" s="203">
        <f t="shared" si="15"/>
        <v>0</v>
      </c>
      <c r="X46" s="206">
        <f t="shared" si="12"/>
        <v>0</v>
      </c>
    </row>
    <row r="47" spans="2:24" ht="12.75" customHeight="1">
      <c r="B47" s="43" t="s">
        <v>16</v>
      </c>
      <c r="C47" s="247">
        <v>0.01</v>
      </c>
      <c r="E47" s="281" t="s">
        <v>362</v>
      </c>
      <c r="F47" s="208">
        <f t="shared" si="8"/>
        <v>0</v>
      </c>
      <c r="G47" s="208">
        <f t="shared" si="9"/>
        <v>0</v>
      </c>
      <c r="H47" s="208">
        <f t="shared" si="10"/>
        <v>0</v>
      </c>
      <c r="I47" s="208">
        <f t="shared" si="14"/>
        <v>0</v>
      </c>
      <c r="L47" s="427"/>
      <c r="M47" s="68">
        <f>IF(compute_ManualOverrideUI="No", COUNTIFS(UI!E$5:E$14974,UCDEffortSpread!D23, UI!B$5:B$14974,Definition!C$4,UI!D$5:D$14974,Definition!E$3), 0)</f>
        <v>0</v>
      </c>
      <c r="N47" s="68">
        <f>IF(compute_ManualOverrideUI="No", COUNTIFS(UI!E$5:E$14974,UCDEffortSpread!D23, UI!B$5:B$14974,Definition!C$4,UI!D$5:D$14974,Definition!F$3), 0)</f>
        <v>0</v>
      </c>
      <c r="O47" s="68">
        <f>IF(compute_ManualOverrideUI="No", COUNTIFS(UI!E$5:E$14974,UCDEffortSpread!D23, UI!B$5:B$14974,Definition!C$4,UI!D$5:D$14974,Definition!G$3),0)</f>
        <v>0</v>
      </c>
      <c r="P47" s="68">
        <f>IF(compute_ManualOverrideUI="No", COUNTIFS(UI!E$5:E$14974,UCDEffortSpread!D23, UI!B$5:B$14974,Definition!C$4,UI!D$5:D$14974,Definition!H$3),0)</f>
        <v>0</v>
      </c>
      <c r="Q47" s="200">
        <f>IF(compute_ManualOverrideUI="No", COUNTIFS(UI!E$5:E$14974,UCDEffortSpread!D23, UI!B$5:B$14974,Definition!C$4,UI!D$5:D$14974,Definition!I$3),0)</f>
        <v>0</v>
      </c>
      <c r="R47" s="202">
        <f>(Definition!M47*Definition!E$4)</f>
        <v>0</v>
      </c>
      <c r="S47" s="202">
        <f>(Definition!N47*Definition!F$4)</f>
        <v>0</v>
      </c>
      <c r="T47" s="202">
        <f>(Definition!O47*Definition!G$4)</f>
        <v>0</v>
      </c>
      <c r="U47" s="202">
        <f>(Definition!P47*Definition!H$4)</f>
        <v>0</v>
      </c>
      <c r="V47" s="202">
        <f>(Definition!Q47*Definition!I$4)</f>
        <v>0</v>
      </c>
      <c r="W47" s="203">
        <f t="shared" si="15"/>
        <v>0</v>
      </c>
      <c r="X47" s="206">
        <f t="shared" si="12"/>
        <v>0</v>
      </c>
    </row>
    <row r="48" spans="2:24" ht="12.75" customHeight="1">
      <c r="B48" s="43" t="s">
        <v>17</v>
      </c>
      <c r="C48" s="125">
        <v>0.05</v>
      </c>
      <c r="E48" s="281" t="s">
        <v>363</v>
      </c>
      <c r="F48" s="208">
        <f t="shared" si="8"/>
        <v>0</v>
      </c>
      <c r="G48" s="208">
        <f t="shared" si="9"/>
        <v>0</v>
      </c>
      <c r="H48" s="208">
        <f t="shared" si="10"/>
        <v>0</v>
      </c>
      <c r="I48" s="208">
        <f t="shared" si="14"/>
        <v>0</v>
      </c>
      <c r="L48" s="427"/>
      <c r="M48" s="68">
        <f>IF(compute_ManualOverrideUI="No", COUNTIFS(UI!E$5:E$14974,UCDEffortSpread!D24, UI!B$5:B$14974,Definition!C$4,UI!D$5:D$14974,Definition!E$3), 0)</f>
        <v>0</v>
      </c>
      <c r="N48" s="68">
        <f>IF(compute_ManualOverrideUI="No", COUNTIFS(UI!E$5:E$14974,UCDEffortSpread!D24, UI!B$5:B$14974,Definition!C$4,UI!D$5:D$14974,Definition!F$3), 0)</f>
        <v>0</v>
      </c>
      <c r="O48" s="68">
        <f>IF(compute_ManualOverrideUI="No", COUNTIFS(UI!E$5:E$14974,UCDEffortSpread!D24, UI!B$5:B$14974,Definition!C$4,UI!D$5:D$14974,Definition!G$3),0)</f>
        <v>0</v>
      </c>
      <c r="P48" s="68">
        <f>IF(compute_ManualOverrideUI="No", COUNTIFS(UI!E$5:E$14974,UCDEffortSpread!D24, UI!B$5:B$14974,Definition!C$4,UI!D$5:D$14974,Definition!H$3),0)</f>
        <v>0</v>
      </c>
      <c r="Q48" s="200">
        <f>IF(compute_ManualOverrideUI="No", COUNTIFS(UI!E$5:E$14974,UCDEffortSpread!D24, UI!B$5:B$14974,Definition!C$4,UI!D$5:D$14974,Definition!I$3),0)</f>
        <v>0</v>
      </c>
      <c r="R48" s="202">
        <f>(Definition!M48*Definition!E$4)</f>
        <v>0</v>
      </c>
      <c r="S48" s="202">
        <f>(Definition!N48*Definition!F$4)</f>
        <v>0</v>
      </c>
      <c r="T48" s="202">
        <f>(Definition!O48*Definition!G$4)</f>
        <v>0</v>
      </c>
      <c r="U48" s="202">
        <f>(Definition!P48*Definition!H$4)</f>
        <v>0</v>
      </c>
      <c r="V48" s="202">
        <f>(Definition!Q48*Definition!I$4)</f>
        <v>0</v>
      </c>
      <c r="W48" s="203">
        <f t="shared" si="15"/>
        <v>0</v>
      </c>
      <c r="X48" s="206">
        <f t="shared" si="12"/>
        <v>0</v>
      </c>
    </row>
    <row r="49" spans="2:24" ht="12.75" customHeight="1">
      <c r="B49" s="77" t="s">
        <v>252</v>
      </c>
      <c r="C49" s="138" t="s">
        <v>273</v>
      </c>
      <c r="E49" s="281" t="s">
        <v>364</v>
      </c>
      <c r="F49" s="208">
        <f t="shared" si="8"/>
        <v>0</v>
      </c>
      <c r="G49" s="208">
        <f t="shared" si="9"/>
        <v>0</v>
      </c>
      <c r="H49" s="208">
        <f t="shared" si="10"/>
        <v>0</v>
      </c>
      <c r="I49" s="208">
        <f t="shared" si="14"/>
        <v>0</v>
      </c>
      <c r="L49" s="427"/>
      <c r="M49" s="68">
        <f>IF(compute_ManualOverrideUI="No", COUNTIFS(UI!E$5:E$14974,UCDEffortSpread!D25, UI!B$5:B$14974,Definition!C$4,UI!D$5:D$14974,Definition!E$3), 0)</f>
        <v>0</v>
      </c>
      <c r="N49" s="68">
        <f>IF(compute_ManualOverrideUI="No", COUNTIFS(UI!E$5:E$14974,UCDEffortSpread!D25, UI!B$5:B$14974,Definition!C$4,UI!D$5:D$14974,Definition!F$3), 0)</f>
        <v>0</v>
      </c>
      <c r="O49" s="68">
        <f>IF(compute_ManualOverrideUI="No", COUNTIFS(UI!E$5:E$14974,UCDEffortSpread!D25, UI!B$5:B$14974,Definition!C$4,UI!D$5:D$14974,Definition!G$3),0)</f>
        <v>0</v>
      </c>
      <c r="P49" s="68">
        <f>IF(compute_ManualOverrideUI="No", COUNTIFS(UI!E$5:E$14974,UCDEffortSpread!D25, UI!B$5:B$14974,Definition!C$4,UI!D$5:D$14974,Definition!H$3),0)</f>
        <v>0</v>
      </c>
      <c r="Q49" s="200">
        <f>IF(compute_ManualOverrideUI="No", COUNTIFS(UI!E$5:E$14974,UCDEffortSpread!D25, UI!B$5:B$14974,Definition!C$4,UI!D$5:D$14974,Definition!I$3),0)</f>
        <v>0</v>
      </c>
      <c r="R49" s="202">
        <f>(Definition!M49*Definition!E$4)</f>
        <v>0</v>
      </c>
      <c r="S49" s="202">
        <f>(Definition!N49*Definition!F$4)</f>
        <v>0</v>
      </c>
      <c r="T49" s="202">
        <f>(Definition!O49*Definition!G$4)</f>
        <v>0</v>
      </c>
      <c r="U49" s="202">
        <f>(Definition!P49*Definition!H$4)</f>
        <v>0</v>
      </c>
      <c r="V49" s="202">
        <f>(Definition!Q49*Definition!I$4)</f>
        <v>0</v>
      </c>
      <c r="W49" s="203">
        <f t="shared" si="15"/>
        <v>0</v>
      </c>
      <c r="X49" s="206">
        <f t="shared" si="12"/>
        <v>0</v>
      </c>
    </row>
    <row r="50" spans="2:24" ht="12.75" customHeight="1">
      <c r="B50" s="43" t="s">
        <v>205</v>
      </c>
      <c r="C50" s="164">
        <v>0.5</v>
      </c>
      <c r="E50" s="281" t="s">
        <v>365</v>
      </c>
      <c r="F50" s="208">
        <f t="shared" si="8"/>
        <v>0</v>
      </c>
      <c r="G50" s="208">
        <f t="shared" si="9"/>
        <v>0</v>
      </c>
      <c r="H50" s="208">
        <f t="shared" si="10"/>
        <v>0</v>
      </c>
      <c r="I50" s="208">
        <f t="shared" si="14"/>
        <v>0</v>
      </c>
      <c r="L50" s="427"/>
      <c r="M50" s="68">
        <f>IF(compute_ManualOverrideUI="No", COUNTIFS(UI!E$5:E$14974,UCDEffortSpread!D26, UI!B$5:B$14974,Definition!C$4,UI!D$5:D$14974,Definition!E$3), 0)</f>
        <v>0</v>
      </c>
      <c r="N50" s="68">
        <f>IF(compute_ManualOverrideUI="No", COUNTIFS(UI!E$5:E$14974,UCDEffortSpread!D26, UI!B$5:B$14974,Definition!C$4,UI!D$5:D$14974,Definition!F$3), 0)</f>
        <v>0</v>
      </c>
      <c r="O50" s="68">
        <f>IF(compute_ManualOverrideUI="No", COUNTIFS(UI!E$5:E$14974,UCDEffortSpread!D26, UI!B$5:B$14974,Definition!C$4,UI!D$5:D$14974,Definition!G$3),0)</f>
        <v>0</v>
      </c>
      <c r="P50" s="68">
        <f>IF(compute_ManualOverrideUI="No", COUNTIFS(UI!E$5:E$14974,UCDEffortSpread!D26, UI!B$5:B$14974,Definition!C$4,UI!D$5:D$14974,Definition!H$3),0)</f>
        <v>0</v>
      </c>
      <c r="Q50" s="200">
        <f>IF(compute_ManualOverrideUI="No", COUNTIFS(UI!E$5:E$14974,UCDEffortSpread!D26, UI!B$5:B$14974,Definition!C$4,UI!D$5:D$14974,Definition!I$3),0)</f>
        <v>0</v>
      </c>
      <c r="R50" s="202">
        <f>(Definition!M50*Definition!E$4)</f>
        <v>0</v>
      </c>
      <c r="S50" s="202">
        <f>(Definition!N50*Definition!F$4)</f>
        <v>0</v>
      </c>
      <c r="T50" s="202">
        <f>(Definition!O50*Definition!G$4)</f>
        <v>0</v>
      </c>
      <c r="U50" s="202">
        <f>(Definition!P50*Definition!H$4)</f>
        <v>0</v>
      </c>
      <c r="V50" s="202">
        <f>(Definition!Q50*Definition!I$4)</f>
        <v>0</v>
      </c>
      <c r="W50" s="203">
        <f t="shared" si="15"/>
        <v>0</v>
      </c>
      <c r="X50" s="206">
        <f t="shared" si="12"/>
        <v>0</v>
      </c>
    </row>
    <row r="51" spans="2:24" ht="12.75" customHeight="1">
      <c r="B51" s="43" t="s">
        <v>206</v>
      </c>
      <c r="C51" s="128">
        <f>C76*0.5</f>
        <v>0.5</v>
      </c>
      <c r="E51" s="281" t="s">
        <v>366</v>
      </c>
      <c r="F51" s="208">
        <f t="shared" si="8"/>
        <v>0</v>
      </c>
      <c r="G51" s="208">
        <f t="shared" si="9"/>
        <v>0</v>
      </c>
      <c r="H51" s="208">
        <f t="shared" si="10"/>
        <v>0</v>
      </c>
      <c r="I51" s="208">
        <f t="shared" si="14"/>
        <v>0</v>
      </c>
      <c r="L51" s="427"/>
      <c r="M51" s="68">
        <f>IF(compute_ManualOverrideUI="No", COUNTIFS(UI!E$5:E$14974,UCDEffortSpread!D27, UI!B$5:B$14974,Definition!C$4,UI!D$5:D$14974,Definition!E$3), 0)</f>
        <v>0</v>
      </c>
      <c r="N51" s="68">
        <f>IF(compute_ManualOverrideUI="No", COUNTIFS(UI!E$5:E$14974,UCDEffortSpread!D27, UI!B$5:B$14974,Definition!C$4,UI!D$5:D$14974,Definition!F$3), 0)</f>
        <v>0</v>
      </c>
      <c r="O51" s="68">
        <f>IF(compute_ManualOverrideUI="No", COUNTIFS(UI!E$5:E$14974,UCDEffortSpread!D27, UI!B$5:B$14974,Definition!C$4,UI!D$5:D$14974,Definition!G$3),0)</f>
        <v>0</v>
      </c>
      <c r="P51" s="68">
        <f>IF(compute_ManualOverrideUI="No", COUNTIFS(UI!E$5:E$14974,UCDEffortSpread!D27, UI!B$5:B$14974,Definition!C$4,UI!D$5:D$14974,Definition!H$3),0)</f>
        <v>0</v>
      </c>
      <c r="Q51" s="200">
        <f>IF(compute_ManualOverrideUI="No", COUNTIFS(UI!E$5:E$14974,UCDEffortSpread!D27, UI!B$5:B$14974,Definition!C$4,UI!D$5:D$14974,Definition!I$3),0)</f>
        <v>0</v>
      </c>
      <c r="R51" s="202">
        <f>(Definition!M51*Definition!E$4)</f>
        <v>0</v>
      </c>
      <c r="S51" s="202">
        <f>(Definition!N51*Definition!F$4)</f>
        <v>0</v>
      </c>
      <c r="T51" s="202">
        <f>(Definition!O51*Definition!G$4)</f>
        <v>0</v>
      </c>
      <c r="U51" s="202">
        <f>(Definition!P51*Definition!H$4)</f>
        <v>0</v>
      </c>
      <c r="V51" s="202">
        <f>(Definition!Q51*Definition!I$4)</f>
        <v>0</v>
      </c>
      <c r="W51" s="203">
        <f t="shared" si="15"/>
        <v>0</v>
      </c>
      <c r="X51" s="206">
        <f t="shared" si="12"/>
        <v>0</v>
      </c>
    </row>
    <row r="52" spans="2:24" ht="12.75" customHeight="1">
      <c r="B52" s="43" t="s">
        <v>67</v>
      </c>
      <c r="C52" s="129">
        <v>4</v>
      </c>
      <c r="E52" s="281" t="s">
        <v>367</v>
      </c>
      <c r="F52" s="208">
        <f t="shared" si="8"/>
        <v>0</v>
      </c>
      <c r="G52" s="208">
        <f t="shared" si="9"/>
        <v>0</v>
      </c>
      <c r="H52" s="208">
        <f t="shared" si="10"/>
        <v>0</v>
      </c>
      <c r="I52" s="208">
        <f t="shared" si="14"/>
        <v>0</v>
      </c>
      <c r="L52" s="427"/>
      <c r="M52" s="68">
        <f>IF(compute_ManualOverrideUI="No", COUNTIFS(UI!E$5:E$14974,UCDEffortSpread!D28, UI!B$5:B$14974,Definition!C$4,UI!D$5:D$14974,Definition!E$3), 0)</f>
        <v>0</v>
      </c>
      <c r="N52" s="68">
        <f>IF(compute_ManualOverrideUI="No", COUNTIFS(UI!E$5:E$14974,UCDEffortSpread!D28, UI!B$5:B$14974,Definition!C$4,UI!D$5:D$14974,Definition!F$3), 0)</f>
        <v>0</v>
      </c>
      <c r="O52" s="68">
        <f>IF(compute_ManualOverrideUI="No", COUNTIFS(UI!E$5:E$14974,UCDEffortSpread!D28, UI!B$5:B$14974,Definition!C$4,UI!D$5:D$14974,Definition!G$3),0)</f>
        <v>0</v>
      </c>
      <c r="P52" s="68">
        <f>IF(compute_ManualOverrideUI="No", COUNTIFS(UI!E$5:E$14974,UCDEffortSpread!D28, UI!B$5:B$14974,Definition!C$4,UI!D$5:D$14974,Definition!H$3),0)</f>
        <v>0</v>
      </c>
      <c r="Q52" s="200">
        <f>IF(compute_ManualOverrideUI="No", COUNTIFS(UI!E$5:E$14974,UCDEffortSpread!D28, UI!B$5:B$14974,Definition!C$4,UI!D$5:D$14974,Definition!I$3),0)</f>
        <v>0</v>
      </c>
      <c r="R52" s="202">
        <f>(Definition!M52*Definition!E$4)</f>
        <v>0</v>
      </c>
      <c r="S52" s="202">
        <f>(Definition!N52*Definition!F$4)</f>
        <v>0</v>
      </c>
      <c r="T52" s="202">
        <f>(Definition!O52*Definition!G$4)</f>
        <v>0</v>
      </c>
      <c r="U52" s="202">
        <f>(Definition!P52*Definition!H$4)</f>
        <v>0</v>
      </c>
      <c r="V52" s="202">
        <f>(Definition!Q52*Definition!I$4)</f>
        <v>0</v>
      </c>
      <c r="W52" s="203">
        <f t="shared" si="15"/>
        <v>0</v>
      </c>
      <c r="X52" s="206">
        <f t="shared" si="12"/>
        <v>0</v>
      </c>
    </row>
    <row r="53" spans="2:24" ht="12.75" customHeight="1">
      <c r="B53" s="43" t="s">
        <v>253</v>
      </c>
      <c r="C53" s="125">
        <v>0.15</v>
      </c>
      <c r="E53" s="281" t="s">
        <v>368</v>
      </c>
      <c r="F53" s="208">
        <f t="shared" si="8"/>
        <v>0</v>
      </c>
      <c r="G53" s="208">
        <f t="shared" si="9"/>
        <v>0</v>
      </c>
      <c r="H53" s="208">
        <f t="shared" si="10"/>
        <v>0</v>
      </c>
      <c r="I53" s="208">
        <f t="shared" si="14"/>
        <v>0</v>
      </c>
      <c r="L53" s="427"/>
      <c r="M53" s="68">
        <f>IF(compute_ManualOverrideUI="No", COUNTIFS(UI!E$5:E$14974,UCDEffortSpread!D29, UI!B$5:B$14974,Definition!C$4,UI!D$5:D$14974,Definition!E$3), 0)</f>
        <v>0</v>
      </c>
      <c r="N53" s="68">
        <f>IF(compute_ManualOverrideUI="No", COUNTIFS(UI!E$5:E$14974,UCDEffortSpread!D29, UI!B$5:B$14974,Definition!C$4,UI!D$5:D$14974,Definition!F$3), 0)</f>
        <v>0</v>
      </c>
      <c r="O53" s="68">
        <f>IF(compute_ManualOverrideUI="No", COUNTIFS(UI!E$5:E$14974,UCDEffortSpread!D29, UI!B$5:B$14974,Definition!C$4,UI!D$5:D$14974,Definition!G$3),0)</f>
        <v>0</v>
      </c>
      <c r="P53" s="68">
        <f>IF(compute_ManualOverrideUI="No", COUNTIFS(UI!E$5:E$14974,UCDEffortSpread!D29, UI!B$5:B$14974,Definition!C$4,UI!D$5:D$14974,Definition!H$3),0)</f>
        <v>0</v>
      </c>
      <c r="Q53" s="200">
        <f>IF(compute_ManualOverrideUI="No", COUNTIFS(UI!E$5:E$14974,UCDEffortSpread!D29, UI!B$5:B$14974,Definition!C$4,UI!D$5:D$14974,Definition!I$3),0)</f>
        <v>0</v>
      </c>
      <c r="R53" s="202">
        <f>(Definition!M53*Definition!E$4)</f>
        <v>0</v>
      </c>
      <c r="S53" s="202">
        <f>(Definition!N53*Definition!F$4)</f>
        <v>0</v>
      </c>
      <c r="T53" s="202">
        <f>(Definition!O53*Definition!G$4)</f>
        <v>0</v>
      </c>
      <c r="U53" s="202">
        <f>(Definition!P53*Definition!H$4)</f>
        <v>0</v>
      </c>
      <c r="V53" s="202">
        <f>(Definition!Q53*Definition!I$4)</f>
        <v>0</v>
      </c>
      <c r="W53" s="203">
        <f t="shared" si="15"/>
        <v>0</v>
      </c>
      <c r="X53" s="206">
        <f t="shared" si="12"/>
        <v>0</v>
      </c>
    </row>
    <row r="54" spans="2:24" ht="12.75" customHeight="1">
      <c r="B54" s="413" t="s">
        <v>300</v>
      </c>
      <c r="C54" s="414"/>
      <c r="E54" s="281" t="s">
        <v>369</v>
      </c>
      <c r="F54" s="208">
        <f t="shared" si="8"/>
        <v>0</v>
      </c>
      <c r="G54" s="208">
        <f t="shared" si="9"/>
        <v>0</v>
      </c>
      <c r="H54" s="208">
        <f t="shared" si="10"/>
        <v>0</v>
      </c>
      <c r="I54" s="208">
        <f t="shared" si="14"/>
        <v>0</v>
      </c>
      <c r="L54" s="427"/>
      <c r="M54" s="68">
        <f>IF(compute_ManualOverrideUI="No", COUNTIFS(UI!E$5:E$14974,UCDEffortSpread!D30, UI!B$5:B$14974,Definition!C$4,UI!D$5:D$14974,Definition!E$3), 0)</f>
        <v>0</v>
      </c>
      <c r="N54" s="68">
        <f>IF(compute_ManualOverrideUI="No", COUNTIFS(UI!E$5:E$14974,UCDEffortSpread!D30, UI!B$5:B$14974,Definition!C$4,UI!D$5:D$14974,Definition!F$3), 0)</f>
        <v>0</v>
      </c>
      <c r="O54" s="68">
        <f>IF(compute_ManualOverrideUI="No", COUNTIFS(UI!E$5:E$14974,UCDEffortSpread!D30, UI!B$5:B$14974,Definition!C$4,UI!D$5:D$14974,Definition!G$3),0)</f>
        <v>0</v>
      </c>
      <c r="P54" s="68">
        <f>IF(compute_ManualOverrideUI="No", COUNTIFS(UI!E$5:E$14974,UCDEffortSpread!D30, UI!B$5:B$14974,Definition!C$4,UI!D$5:D$14974,Definition!H$3),0)</f>
        <v>0</v>
      </c>
      <c r="Q54" s="200">
        <f>IF(compute_ManualOverrideUI="No", COUNTIFS(UI!E$5:E$14974,UCDEffortSpread!D30, UI!B$5:B$14974,Definition!C$4,UI!D$5:D$14974,Definition!I$3),0)</f>
        <v>0</v>
      </c>
      <c r="R54" s="202">
        <f>(Definition!M54*Definition!E$4)</f>
        <v>0</v>
      </c>
      <c r="S54" s="202">
        <f>(Definition!N54*Definition!F$4)</f>
        <v>0</v>
      </c>
      <c r="T54" s="202">
        <f>(Definition!O54*Definition!G$4)</f>
        <v>0</v>
      </c>
      <c r="U54" s="202">
        <f>(Definition!P54*Definition!H$4)</f>
        <v>0</v>
      </c>
      <c r="V54" s="202">
        <f>(Definition!Q54*Definition!I$4)</f>
        <v>0</v>
      </c>
      <c r="W54" s="203">
        <f t="shared" si="15"/>
        <v>0</v>
      </c>
      <c r="X54" s="206">
        <f t="shared" si="12"/>
        <v>0</v>
      </c>
    </row>
    <row r="55" spans="2:24">
      <c r="B55" s="77" t="s">
        <v>59</v>
      </c>
      <c r="C55" s="76" t="s">
        <v>274</v>
      </c>
      <c r="E55" s="281" t="s">
        <v>370</v>
      </c>
      <c r="F55" s="208">
        <f t="shared" si="8"/>
        <v>0</v>
      </c>
      <c r="G55" s="208">
        <f t="shared" si="9"/>
        <v>0</v>
      </c>
      <c r="H55" s="208">
        <f t="shared" si="10"/>
        <v>0</v>
      </c>
      <c r="I55" s="208">
        <f t="shared" si="14"/>
        <v>0</v>
      </c>
      <c r="L55" s="427"/>
      <c r="M55" s="68">
        <f>IF(compute_ManualOverrideUI="No", COUNTIFS(UI!E$5:E$14974,UCDEffortSpread!D31, UI!B$5:B$14974,Definition!C$4,UI!D$5:D$14974,Definition!E$3), 0)</f>
        <v>0</v>
      </c>
      <c r="N55" s="68">
        <f>IF(compute_ManualOverrideUI="No", COUNTIFS(UI!E$5:E$14974,UCDEffortSpread!D31, UI!B$5:B$14974,Definition!C$4,UI!D$5:D$14974,Definition!F$3), 0)</f>
        <v>0</v>
      </c>
      <c r="O55" s="68">
        <f>IF(compute_ManualOverrideUI="No", COUNTIFS(UI!E$5:E$14974,UCDEffortSpread!D31, UI!B$5:B$14974,Definition!C$4,UI!D$5:D$14974,Definition!G$3),0)</f>
        <v>0</v>
      </c>
      <c r="P55" s="68">
        <f>IF(compute_ManualOverrideUI="No", COUNTIFS(UI!E$5:E$14974,UCDEffortSpread!D31, UI!B$5:B$14974,Definition!C$4,UI!D$5:D$14974,Definition!H$3),0)</f>
        <v>0</v>
      </c>
      <c r="Q55" s="200">
        <f>IF(compute_ManualOverrideUI="No", COUNTIFS(UI!E$5:E$14974,UCDEffortSpread!D31, UI!B$5:B$14974,Definition!C$4,UI!D$5:D$14974,Definition!I$3),0)</f>
        <v>0</v>
      </c>
      <c r="R55" s="202">
        <f>(Definition!M55*Definition!E$4)</f>
        <v>0</v>
      </c>
      <c r="S55" s="202">
        <f>(Definition!N55*Definition!F$4)</f>
        <v>0</v>
      </c>
      <c r="T55" s="202">
        <f>(Definition!O55*Definition!G$4)</f>
        <v>0</v>
      </c>
      <c r="U55" s="202">
        <f>(Definition!P55*Definition!H$4)</f>
        <v>0</v>
      </c>
      <c r="V55" s="202">
        <f>(Definition!Q55*Definition!I$4)</f>
        <v>0</v>
      </c>
      <c r="W55" s="203">
        <f t="shared" si="15"/>
        <v>0</v>
      </c>
      <c r="X55" s="206">
        <f t="shared" si="12"/>
        <v>0</v>
      </c>
    </row>
    <row r="56" spans="2:24" ht="12.75" customHeight="1">
      <c r="B56" s="43" t="s">
        <v>45</v>
      </c>
      <c r="C56" s="128">
        <v>0.5</v>
      </c>
      <c r="E56" s="281" t="s">
        <v>371</v>
      </c>
      <c r="F56" s="208">
        <f t="shared" si="8"/>
        <v>0</v>
      </c>
      <c r="G56" s="208">
        <f t="shared" si="9"/>
        <v>0</v>
      </c>
      <c r="H56" s="208">
        <f t="shared" si="10"/>
        <v>0</v>
      </c>
      <c r="I56" s="208">
        <f t="shared" si="14"/>
        <v>0</v>
      </c>
      <c r="L56" s="427"/>
      <c r="M56" s="68">
        <f>IF(compute_ManualOverrideUI="No", COUNTIFS(UI!E$5:E$14974,UCDEffortSpread!D32, UI!B$5:B$14974,Definition!C$4,UI!D$5:D$14974,Definition!E$3), 0)</f>
        <v>0</v>
      </c>
      <c r="N56" s="68">
        <f>IF(compute_ManualOverrideUI="No", COUNTIFS(UI!E$5:E$14974,UCDEffortSpread!D32, UI!B$5:B$14974,Definition!C$4,UI!D$5:D$14974,Definition!F$3), 0)</f>
        <v>0</v>
      </c>
      <c r="O56" s="68">
        <f>IF(compute_ManualOverrideUI="No", COUNTIFS(UI!E$5:E$14974,UCDEffortSpread!D32, UI!B$5:B$14974,Definition!C$4,UI!D$5:D$14974,Definition!G$3),0)</f>
        <v>0</v>
      </c>
      <c r="P56" s="68">
        <f>IF(compute_ManualOverrideUI="No", COUNTIFS(UI!E$5:E$14974,UCDEffortSpread!D32, UI!B$5:B$14974,Definition!C$4,UI!D$5:D$14974,Definition!H$3),0)</f>
        <v>0</v>
      </c>
      <c r="Q56" s="200">
        <f>IF(compute_ManualOverrideUI="No", COUNTIFS(UI!E$5:E$14974,UCDEffortSpread!D32, UI!B$5:B$14974,Definition!C$4,UI!D$5:D$14974,Definition!I$3),0)</f>
        <v>0</v>
      </c>
      <c r="R56" s="202">
        <f>(Definition!M56*Definition!E$4)</f>
        <v>0</v>
      </c>
      <c r="S56" s="202">
        <f>(Definition!N56*Definition!F$4)</f>
        <v>0</v>
      </c>
      <c r="T56" s="202">
        <f>(Definition!O56*Definition!G$4)</f>
        <v>0</v>
      </c>
      <c r="U56" s="202">
        <f>(Definition!P56*Definition!H$4)</f>
        <v>0</v>
      </c>
      <c r="V56" s="202">
        <f>(Definition!Q56*Definition!I$4)</f>
        <v>0</v>
      </c>
      <c r="W56" s="203">
        <f t="shared" si="15"/>
        <v>0</v>
      </c>
      <c r="X56" s="206">
        <f t="shared" si="12"/>
        <v>0</v>
      </c>
    </row>
    <row r="57" spans="2:24" ht="12.75" customHeight="1">
      <c r="B57" s="43" t="s">
        <v>46</v>
      </c>
      <c r="C57" s="128">
        <v>0.5</v>
      </c>
      <c r="E57" s="281" t="s">
        <v>372</v>
      </c>
      <c r="F57" s="208">
        <f t="shared" si="8"/>
        <v>0</v>
      </c>
      <c r="G57" s="208">
        <f t="shared" si="9"/>
        <v>0</v>
      </c>
      <c r="H57" s="208">
        <f t="shared" si="10"/>
        <v>0</v>
      </c>
      <c r="I57" s="208">
        <f t="shared" si="14"/>
        <v>0</v>
      </c>
      <c r="L57" s="427"/>
      <c r="M57" s="68">
        <f>IF(compute_ManualOverrideUI="No", COUNTIFS(UI!E$5:E$14974,UCDEffortSpread!D33, UI!B$5:B$14974,Definition!C$4,UI!D$5:D$14974,Definition!E$3), 0)</f>
        <v>0</v>
      </c>
      <c r="N57" s="68">
        <f>IF(compute_ManualOverrideUI="No", COUNTIFS(UI!E$5:E$14974,UCDEffortSpread!D33, UI!B$5:B$14974,Definition!C$4,UI!D$5:D$14974,Definition!F$3), 0)</f>
        <v>0</v>
      </c>
      <c r="O57" s="68">
        <f>IF(compute_ManualOverrideUI="No", COUNTIFS(UI!E$5:E$14974,UCDEffortSpread!D33, UI!B$5:B$14974,Definition!C$4,UI!D$5:D$14974,Definition!G$3),0)</f>
        <v>0</v>
      </c>
      <c r="P57" s="68">
        <f>IF(compute_ManualOverrideUI="No", COUNTIFS(UI!E$5:E$14974,UCDEffortSpread!D33, UI!B$5:B$14974,Definition!C$4,UI!D$5:D$14974,Definition!H$3),0)</f>
        <v>0</v>
      </c>
      <c r="Q57" s="200">
        <f>IF(compute_ManualOverrideUI="No", COUNTIFS(UI!E$5:E$14974,UCDEffortSpread!D33, UI!B$5:B$14974,Definition!C$4,UI!D$5:D$14974,Definition!I$3),0)</f>
        <v>0</v>
      </c>
      <c r="R57" s="202">
        <f>(Definition!M57*Definition!E$4)</f>
        <v>0</v>
      </c>
      <c r="S57" s="202">
        <f>(Definition!N57*Definition!F$4)</f>
        <v>0</v>
      </c>
      <c r="T57" s="202">
        <f>(Definition!O57*Definition!G$4)</f>
        <v>0</v>
      </c>
      <c r="U57" s="202">
        <f>(Definition!P57*Definition!H$4)</f>
        <v>0</v>
      </c>
      <c r="V57" s="202">
        <f>(Definition!Q57*Definition!I$4)</f>
        <v>0</v>
      </c>
      <c r="W57" s="203">
        <f t="shared" si="15"/>
        <v>0</v>
      </c>
      <c r="X57" s="206">
        <f t="shared" si="12"/>
        <v>0</v>
      </c>
    </row>
    <row r="58" spans="2:24">
      <c r="B58" s="43" t="s">
        <v>42</v>
      </c>
      <c r="C58" s="128">
        <v>0.5</v>
      </c>
      <c r="E58" s="281" t="s">
        <v>373</v>
      </c>
      <c r="F58" s="208">
        <f t="shared" si="8"/>
        <v>0</v>
      </c>
      <c r="G58" s="208">
        <f t="shared" si="9"/>
        <v>0</v>
      </c>
      <c r="H58" s="208">
        <f t="shared" si="10"/>
        <v>0</v>
      </c>
      <c r="I58" s="208">
        <f t="shared" si="14"/>
        <v>0</v>
      </c>
      <c r="L58" s="427"/>
      <c r="M58" s="68">
        <f>IF(compute_ManualOverrideUI="No", COUNTIFS(UI!E$5:E$14974,UCDEffortSpread!D34, UI!B$5:B$14974,Definition!C$4,UI!D$5:D$14974,Definition!E$3), 0)</f>
        <v>0</v>
      </c>
      <c r="N58" s="68">
        <f>IF(compute_ManualOverrideUI="No", COUNTIFS(UI!E$5:E$14974,UCDEffortSpread!D34, UI!B$5:B$14974,Definition!C$4,UI!D$5:D$14974,Definition!F$3), 0)</f>
        <v>0</v>
      </c>
      <c r="O58" s="68">
        <f>IF(compute_ManualOverrideUI="No", COUNTIFS(UI!E$5:E$14974,UCDEffortSpread!D34, UI!B$5:B$14974,Definition!C$4,UI!D$5:D$14974,Definition!G$3),0)</f>
        <v>0</v>
      </c>
      <c r="P58" s="68">
        <f>IF(compute_ManualOverrideUI="No", COUNTIFS(UI!E$5:E$14974,UCDEffortSpread!D34, UI!B$5:B$14974,Definition!C$4,UI!D$5:D$14974,Definition!H$3),0)</f>
        <v>0</v>
      </c>
      <c r="Q58" s="200">
        <f>IF(compute_ManualOverrideUI="No", COUNTIFS(UI!E$5:E$14974,UCDEffortSpread!D34, UI!B$5:B$14974,Definition!C$4,UI!D$5:D$14974,Definition!I$3),0)</f>
        <v>0</v>
      </c>
      <c r="R58" s="202">
        <f>(Definition!M58*Definition!E$4)</f>
        <v>0</v>
      </c>
      <c r="S58" s="202">
        <f>(Definition!N58*Definition!F$4)</f>
        <v>0</v>
      </c>
      <c r="T58" s="202">
        <f>(Definition!O58*Definition!G$4)</f>
        <v>0</v>
      </c>
      <c r="U58" s="202">
        <f>(Definition!P58*Definition!H$4)</f>
        <v>0</v>
      </c>
      <c r="V58" s="202">
        <f>(Definition!Q58*Definition!I$4)</f>
        <v>0</v>
      </c>
      <c r="W58" s="203">
        <f t="shared" si="15"/>
        <v>0</v>
      </c>
      <c r="X58" s="206">
        <f t="shared" si="12"/>
        <v>0</v>
      </c>
    </row>
    <row r="59" spans="2:24">
      <c r="B59" s="43" t="s">
        <v>43</v>
      </c>
      <c r="C59" s="128">
        <v>0.5</v>
      </c>
      <c r="E59" s="281" t="s">
        <v>374</v>
      </c>
      <c r="F59" s="208">
        <f t="shared" si="8"/>
        <v>0</v>
      </c>
      <c r="G59" s="208">
        <f t="shared" si="9"/>
        <v>0</v>
      </c>
      <c r="H59" s="208">
        <f t="shared" si="10"/>
        <v>0</v>
      </c>
      <c r="I59" s="208">
        <f t="shared" si="14"/>
        <v>0</v>
      </c>
      <c r="L59" s="427"/>
      <c r="M59" s="68">
        <f>IF(compute_ManualOverrideUI="No", COUNTIFS(UI!E$5:E$14974,UCDEffortSpread!D35, UI!B$5:B$14974,Definition!C$4,UI!D$5:D$14974,Definition!E$3), 0)</f>
        <v>0</v>
      </c>
      <c r="N59" s="68">
        <f>IF(compute_ManualOverrideUI="No", COUNTIFS(UI!E$5:E$14974,UCDEffortSpread!D35, UI!B$5:B$14974,Definition!C$4,UI!D$5:D$14974,Definition!F$3), 0)</f>
        <v>0</v>
      </c>
      <c r="O59" s="68">
        <f>IF(compute_ManualOverrideUI="No", COUNTIFS(UI!E$5:E$14974,UCDEffortSpread!D35, UI!B$5:B$14974,Definition!C$4,UI!D$5:D$14974,Definition!G$3),0)</f>
        <v>0</v>
      </c>
      <c r="P59" s="68">
        <f>IF(compute_ManualOverrideUI="No", COUNTIFS(UI!E$5:E$14974,UCDEffortSpread!D35, UI!B$5:B$14974,Definition!C$4,UI!D$5:D$14974,Definition!H$3),0)</f>
        <v>0</v>
      </c>
      <c r="Q59" s="200">
        <f>IF(compute_ManualOverrideUI="No", COUNTIFS(UI!E$5:E$14974,UCDEffortSpread!D35, UI!B$5:B$14974,Definition!C$4,UI!D$5:D$14974,Definition!I$3),0)</f>
        <v>0</v>
      </c>
      <c r="R59" s="202">
        <f>(Definition!M59*Definition!E$4)</f>
        <v>0</v>
      </c>
      <c r="S59" s="202">
        <f>(Definition!N59*Definition!F$4)</f>
        <v>0</v>
      </c>
      <c r="T59" s="202">
        <f>(Definition!O59*Definition!G$4)</f>
        <v>0</v>
      </c>
      <c r="U59" s="202">
        <f>(Definition!P59*Definition!H$4)</f>
        <v>0</v>
      </c>
      <c r="V59" s="202">
        <f>(Definition!Q59*Definition!I$4)</f>
        <v>0</v>
      </c>
      <c r="W59" s="203">
        <f t="shared" si="15"/>
        <v>0</v>
      </c>
      <c r="X59" s="206">
        <f t="shared" si="12"/>
        <v>0</v>
      </c>
    </row>
    <row r="60" spans="2:24">
      <c r="B60" s="77" t="s">
        <v>122</v>
      </c>
      <c r="C60" s="138" t="s">
        <v>273</v>
      </c>
      <c r="E60" s="281" t="s">
        <v>375</v>
      </c>
      <c r="F60" s="208">
        <f t="shared" si="8"/>
        <v>0</v>
      </c>
      <c r="G60" s="208">
        <f t="shared" si="9"/>
        <v>0</v>
      </c>
      <c r="H60" s="208">
        <f t="shared" si="10"/>
        <v>0</v>
      </c>
      <c r="I60" s="208">
        <f t="shared" si="14"/>
        <v>0</v>
      </c>
      <c r="L60" s="427"/>
      <c r="M60" s="68">
        <f>IF(compute_ManualOverrideUI="No", COUNTIFS(UI!E$5:E$14974,UCDEffortSpread!D36, UI!B$5:B$14974,Definition!C$4,UI!D$5:D$14974,Definition!E$3), 0)</f>
        <v>0</v>
      </c>
      <c r="N60" s="68">
        <f>IF(compute_ManualOverrideUI="No", COUNTIFS(UI!E$5:E$14974,UCDEffortSpread!D36, UI!B$5:B$14974,Definition!C$4,UI!D$5:D$14974,Definition!F$3), 0)</f>
        <v>0</v>
      </c>
      <c r="O60" s="68">
        <f>IF(compute_ManualOverrideUI="No", COUNTIFS(UI!E$5:E$14974,UCDEffortSpread!D36, UI!B$5:B$14974,Definition!C$4,UI!D$5:D$14974,Definition!G$3),0)</f>
        <v>0</v>
      </c>
      <c r="P60" s="68">
        <f>IF(compute_ManualOverrideUI="No", COUNTIFS(UI!E$5:E$14974,UCDEffortSpread!D36, UI!B$5:B$14974,Definition!C$4,UI!D$5:D$14974,Definition!H$3),0)</f>
        <v>0</v>
      </c>
      <c r="Q60" s="200">
        <f>IF(compute_ManualOverrideUI="No", COUNTIFS(UI!E$5:E$14974,UCDEffortSpread!D36, UI!B$5:B$14974,Definition!C$4,UI!D$5:D$14974,Definition!I$3),0)</f>
        <v>0</v>
      </c>
      <c r="R60" s="202">
        <f>(Definition!M60*Definition!E$4)</f>
        <v>0</v>
      </c>
      <c r="S60" s="202">
        <f>(Definition!N60*Definition!F$4)</f>
        <v>0</v>
      </c>
      <c r="T60" s="202">
        <f>(Definition!O60*Definition!G$4)</f>
        <v>0</v>
      </c>
      <c r="U60" s="202">
        <f>(Definition!P60*Definition!H$4)</f>
        <v>0</v>
      </c>
      <c r="V60" s="202">
        <f>(Definition!Q60*Definition!I$4)</f>
        <v>0</v>
      </c>
      <c r="W60" s="203">
        <f t="shared" si="15"/>
        <v>0</v>
      </c>
      <c r="X60" s="206">
        <f t="shared" si="12"/>
        <v>0</v>
      </c>
    </row>
    <row r="61" spans="2:24" ht="12.75" customHeight="1">
      <c r="B61" s="45" t="s">
        <v>157</v>
      </c>
      <c r="C61" s="127">
        <v>0.03</v>
      </c>
      <c r="E61" s="281" t="s">
        <v>376</v>
      </c>
      <c r="F61" s="208">
        <f t="shared" ref="F61:F78" si="16">IF(compute_UI=1, SUM(X61,X111,X161), 0)</f>
        <v>0</v>
      </c>
      <c r="G61" s="208">
        <f t="shared" ref="G61:G78" si="17">IF(compute_SPA=1, SUM(X211,X261,X311,X361,X411,X461), 0)</f>
        <v>0</v>
      </c>
      <c r="H61" s="208">
        <f t="shared" ref="H61:H78" si="18">IF(compute_Hybrid=1, SUM(X511,X561,X611), 0)</f>
        <v>0</v>
      </c>
      <c r="I61" s="208">
        <f t="shared" si="14"/>
        <v>0</v>
      </c>
      <c r="L61" s="427"/>
      <c r="M61" s="68">
        <f>IF(compute_ManualOverrideUI="No", COUNTIFS(UI!E$5:E$14974,UCDEffortSpread!D37, UI!B$5:B$14974,Definition!C$4,UI!D$5:D$14974,Definition!E$3), 0)</f>
        <v>0</v>
      </c>
      <c r="N61" s="68">
        <f>IF(compute_ManualOverrideUI="No", COUNTIFS(UI!E$5:E$14974,UCDEffortSpread!D37, UI!B$5:B$14974,Definition!C$4,UI!D$5:D$14974,Definition!F$3), 0)</f>
        <v>0</v>
      </c>
      <c r="O61" s="68">
        <f>IF(compute_ManualOverrideUI="No", COUNTIFS(UI!E$5:E$14974,UCDEffortSpread!D37, UI!B$5:B$14974,Definition!C$4,UI!D$5:D$14974,Definition!G$3),0)</f>
        <v>0</v>
      </c>
      <c r="P61" s="68">
        <f>IF(compute_ManualOverrideUI="No", COUNTIFS(UI!E$5:E$14974,UCDEffortSpread!D37, UI!B$5:B$14974,Definition!C$4,UI!D$5:D$14974,Definition!H$3),0)</f>
        <v>0</v>
      </c>
      <c r="Q61" s="200">
        <f>IF(compute_ManualOverrideUI="No", COUNTIFS(UI!E$5:E$14974,UCDEffortSpread!D37, UI!B$5:B$14974,Definition!C$4,UI!D$5:D$14974,Definition!I$3),0)</f>
        <v>0</v>
      </c>
      <c r="R61" s="202">
        <f>(Definition!M61*Definition!E$4)</f>
        <v>0</v>
      </c>
      <c r="S61" s="202">
        <f>(Definition!N61*Definition!F$4)</f>
        <v>0</v>
      </c>
      <c r="T61" s="202">
        <f>(Definition!O61*Definition!G$4)</f>
        <v>0</v>
      </c>
      <c r="U61" s="202">
        <f>(Definition!P61*Definition!H$4)</f>
        <v>0</v>
      </c>
      <c r="V61" s="202">
        <f>(Definition!Q61*Definition!I$4)</f>
        <v>0</v>
      </c>
      <c r="W61" s="203">
        <f t="shared" si="15"/>
        <v>0</v>
      </c>
      <c r="X61" s="206">
        <f t="shared" si="12"/>
        <v>0</v>
      </c>
    </row>
    <row r="62" spans="2:24" ht="12.75" customHeight="1">
      <c r="B62" s="45" t="s">
        <v>18</v>
      </c>
      <c r="C62" s="127">
        <v>1.4999999999999999E-2</v>
      </c>
      <c r="E62" s="281" t="s">
        <v>377</v>
      </c>
      <c r="F62" s="208">
        <f t="shared" si="16"/>
        <v>0</v>
      </c>
      <c r="G62" s="208">
        <f t="shared" si="17"/>
        <v>0</v>
      </c>
      <c r="H62" s="208">
        <f t="shared" si="18"/>
        <v>0</v>
      </c>
      <c r="I62" s="208">
        <f t="shared" si="14"/>
        <v>0</v>
      </c>
      <c r="L62" s="427"/>
      <c r="M62" s="68">
        <f>IF(compute_ManualOverrideUI="No", COUNTIFS(UI!E$5:E$14974,UCDEffortSpread!D38, UI!B$5:B$14974,Definition!C$4,UI!D$5:D$14974,Definition!E$3), 0)</f>
        <v>0</v>
      </c>
      <c r="N62" s="68">
        <f>IF(compute_ManualOverrideUI="No", COUNTIFS(UI!E$5:E$14974,UCDEffortSpread!D38, UI!B$5:B$14974,Definition!C$4,UI!D$5:D$14974,Definition!F$3), 0)</f>
        <v>0</v>
      </c>
      <c r="O62" s="68">
        <f>IF(compute_ManualOverrideUI="No", COUNTIFS(UI!E$5:E$14974,UCDEffortSpread!D38, UI!B$5:B$14974,Definition!C$4,UI!D$5:D$14974,Definition!G$3),0)</f>
        <v>0</v>
      </c>
      <c r="P62" s="68">
        <f>IF(compute_ManualOverrideUI="No", COUNTIFS(UI!E$5:E$14974,UCDEffortSpread!D38, UI!B$5:B$14974,Definition!C$4,UI!D$5:D$14974,Definition!H$3),0)</f>
        <v>0</v>
      </c>
      <c r="Q62" s="200">
        <f>IF(compute_ManualOverrideUI="No", COUNTIFS(UI!E$5:E$14974,UCDEffortSpread!D38, UI!B$5:B$14974,Definition!C$4,UI!D$5:D$14974,Definition!I$3),0)</f>
        <v>0</v>
      </c>
      <c r="R62" s="202">
        <f>(Definition!M62*Definition!E$4)</f>
        <v>0</v>
      </c>
      <c r="S62" s="202">
        <f>(Definition!N62*Definition!F$4)</f>
        <v>0</v>
      </c>
      <c r="T62" s="202">
        <f>(Definition!O62*Definition!G$4)</f>
        <v>0</v>
      </c>
      <c r="U62" s="202">
        <f>(Definition!P62*Definition!H$4)</f>
        <v>0</v>
      </c>
      <c r="V62" s="202">
        <f>(Definition!Q62*Definition!I$4)</f>
        <v>0</v>
      </c>
      <c r="W62" s="203">
        <f t="shared" si="15"/>
        <v>0</v>
      </c>
      <c r="X62" s="206">
        <f t="shared" si="12"/>
        <v>0</v>
      </c>
    </row>
    <row r="63" spans="2:24">
      <c r="B63" s="45" t="s">
        <v>8</v>
      </c>
      <c r="C63" s="127">
        <v>1.4999999999999999E-2</v>
      </c>
      <c r="E63" s="281" t="s">
        <v>378</v>
      </c>
      <c r="F63" s="208">
        <f t="shared" si="16"/>
        <v>0</v>
      </c>
      <c r="G63" s="208">
        <f t="shared" si="17"/>
        <v>0</v>
      </c>
      <c r="H63" s="208">
        <f t="shared" si="18"/>
        <v>0</v>
      </c>
      <c r="I63" s="208">
        <f t="shared" si="14"/>
        <v>0</v>
      </c>
      <c r="L63" s="427"/>
      <c r="M63" s="68">
        <f>IF(compute_ManualOverrideUI="No", COUNTIFS(UI!E$5:E$14974,UCDEffortSpread!D39, UI!B$5:B$14974,Definition!C$4,UI!D$5:D$14974,Definition!E$3), 0)</f>
        <v>0</v>
      </c>
      <c r="N63" s="68">
        <f>IF(compute_ManualOverrideUI="No", COUNTIFS(UI!E$5:E$14974,UCDEffortSpread!D39, UI!B$5:B$14974,Definition!C$4,UI!D$5:D$14974,Definition!F$3), 0)</f>
        <v>0</v>
      </c>
      <c r="O63" s="68">
        <f>IF(compute_ManualOverrideUI="No", COUNTIFS(UI!E$5:E$14974,UCDEffortSpread!D39, UI!B$5:B$14974,Definition!C$4,UI!D$5:D$14974,Definition!G$3),0)</f>
        <v>0</v>
      </c>
      <c r="P63" s="68">
        <f>IF(compute_ManualOverrideUI="No", COUNTIFS(UI!E$5:E$14974,UCDEffortSpread!D39, UI!B$5:B$14974,Definition!C$4,UI!D$5:D$14974,Definition!H$3),0)</f>
        <v>0</v>
      </c>
      <c r="Q63" s="200">
        <f>IF(compute_ManualOverrideUI="No", COUNTIFS(UI!E$5:E$14974,UCDEffortSpread!D39, UI!B$5:B$14974,Definition!C$4,UI!D$5:D$14974,Definition!I$3),0)</f>
        <v>0</v>
      </c>
      <c r="R63" s="202">
        <f>(Definition!M63*Definition!E$4)</f>
        <v>0</v>
      </c>
      <c r="S63" s="202">
        <f>(Definition!N63*Definition!F$4)</f>
        <v>0</v>
      </c>
      <c r="T63" s="202">
        <f>(Definition!O63*Definition!G$4)</f>
        <v>0</v>
      </c>
      <c r="U63" s="202">
        <f>(Definition!P63*Definition!H$4)</f>
        <v>0</v>
      </c>
      <c r="V63" s="202">
        <f>(Definition!Q63*Definition!I$4)</f>
        <v>0</v>
      </c>
      <c r="W63" s="203">
        <f t="shared" si="15"/>
        <v>0</v>
      </c>
      <c r="X63" s="206">
        <f t="shared" si="12"/>
        <v>0</v>
      </c>
    </row>
    <row r="64" spans="2:24">
      <c r="B64" s="45" t="s">
        <v>19</v>
      </c>
      <c r="C64" s="127">
        <v>1.4999999999999999E-2</v>
      </c>
      <c r="E64" s="281" t="s">
        <v>379</v>
      </c>
      <c r="F64" s="208">
        <f t="shared" si="16"/>
        <v>0</v>
      </c>
      <c r="G64" s="208">
        <f t="shared" si="17"/>
        <v>0</v>
      </c>
      <c r="H64" s="208">
        <f t="shared" si="18"/>
        <v>0</v>
      </c>
      <c r="I64" s="208">
        <f t="shared" si="14"/>
        <v>0</v>
      </c>
      <c r="L64" s="427"/>
      <c r="M64" s="68">
        <f>IF(compute_ManualOverrideUI="No", COUNTIFS(UI!E$5:E$14974,UCDEffortSpread!D40, UI!B$5:B$14974,Definition!C$4,UI!D$5:D$14974,Definition!E$3), 0)</f>
        <v>0</v>
      </c>
      <c r="N64" s="68">
        <f>IF(compute_ManualOverrideUI="No", COUNTIFS(UI!E$5:E$14974,UCDEffortSpread!D40, UI!B$5:B$14974,Definition!C$4,UI!D$5:D$14974,Definition!F$3), 0)</f>
        <v>0</v>
      </c>
      <c r="O64" s="68">
        <f>IF(compute_ManualOverrideUI="No", COUNTIFS(UI!E$5:E$14974,UCDEffortSpread!D40, UI!B$5:B$14974,Definition!C$4,UI!D$5:D$14974,Definition!G$3),0)</f>
        <v>0</v>
      </c>
      <c r="P64" s="68">
        <f>IF(compute_ManualOverrideUI="No", COUNTIFS(UI!E$5:E$14974,UCDEffortSpread!D40, UI!B$5:B$14974,Definition!C$4,UI!D$5:D$14974,Definition!H$3),0)</f>
        <v>0</v>
      </c>
      <c r="Q64" s="200">
        <f>IF(compute_ManualOverrideUI="No", COUNTIFS(UI!E$5:E$14974,UCDEffortSpread!D40, UI!B$5:B$14974,Definition!C$4,UI!D$5:D$14974,Definition!I$3),0)</f>
        <v>0</v>
      </c>
      <c r="R64" s="202">
        <f>(Definition!M64*Definition!E$4)</f>
        <v>0</v>
      </c>
      <c r="S64" s="202">
        <f>(Definition!N64*Definition!F$4)</f>
        <v>0</v>
      </c>
      <c r="T64" s="202">
        <f>(Definition!O64*Definition!G$4)</f>
        <v>0</v>
      </c>
      <c r="U64" s="202">
        <f>(Definition!P64*Definition!H$4)</f>
        <v>0</v>
      </c>
      <c r="V64" s="202">
        <f>(Definition!Q64*Definition!I$4)</f>
        <v>0</v>
      </c>
      <c r="W64" s="203">
        <f t="shared" si="15"/>
        <v>0</v>
      </c>
      <c r="X64" s="206">
        <f t="shared" si="12"/>
        <v>0</v>
      </c>
    </row>
    <row r="65" spans="2:24">
      <c r="B65" s="45" t="s">
        <v>20</v>
      </c>
      <c r="C65" s="127">
        <v>1.4999999999999999E-2</v>
      </c>
      <c r="E65" s="281" t="s">
        <v>380</v>
      </c>
      <c r="F65" s="208">
        <f t="shared" si="16"/>
        <v>0</v>
      </c>
      <c r="G65" s="208">
        <f t="shared" si="17"/>
        <v>0</v>
      </c>
      <c r="H65" s="208">
        <f t="shared" si="18"/>
        <v>0</v>
      </c>
      <c r="I65" s="208">
        <f t="shared" si="14"/>
        <v>0</v>
      </c>
      <c r="L65" s="427"/>
      <c r="M65" s="68">
        <f>IF(compute_ManualOverrideUI="No", COUNTIFS(UI!E$5:E$14974,UCDEffortSpread!D41, UI!B$5:B$14974,Definition!C$4,UI!D$5:D$14974,Definition!E$3), 0)</f>
        <v>0</v>
      </c>
      <c r="N65" s="68">
        <f>IF(compute_ManualOverrideUI="No", COUNTIFS(UI!E$5:E$14974,UCDEffortSpread!D41, UI!B$5:B$14974,Definition!C$4,UI!D$5:D$14974,Definition!F$3), 0)</f>
        <v>0</v>
      </c>
      <c r="O65" s="68">
        <f>IF(compute_ManualOverrideUI="No", COUNTIFS(UI!E$5:E$14974,UCDEffortSpread!D41, UI!B$5:B$14974,Definition!C$4,UI!D$5:D$14974,Definition!G$3),0)</f>
        <v>0</v>
      </c>
      <c r="P65" s="68">
        <f>IF(compute_ManualOverrideUI="No", COUNTIFS(UI!E$5:E$14974,UCDEffortSpread!D41, UI!B$5:B$14974,Definition!C$4,UI!D$5:D$14974,Definition!H$3),0)</f>
        <v>0</v>
      </c>
      <c r="Q65" s="200">
        <f>IF(compute_ManualOverrideUI="No", COUNTIFS(UI!E$5:E$14974,UCDEffortSpread!D41, UI!B$5:B$14974,Definition!C$4,UI!D$5:D$14974,Definition!I$3),0)</f>
        <v>0</v>
      </c>
      <c r="R65" s="202">
        <f>(Definition!M65*Definition!E$4)</f>
        <v>0</v>
      </c>
      <c r="S65" s="202">
        <f>(Definition!N65*Definition!F$4)</f>
        <v>0</v>
      </c>
      <c r="T65" s="202">
        <f>(Definition!O65*Definition!G$4)</f>
        <v>0</v>
      </c>
      <c r="U65" s="202">
        <f>(Definition!P65*Definition!H$4)</f>
        <v>0</v>
      </c>
      <c r="V65" s="202">
        <f>(Definition!Q65*Definition!I$4)</f>
        <v>0</v>
      </c>
      <c r="W65" s="203">
        <f t="shared" si="15"/>
        <v>0</v>
      </c>
      <c r="X65" s="206">
        <f t="shared" si="12"/>
        <v>0</v>
      </c>
    </row>
    <row r="66" spans="2:24" ht="12.75" customHeight="1">
      <c r="B66" s="77" t="s">
        <v>123</v>
      </c>
      <c r="C66" s="138" t="s">
        <v>273</v>
      </c>
      <c r="E66" s="281" t="s">
        <v>381</v>
      </c>
      <c r="F66" s="208">
        <f t="shared" si="16"/>
        <v>0</v>
      </c>
      <c r="G66" s="208">
        <f t="shared" si="17"/>
        <v>0</v>
      </c>
      <c r="H66" s="208">
        <f t="shared" si="18"/>
        <v>0</v>
      </c>
      <c r="I66" s="208">
        <f t="shared" si="14"/>
        <v>0</v>
      </c>
      <c r="L66" s="427"/>
      <c r="M66" s="68">
        <f>IF(compute_ManualOverrideUI="No", COUNTIFS(UI!E$5:E$14974,UCDEffortSpread!D42, UI!B$5:B$14974,Definition!C$4,UI!D$5:D$14974,Definition!E$3), 0)</f>
        <v>0</v>
      </c>
      <c r="N66" s="68">
        <f>IF(compute_ManualOverrideUI="No", COUNTIFS(UI!E$5:E$14974,UCDEffortSpread!D42, UI!B$5:B$14974,Definition!C$4,UI!D$5:D$14974,Definition!F$3), 0)</f>
        <v>0</v>
      </c>
      <c r="O66" s="68">
        <f>IF(compute_ManualOverrideUI="No", COUNTIFS(UI!E$5:E$14974,UCDEffortSpread!D42, UI!B$5:B$14974,Definition!C$4,UI!D$5:D$14974,Definition!G$3),0)</f>
        <v>0</v>
      </c>
      <c r="P66" s="68">
        <f>IF(compute_ManualOverrideUI="No", COUNTIFS(UI!E$5:E$14974,UCDEffortSpread!D42, UI!B$5:B$14974,Definition!C$4,UI!D$5:D$14974,Definition!H$3),0)</f>
        <v>0</v>
      </c>
      <c r="Q66" s="200">
        <f>IF(compute_ManualOverrideUI="No", COUNTIFS(UI!E$5:E$14974,UCDEffortSpread!D42, UI!B$5:B$14974,Definition!C$4,UI!D$5:D$14974,Definition!I$3),0)</f>
        <v>0</v>
      </c>
      <c r="R66" s="202">
        <f>(Definition!M66*Definition!E$4)</f>
        <v>0</v>
      </c>
      <c r="S66" s="202">
        <f>(Definition!N66*Definition!F$4)</f>
        <v>0</v>
      </c>
      <c r="T66" s="202">
        <f>(Definition!O66*Definition!G$4)</f>
        <v>0</v>
      </c>
      <c r="U66" s="202">
        <f>(Definition!P66*Definition!H$4)</f>
        <v>0</v>
      </c>
      <c r="V66" s="202">
        <f>(Definition!Q66*Definition!I$4)</f>
        <v>0</v>
      </c>
      <c r="W66" s="203">
        <f t="shared" si="15"/>
        <v>0</v>
      </c>
      <c r="X66" s="206">
        <f t="shared" si="12"/>
        <v>0</v>
      </c>
    </row>
    <row r="67" spans="2:24">
      <c r="B67" s="43" t="s">
        <v>15</v>
      </c>
      <c r="C67" s="127">
        <v>1.4999999999999999E-2</v>
      </c>
      <c r="E67" s="281" t="s">
        <v>382</v>
      </c>
      <c r="F67" s="208">
        <f t="shared" si="16"/>
        <v>0</v>
      </c>
      <c r="G67" s="208">
        <f t="shared" si="17"/>
        <v>0</v>
      </c>
      <c r="H67" s="208">
        <f t="shared" si="18"/>
        <v>0</v>
      </c>
      <c r="I67" s="208">
        <f t="shared" si="14"/>
        <v>0</v>
      </c>
      <c r="L67" s="427"/>
      <c r="M67" s="68">
        <f>IF(compute_ManualOverrideUI="No", COUNTIFS(UI!E$5:E$14974,UCDEffortSpread!D43, UI!B$5:B$14974,Definition!C$4,UI!D$5:D$14974,Definition!E$3), 0)</f>
        <v>0</v>
      </c>
      <c r="N67" s="68">
        <f>IF(compute_ManualOverrideUI="No", COUNTIFS(UI!E$5:E$14974,UCDEffortSpread!D43, UI!B$5:B$14974,Definition!C$4,UI!D$5:D$14974,Definition!F$3), 0)</f>
        <v>0</v>
      </c>
      <c r="O67" s="68">
        <f>IF(compute_ManualOverrideUI="No", COUNTIFS(UI!E$5:E$14974,UCDEffortSpread!D43, UI!B$5:B$14974,Definition!C$4,UI!D$5:D$14974,Definition!G$3),0)</f>
        <v>0</v>
      </c>
      <c r="P67" s="68">
        <f>IF(compute_ManualOverrideUI="No", COUNTIFS(UI!E$5:E$14974,UCDEffortSpread!D43, UI!B$5:B$14974,Definition!C$4,UI!D$5:D$14974,Definition!H$3),0)</f>
        <v>0</v>
      </c>
      <c r="Q67" s="200">
        <f>IF(compute_ManualOverrideUI="No", COUNTIFS(UI!E$5:E$14974,UCDEffortSpread!D43, UI!B$5:B$14974,Definition!C$4,UI!D$5:D$14974,Definition!I$3),0)</f>
        <v>0</v>
      </c>
      <c r="R67" s="202">
        <f>(Definition!M67*Definition!E$4)</f>
        <v>0</v>
      </c>
      <c r="S67" s="202">
        <f>(Definition!N67*Definition!F$4)</f>
        <v>0</v>
      </c>
      <c r="T67" s="202">
        <f>(Definition!O67*Definition!G$4)</f>
        <v>0</v>
      </c>
      <c r="U67" s="202">
        <f>(Definition!P67*Definition!H$4)</f>
        <v>0</v>
      </c>
      <c r="V67" s="202">
        <f>(Definition!Q67*Definition!I$4)</f>
        <v>0</v>
      </c>
      <c r="W67" s="203">
        <f t="shared" si="15"/>
        <v>0</v>
      </c>
      <c r="X67" s="206">
        <f t="shared" si="12"/>
        <v>0</v>
      </c>
    </row>
    <row r="68" spans="2:24">
      <c r="B68" s="43" t="s">
        <v>16</v>
      </c>
      <c r="C68" s="127">
        <v>1.4999999999999999E-2</v>
      </c>
      <c r="E68" s="281" t="s">
        <v>383</v>
      </c>
      <c r="F68" s="208">
        <f t="shared" si="16"/>
        <v>0</v>
      </c>
      <c r="G68" s="208">
        <f t="shared" si="17"/>
        <v>0</v>
      </c>
      <c r="H68" s="208">
        <f t="shared" si="18"/>
        <v>0</v>
      </c>
      <c r="I68" s="208">
        <f t="shared" si="14"/>
        <v>0</v>
      </c>
      <c r="L68" s="427"/>
      <c r="M68" s="68">
        <f>IF(compute_ManualOverrideUI="No", COUNTIFS(UI!E$5:E$14974,UCDEffortSpread!D44, UI!B$5:B$14974,Definition!C$4,UI!D$5:D$14974,Definition!E$3), 0)</f>
        <v>0</v>
      </c>
      <c r="N68" s="68">
        <f>IF(compute_ManualOverrideUI="No", COUNTIFS(UI!E$5:E$14974,UCDEffortSpread!D44, UI!B$5:B$14974,Definition!C$4,UI!D$5:D$14974,Definition!F$3), 0)</f>
        <v>0</v>
      </c>
      <c r="O68" s="68">
        <f>IF(compute_ManualOverrideUI="No", COUNTIFS(UI!E$5:E$14974,UCDEffortSpread!D44, UI!B$5:B$14974,Definition!C$4,UI!D$5:D$14974,Definition!G$3),0)</f>
        <v>0</v>
      </c>
      <c r="P68" s="68">
        <f>IF(compute_ManualOverrideUI="No", COUNTIFS(UI!E$5:E$14974,UCDEffortSpread!D44, UI!B$5:B$14974,Definition!C$4,UI!D$5:D$14974,Definition!H$3),0)</f>
        <v>0</v>
      </c>
      <c r="Q68" s="200">
        <f>IF(compute_ManualOverrideUI="No", COUNTIFS(UI!E$5:E$14974,UCDEffortSpread!D44, UI!B$5:B$14974,Definition!C$4,UI!D$5:D$14974,Definition!I$3),0)</f>
        <v>0</v>
      </c>
      <c r="R68" s="202">
        <f>(Definition!M68*Definition!E$4)</f>
        <v>0</v>
      </c>
      <c r="S68" s="202">
        <f>(Definition!N68*Definition!F$4)</f>
        <v>0</v>
      </c>
      <c r="T68" s="202">
        <f>(Definition!O68*Definition!G$4)</f>
        <v>0</v>
      </c>
      <c r="U68" s="202">
        <f>(Definition!P68*Definition!H$4)</f>
        <v>0</v>
      </c>
      <c r="V68" s="202">
        <f>(Definition!Q68*Definition!I$4)</f>
        <v>0</v>
      </c>
      <c r="W68" s="203">
        <f t="shared" si="15"/>
        <v>0</v>
      </c>
      <c r="X68" s="206">
        <f t="shared" si="12"/>
        <v>0</v>
      </c>
    </row>
    <row r="69" spans="2:24">
      <c r="B69" s="43" t="s">
        <v>87</v>
      </c>
      <c r="C69" s="127">
        <v>1.4999999999999999E-2</v>
      </c>
      <c r="E69" s="281" t="s">
        <v>384</v>
      </c>
      <c r="F69" s="208">
        <f t="shared" si="16"/>
        <v>0</v>
      </c>
      <c r="G69" s="208">
        <f t="shared" si="17"/>
        <v>0</v>
      </c>
      <c r="H69" s="208">
        <f t="shared" si="18"/>
        <v>0</v>
      </c>
      <c r="I69" s="208">
        <f t="shared" si="14"/>
        <v>0</v>
      </c>
      <c r="L69" s="427"/>
      <c r="M69" s="68">
        <f>IF(compute_ManualOverrideUI="No", COUNTIFS(UI!E$5:E$14974,UCDEffortSpread!D45, UI!B$5:B$14974,Definition!C$4,UI!D$5:D$14974,Definition!E$3), 0)</f>
        <v>0</v>
      </c>
      <c r="N69" s="68">
        <f>IF(compute_ManualOverrideUI="No", COUNTIFS(UI!E$5:E$14974,UCDEffortSpread!D45, UI!B$5:B$14974,Definition!C$4,UI!D$5:D$14974,Definition!F$3), 0)</f>
        <v>0</v>
      </c>
      <c r="O69" s="68">
        <f>IF(compute_ManualOverrideUI="No", COUNTIFS(UI!E$5:E$14974,UCDEffortSpread!D45, UI!B$5:B$14974,Definition!C$4,UI!D$5:D$14974,Definition!G$3),0)</f>
        <v>0</v>
      </c>
      <c r="P69" s="68">
        <f>IF(compute_ManualOverrideUI="No", COUNTIFS(UI!E$5:E$14974,UCDEffortSpread!D45, UI!B$5:B$14974,Definition!C$4,UI!D$5:D$14974,Definition!H$3),0)</f>
        <v>0</v>
      </c>
      <c r="Q69" s="200">
        <f>IF(compute_ManualOverrideUI="No", COUNTIFS(UI!E$5:E$14974,UCDEffortSpread!D45, UI!B$5:B$14974,Definition!C$4,UI!D$5:D$14974,Definition!I$3),0)</f>
        <v>0</v>
      </c>
      <c r="R69" s="202">
        <f>(Definition!M69*Definition!E$4)</f>
        <v>0</v>
      </c>
      <c r="S69" s="202">
        <f>(Definition!N69*Definition!F$4)</f>
        <v>0</v>
      </c>
      <c r="T69" s="202">
        <f>(Definition!O69*Definition!G$4)</f>
        <v>0</v>
      </c>
      <c r="U69" s="202">
        <f>(Definition!P69*Definition!H$4)</f>
        <v>0</v>
      </c>
      <c r="V69" s="202">
        <f>(Definition!Q69*Definition!I$4)</f>
        <v>0</v>
      </c>
      <c r="W69" s="203">
        <f t="shared" si="15"/>
        <v>0</v>
      </c>
      <c r="X69" s="206">
        <f t="shared" si="12"/>
        <v>0</v>
      </c>
    </row>
    <row r="70" spans="2:24">
      <c r="B70" s="43" t="s">
        <v>89</v>
      </c>
      <c r="C70" s="127">
        <v>1.4999999999999999E-2</v>
      </c>
      <c r="E70" s="281" t="s">
        <v>385</v>
      </c>
      <c r="F70" s="208">
        <f t="shared" si="16"/>
        <v>0</v>
      </c>
      <c r="G70" s="208">
        <f t="shared" si="17"/>
        <v>0</v>
      </c>
      <c r="H70" s="208">
        <f t="shared" si="18"/>
        <v>0</v>
      </c>
      <c r="I70" s="208">
        <f t="shared" si="14"/>
        <v>0</v>
      </c>
      <c r="L70" s="427"/>
      <c r="M70" s="68">
        <f>IF(compute_ManualOverrideUI="No", COUNTIFS(UI!E$5:E$14974,UCDEffortSpread!D46, UI!B$5:B$14974,Definition!C$4,UI!D$5:D$14974,Definition!E$3), 0)</f>
        <v>0</v>
      </c>
      <c r="N70" s="68">
        <f>IF(compute_ManualOverrideUI="No", COUNTIFS(UI!E$5:E$14974,UCDEffortSpread!D46, UI!B$5:B$14974,Definition!C$4,UI!D$5:D$14974,Definition!F$3), 0)</f>
        <v>0</v>
      </c>
      <c r="O70" s="68">
        <f>IF(compute_ManualOverrideUI="No", COUNTIFS(UI!E$5:E$14974,UCDEffortSpread!D46, UI!B$5:B$14974,Definition!C$4,UI!D$5:D$14974,Definition!G$3),0)</f>
        <v>0</v>
      </c>
      <c r="P70" s="68">
        <f>IF(compute_ManualOverrideUI="No", COUNTIFS(UI!E$5:E$14974,UCDEffortSpread!D46, UI!B$5:B$14974,Definition!C$4,UI!D$5:D$14974,Definition!H$3),0)</f>
        <v>0</v>
      </c>
      <c r="Q70" s="200">
        <f>IF(compute_ManualOverrideUI="No", COUNTIFS(UI!E$5:E$14974,UCDEffortSpread!D46, UI!B$5:B$14974,Definition!C$4,UI!D$5:D$14974,Definition!I$3),0)</f>
        <v>0</v>
      </c>
      <c r="R70" s="202">
        <f>(Definition!M70*Definition!E$4)</f>
        <v>0</v>
      </c>
      <c r="S70" s="202">
        <f>(Definition!N70*Definition!F$4)</f>
        <v>0</v>
      </c>
      <c r="T70" s="202">
        <f>(Definition!O70*Definition!G$4)</f>
        <v>0</v>
      </c>
      <c r="U70" s="202">
        <f>(Definition!P70*Definition!H$4)</f>
        <v>0</v>
      </c>
      <c r="V70" s="202">
        <f>(Definition!Q70*Definition!I$4)</f>
        <v>0</v>
      </c>
      <c r="W70" s="203">
        <f t="shared" si="15"/>
        <v>0</v>
      </c>
      <c r="X70" s="206">
        <f t="shared" si="12"/>
        <v>0</v>
      </c>
    </row>
    <row r="71" spans="2:24">
      <c r="B71" s="78" t="s">
        <v>100</v>
      </c>
      <c r="C71" s="137" t="s">
        <v>274</v>
      </c>
      <c r="E71" s="281" t="s">
        <v>386</v>
      </c>
      <c r="F71" s="208">
        <f t="shared" si="16"/>
        <v>0</v>
      </c>
      <c r="G71" s="208">
        <f t="shared" si="17"/>
        <v>0</v>
      </c>
      <c r="H71" s="208">
        <f t="shared" si="18"/>
        <v>0</v>
      </c>
      <c r="I71" s="208">
        <f t="shared" si="14"/>
        <v>0</v>
      </c>
      <c r="L71" s="427"/>
      <c r="M71" s="68">
        <f>IF(compute_ManualOverrideUI="No", COUNTIFS(UI!E$5:E$14974,UCDEffortSpread!D47, UI!B$5:B$14974,Definition!C$4,UI!D$5:D$14974,Definition!E$3), 0)</f>
        <v>0</v>
      </c>
      <c r="N71" s="68">
        <f>IF(compute_ManualOverrideUI="No", COUNTIFS(UI!E$5:E$14974,UCDEffortSpread!D47, UI!B$5:B$14974,Definition!C$4,UI!D$5:D$14974,Definition!F$3), 0)</f>
        <v>0</v>
      </c>
      <c r="O71" s="68">
        <f>IF(compute_ManualOverrideUI="No", COUNTIFS(UI!E$5:E$14974,UCDEffortSpread!D47, UI!B$5:B$14974,Definition!C$4,UI!D$5:D$14974,Definition!G$3),0)</f>
        <v>0</v>
      </c>
      <c r="P71" s="68">
        <f>IF(compute_ManualOverrideUI="No", COUNTIFS(UI!E$5:E$14974,UCDEffortSpread!D47, UI!B$5:B$14974,Definition!C$4,UI!D$5:D$14974,Definition!H$3),0)</f>
        <v>0</v>
      </c>
      <c r="Q71" s="200">
        <f>IF(compute_ManualOverrideUI="No", COUNTIFS(UI!E$5:E$14974,UCDEffortSpread!D47, UI!B$5:B$14974,Definition!C$4,UI!D$5:D$14974,Definition!I$3),0)</f>
        <v>0</v>
      </c>
      <c r="R71" s="202">
        <f>(Definition!M71*Definition!E$4)</f>
        <v>0</v>
      </c>
      <c r="S71" s="202">
        <f>(Definition!N71*Definition!F$4)</f>
        <v>0</v>
      </c>
      <c r="T71" s="202">
        <f>(Definition!O71*Definition!G$4)</f>
        <v>0</v>
      </c>
      <c r="U71" s="202">
        <f>(Definition!P71*Definition!H$4)</f>
        <v>0</v>
      </c>
      <c r="V71" s="202">
        <f>(Definition!Q71*Definition!I$4)</f>
        <v>0</v>
      </c>
      <c r="W71" s="203">
        <f t="shared" si="15"/>
        <v>0</v>
      </c>
      <c r="X71" s="206">
        <f t="shared" si="12"/>
        <v>0</v>
      </c>
    </row>
    <row r="72" spans="2:24">
      <c r="B72" s="43" t="s">
        <v>102</v>
      </c>
      <c r="C72" s="164">
        <v>0.5</v>
      </c>
      <c r="E72" s="281" t="s">
        <v>387</v>
      </c>
      <c r="F72" s="208">
        <f t="shared" si="16"/>
        <v>0</v>
      </c>
      <c r="G72" s="208">
        <f t="shared" si="17"/>
        <v>0</v>
      </c>
      <c r="H72" s="208">
        <f t="shared" si="18"/>
        <v>0</v>
      </c>
      <c r="I72" s="208">
        <f t="shared" si="14"/>
        <v>0</v>
      </c>
      <c r="L72" s="427"/>
      <c r="M72" s="68">
        <f>IF(compute_ManualOverrideUI="No", COUNTIFS(UI!E$5:E$14974,UCDEffortSpread!D48, UI!B$5:B$14974,Definition!C$4,UI!D$5:D$14974,Definition!E$3), 0)</f>
        <v>0</v>
      </c>
      <c r="N72" s="68">
        <f>IF(compute_ManualOverrideUI="No", COUNTIFS(UI!E$5:E$14974,UCDEffortSpread!D48, UI!B$5:B$14974,Definition!C$4,UI!D$5:D$14974,Definition!F$3), 0)</f>
        <v>0</v>
      </c>
      <c r="O72" s="68">
        <f>IF(compute_ManualOverrideUI="No", COUNTIFS(UI!E$5:E$14974,UCDEffortSpread!D48, UI!B$5:B$14974,Definition!C$4,UI!D$5:D$14974,Definition!G$3),0)</f>
        <v>0</v>
      </c>
      <c r="P72" s="68">
        <f>IF(compute_ManualOverrideUI="No", COUNTIFS(UI!E$5:E$14974,UCDEffortSpread!D48, UI!B$5:B$14974,Definition!C$4,UI!D$5:D$14974,Definition!H$3),0)</f>
        <v>0</v>
      </c>
      <c r="Q72" s="200">
        <f>IF(compute_ManualOverrideUI="No", COUNTIFS(UI!E$5:E$14974,UCDEffortSpread!D48, UI!B$5:B$14974,Definition!C$4,UI!D$5:D$14974,Definition!I$3),0)</f>
        <v>0</v>
      </c>
      <c r="R72" s="202">
        <f>(Definition!M72*Definition!E$4)</f>
        <v>0</v>
      </c>
      <c r="S72" s="202">
        <f>(Definition!N72*Definition!F$4)</f>
        <v>0</v>
      </c>
      <c r="T72" s="202">
        <f>(Definition!O72*Definition!G$4)</f>
        <v>0</v>
      </c>
      <c r="U72" s="202">
        <f>(Definition!P72*Definition!H$4)</f>
        <v>0</v>
      </c>
      <c r="V72" s="202">
        <f>(Definition!Q72*Definition!I$4)</f>
        <v>0</v>
      </c>
      <c r="W72" s="203">
        <f t="shared" si="15"/>
        <v>0</v>
      </c>
      <c r="X72" s="206">
        <f t="shared" si="12"/>
        <v>0</v>
      </c>
    </row>
    <row r="73" spans="2:24">
      <c r="B73" s="43" t="s">
        <v>101</v>
      </c>
      <c r="C73" s="125">
        <v>0.05</v>
      </c>
      <c r="E73" s="281" t="s">
        <v>388</v>
      </c>
      <c r="F73" s="208">
        <f t="shared" si="16"/>
        <v>0</v>
      </c>
      <c r="G73" s="208">
        <f t="shared" si="17"/>
        <v>0</v>
      </c>
      <c r="H73" s="208">
        <f t="shared" si="18"/>
        <v>0</v>
      </c>
      <c r="I73" s="208">
        <f t="shared" si="14"/>
        <v>0</v>
      </c>
      <c r="L73" s="427"/>
      <c r="M73" s="68">
        <f>IF(compute_ManualOverrideUI="No", COUNTIFS(UI!E$5:E$14974,UCDEffortSpread!D49, UI!B$5:B$14974,Definition!C$4,UI!D$5:D$14974,Definition!E$3), 0)</f>
        <v>0</v>
      </c>
      <c r="N73" s="68">
        <f>IF(compute_ManualOverrideUI="No", COUNTIFS(UI!E$5:E$14974,UCDEffortSpread!D49, UI!B$5:B$14974,Definition!C$4,UI!D$5:D$14974,Definition!F$3), 0)</f>
        <v>0</v>
      </c>
      <c r="O73" s="68">
        <f>IF(compute_ManualOverrideUI="No", COUNTIFS(UI!E$5:E$14974,UCDEffortSpread!D49, UI!B$5:B$14974,Definition!C$4,UI!D$5:D$14974,Definition!G$3),0)</f>
        <v>0</v>
      </c>
      <c r="P73" s="68">
        <f>IF(compute_ManualOverrideUI="No", COUNTIFS(UI!E$5:E$14974,UCDEffortSpread!D49, UI!B$5:B$14974,Definition!C$4,UI!D$5:D$14974,Definition!H$3),0)</f>
        <v>0</v>
      </c>
      <c r="Q73" s="200">
        <f>IF(compute_ManualOverrideUI="No", COUNTIFS(UI!E$5:E$14974,UCDEffortSpread!D49, UI!B$5:B$14974,Definition!C$4,UI!D$5:D$14974,Definition!I$3),0)</f>
        <v>0</v>
      </c>
      <c r="R73" s="202">
        <f>(Definition!M73*Definition!E$4)</f>
        <v>0</v>
      </c>
      <c r="S73" s="202">
        <f>(Definition!N73*Definition!F$4)</f>
        <v>0</v>
      </c>
      <c r="T73" s="202">
        <f>(Definition!O73*Definition!G$4)</f>
        <v>0</v>
      </c>
      <c r="U73" s="202">
        <f>(Definition!P73*Definition!H$4)</f>
        <v>0</v>
      </c>
      <c r="V73" s="202">
        <f>(Definition!Q73*Definition!I$4)</f>
        <v>0</v>
      </c>
      <c r="W73" s="203">
        <f t="shared" si="15"/>
        <v>0</v>
      </c>
      <c r="X73" s="206">
        <f t="shared" si="12"/>
        <v>0</v>
      </c>
    </row>
    <row r="74" spans="2:24">
      <c r="B74" s="43" t="s">
        <v>214</v>
      </c>
      <c r="C74" s="125">
        <v>0.1</v>
      </c>
      <c r="E74" s="281" t="s">
        <v>389</v>
      </c>
      <c r="F74" s="208">
        <f t="shared" si="16"/>
        <v>0</v>
      </c>
      <c r="G74" s="208">
        <f t="shared" si="17"/>
        <v>0</v>
      </c>
      <c r="H74" s="208">
        <f t="shared" si="18"/>
        <v>0</v>
      </c>
      <c r="I74" s="208">
        <f t="shared" si="14"/>
        <v>0</v>
      </c>
      <c r="L74" s="427"/>
      <c r="M74" s="68">
        <f>IF(compute_ManualOverrideUI="No", COUNTIFS(UI!E$5:E$14974,UCDEffortSpread!D50, UI!B$5:B$14974,Definition!C$4,UI!D$5:D$14974,Definition!E$3), 0)</f>
        <v>0</v>
      </c>
      <c r="N74" s="68">
        <f>IF(compute_ManualOverrideUI="No", COUNTIFS(UI!E$5:E$14974,UCDEffortSpread!D50, UI!B$5:B$14974,Definition!C$4,UI!D$5:D$14974,Definition!F$3), 0)</f>
        <v>0</v>
      </c>
      <c r="O74" s="68">
        <f>IF(compute_ManualOverrideUI="No", COUNTIFS(UI!E$5:E$14974,UCDEffortSpread!D50, UI!B$5:B$14974,Definition!C$4,UI!D$5:D$14974,Definition!G$3),0)</f>
        <v>0</v>
      </c>
      <c r="P74" s="68">
        <f>IF(compute_ManualOverrideUI="No", COUNTIFS(UI!E$5:E$14974,UCDEffortSpread!D50, UI!B$5:B$14974,Definition!C$4,UI!D$5:D$14974,Definition!H$3),0)</f>
        <v>0</v>
      </c>
      <c r="Q74" s="200">
        <f>IF(compute_ManualOverrideUI="No", COUNTIFS(UI!E$5:E$14974,UCDEffortSpread!D50, UI!B$5:B$14974,Definition!C$4,UI!D$5:D$14974,Definition!I$3),0)</f>
        <v>0</v>
      </c>
      <c r="R74" s="202">
        <f>(Definition!M74*Definition!E$4)</f>
        <v>0</v>
      </c>
      <c r="S74" s="202">
        <f>(Definition!N74*Definition!F$4)</f>
        <v>0</v>
      </c>
      <c r="T74" s="202">
        <f>(Definition!O74*Definition!G$4)</f>
        <v>0</v>
      </c>
      <c r="U74" s="202">
        <f>(Definition!P74*Definition!H$4)</f>
        <v>0</v>
      </c>
      <c r="V74" s="202">
        <f>(Definition!Q74*Definition!I$4)</f>
        <v>0</v>
      </c>
      <c r="W74" s="203">
        <f t="shared" si="15"/>
        <v>0</v>
      </c>
      <c r="X74" s="206">
        <f t="shared" si="12"/>
        <v>0</v>
      </c>
    </row>
    <row r="75" spans="2:24">
      <c r="B75" s="77" t="s">
        <v>64</v>
      </c>
      <c r="C75" s="76" t="s">
        <v>274</v>
      </c>
      <c r="E75" s="281" t="s">
        <v>390</v>
      </c>
      <c r="F75" s="208">
        <f t="shared" si="16"/>
        <v>0</v>
      </c>
      <c r="G75" s="208">
        <f t="shared" si="17"/>
        <v>0</v>
      </c>
      <c r="H75" s="208">
        <f t="shared" si="18"/>
        <v>0</v>
      </c>
      <c r="I75" s="208">
        <f t="shared" si="14"/>
        <v>0</v>
      </c>
      <c r="L75" s="427"/>
      <c r="M75" s="68">
        <f>IF(compute_ManualOverrideUI="No", COUNTIFS(UI!E$5:E$14974,UCDEffortSpread!D51, UI!B$5:B$14974,Definition!C$4,UI!D$5:D$14974,Definition!E$3), 0)</f>
        <v>0</v>
      </c>
      <c r="N75" s="68">
        <f>IF(compute_ManualOverrideUI="No", COUNTIFS(UI!E$5:E$14974,UCDEffortSpread!D51, UI!B$5:B$14974,Definition!C$4,UI!D$5:D$14974,Definition!F$3), 0)</f>
        <v>0</v>
      </c>
      <c r="O75" s="68">
        <f>IF(compute_ManualOverrideUI="No", COUNTIFS(UI!E$5:E$14974,UCDEffortSpread!D51, UI!B$5:B$14974,Definition!C$4,UI!D$5:D$14974,Definition!G$3),0)</f>
        <v>0</v>
      </c>
      <c r="P75" s="68">
        <f>IF(compute_ManualOverrideUI="No", COUNTIFS(UI!E$5:E$14974,UCDEffortSpread!D51, UI!B$5:B$14974,Definition!C$4,UI!D$5:D$14974,Definition!H$3),0)</f>
        <v>0</v>
      </c>
      <c r="Q75" s="200">
        <f>IF(compute_ManualOverrideUI="No", COUNTIFS(UI!E$5:E$14974,UCDEffortSpread!D51, UI!B$5:B$14974,Definition!C$4,UI!D$5:D$14974,Definition!I$3),0)</f>
        <v>0</v>
      </c>
      <c r="R75" s="202">
        <f>(Definition!M75*Definition!E$4)</f>
        <v>0</v>
      </c>
      <c r="S75" s="202">
        <f>(Definition!N75*Definition!F$4)</f>
        <v>0</v>
      </c>
      <c r="T75" s="202">
        <f>(Definition!O75*Definition!G$4)</f>
        <v>0</v>
      </c>
      <c r="U75" s="202">
        <f>(Definition!P75*Definition!H$4)</f>
        <v>0</v>
      </c>
      <c r="V75" s="202">
        <f>(Definition!Q75*Definition!I$4)</f>
        <v>0</v>
      </c>
      <c r="W75" s="203">
        <f t="shared" si="15"/>
        <v>0</v>
      </c>
      <c r="X75" s="206">
        <f t="shared" si="12"/>
        <v>0</v>
      </c>
    </row>
    <row r="76" spans="2:24">
      <c r="B76" s="43" t="s">
        <v>156</v>
      </c>
      <c r="C76" s="128">
        <v>1</v>
      </c>
      <c r="E76" s="281" t="s">
        <v>391</v>
      </c>
      <c r="F76" s="208">
        <f t="shared" si="16"/>
        <v>0</v>
      </c>
      <c r="G76" s="208">
        <f t="shared" si="17"/>
        <v>0</v>
      </c>
      <c r="H76" s="208">
        <f t="shared" si="18"/>
        <v>0</v>
      </c>
      <c r="I76" s="208">
        <f t="shared" si="14"/>
        <v>0</v>
      </c>
      <c r="L76" s="427"/>
      <c r="M76" s="68">
        <f>IF(compute_ManualOverrideUI="No", COUNTIFS(UI!E$5:E$14974,UCDEffortSpread!D52, UI!B$5:B$14974,Definition!C$4,UI!D$5:D$14974,Definition!E$3), 0)</f>
        <v>0</v>
      </c>
      <c r="N76" s="68">
        <f>IF(compute_ManualOverrideUI="No", COUNTIFS(UI!E$5:E$14974,UCDEffortSpread!D52, UI!B$5:B$14974,Definition!C$4,UI!D$5:D$14974,Definition!F$3), 0)</f>
        <v>0</v>
      </c>
      <c r="O76" s="68">
        <f>IF(compute_ManualOverrideUI="No", COUNTIFS(UI!E$5:E$14974,UCDEffortSpread!D52, UI!B$5:B$14974,Definition!C$4,UI!D$5:D$14974,Definition!G$3),0)</f>
        <v>0</v>
      </c>
      <c r="P76" s="68">
        <f>IF(compute_ManualOverrideUI="No", COUNTIFS(UI!E$5:E$14974,UCDEffortSpread!D52, UI!B$5:B$14974,Definition!C$4,UI!D$5:D$14974,Definition!H$3),0)</f>
        <v>0</v>
      </c>
      <c r="Q76" s="200">
        <f>IF(compute_ManualOverrideUI="No", COUNTIFS(UI!E$5:E$14974,UCDEffortSpread!D52, UI!B$5:B$14974,Definition!C$4,UI!D$5:D$14974,Definition!I$3),0)</f>
        <v>0</v>
      </c>
      <c r="R76" s="202">
        <f>(Definition!M76*Definition!E$4)</f>
        <v>0</v>
      </c>
      <c r="S76" s="202">
        <f>(Definition!N76*Definition!F$4)</f>
        <v>0</v>
      </c>
      <c r="T76" s="202">
        <f>(Definition!O76*Definition!G$4)</f>
        <v>0</v>
      </c>
      <c r="U76" s="202">
        <f>(Definition!P76*Definition!H$4)</f>
        <v>0</v>
      </c>
      <c r="V76" s="202">
        <f>(Definition!Q76*Definition!I$4)</f>
        <v>0</v>
      </c>
      <c r="W76" s="203">
        <f t="shared" si="15"/>
        <v>0</v>
      </c>
      <c r="X76" s="206">
        <f t="shared" si="12"/>
        <v>0</v>
      </c>
    </row>
    <row r="77" spans="2:24">
      <c r="B77" s="43" t="s">
        <v>65</v>
      </c>
      <c r="C77" s="128">
        <v>3</v>
      </c>
      <c r="E77" s="281" t="s">
        <v>392</v>
      </c>
      <c r="F77" s="208">
        <f t="shared" si="16"/>
        <v>0</v>
      </c>
      <c r="G77" s="208">
        <f t="shared" si="17"/>
        <v>0</v>
      </c>
      <c r="H77" s="208">
        <f t="shared" si="18"/>
        <v>0</v>
      </c>
      <c r="I77" s="208">
        <f t="shared" si="14"/>
        <v>0</v>
      </c>
      <c r="L77" s="427"/>
      <c r="M77" s="68">
        <f>IF(compute_ManualOverrideUI="No", COUNTIFS(UI!E$5:E$14974,UCDEffortSpread!D53, UI!B$5:B$14974,Definition!C$4,UI!D$5:D$14974,Definition!E$3), 0)</f>
        <v>0</v>
      </c>
      <c r="N77" s="68">
        <f>IF(compute_ManualOverrideUI="No", COUNTIFS(UI!E$5:E$14974,UCDEffortSpread!D53, UI!B$5:B$14974,Definition!C$4,UI!D$5:D$14974,Definition!F$3), 0)</f>
        <v>0</v>
      </c>
      <c r="O77" s="68">
        <f>IF(compute_ManualOverrideUI="No", COUNTIFS(UI!E$5:E$14974,UCDEffortSpread!D53, UI!B$5:B$14974,Definition!C$4,UI!D$5:D$14974,Definition!G$3),0)</f>
        <v>0</v>
      </c>
      <c r="P77" s="68">
        <f>IF(compute_ManualOverrideUI="No", COUNTIFS(UI!E$5:E$14974,UCDEffortSpread!D53, UI!B$5:B$14974,Definition!C$4,UI!D$5:D$14974,Definition!H$3),0)</f>
        <v>0</v>
      </c>
      <c r="Q77" s="200">
        <f>IF(compute_ManualOverrideUI="No", COUNTIFS(UI!E$5:E$14974,UCDEffortSpread!D53, UI!B$5:B$14974,Definition!C$4,UI!D$5:D$14974,Definition!I$3),0)</f>
        <v>0</v>
      </c>
      <c r="R77" s="202">
        <f>(Definition!M77*Definition!E$4)</f>
        <v>0</v>
      </c>
      <c r="S77" s="202">
        <f>(Definition!N77*Definition!F$4)</f>
        <v>0</v>
      </c>
      <c r="T77" s="202">
        <f>(Definition!O77*Definition!G$4)</f>
        <v>0</v>
      </c>
      <c r="U77" s="202">
        <f>(Definition!P77*Definition!H$4)</f>
        <v>0</v>
      </c>
      <c r="V77" s="202">
        <f>(Definition!Q77*Definition!I$4)</f>
        <v>0</v>
      </c>
      <c r="W77" s="203">
        <f t="shared" si="15"/>
        <v>0</v>
      </c>
      <c r="X77" s="206">
        <f t="shared" si="12"/>
        <v>0</v>
      </c>
    </row>
    <row r="78" spans="2:24" ht="12.75" customHeight="1">
      <c r="B78" s="43" t="s">
        <v>66</v>
      </c>
      <c r="C78" s="128">
        <v>0.5</v>
      </c>
      <c r="E78" s="281" t="s">
        <v>393</v>
      </c>
      <c r="F78" s="208">
        <f t="shared" si="16"/>
        <v>0</v>
      </c>
      <c r="G78" s="208">
        <f t="shared" si="17"/>
        <v>0</v>
      </c>
      <c r="H78" s="208">
        <f t="shared" si="18"/>
        <v>0</v>
      </c>
      <c r="I78" s="208">
        <f t="shared" si="14"/>
        <v>0</v>
      </c>
      <c r="L78" s="428"/>
      <c r="M78" s="68">
        <f>IF(compute_ManualOverrideUI="No", COUNTIFS(UI!E$5:E$14974,UCDEffortSpread!D54, UI!B$5:B$14974,Definition!C$4,UI!D$5:D$14974,Definition!E$3), 0)</f>
        <v>0</v>
      </c>
      <c r="N78" s="68">
        <f>IF(compute_ManualOverrideUI="No", COUNTIFS(UI!E$5:E$14974,UCDEffortSpread!D54, UI!B$5:B$14974,Definition!C$4,UI!D$5:D$14974,Definition!F$3), 0)</f>
        <v>0</v>
      </c>
      <c r="O78" s="68">
        <f>IF(compute_ManualOverrideUI="No", COUNTIFS(UI!E$5:E$14974,UCDEffortSpread!D54, UI!B$5:B$14974,Definition!C$4,UI!D$5:D$14974,Definition!G$3),0)</f>
        <v>0</v>
      </c>
      <c r="P78" s="68">
        <f>IF(compute_ManualOverrideUI="No", COUNTIFS(UI!E$5:E$14974,UCDEffortSpread!D54, UI!B$5:B$14974,Definition!C$4,UI!D$5:D$14974,Definition!H$3),0)</f>
        <v>0</v>
      </c>
      <c r="Q78" s="200">
        <f>IF(compute_ManualOverrideUI="No", COUNTIFS(UI!E$5:E$14974,UCDEffortSpread!D54, UI!B$5:B$14974,Definition!C$4,UI!D$5:D$14974,Definition!I$3),0)</f>
        <v>0</v>
      </c>
      <c r="R78" s="202">
        <f>(Definition!M78*Definition!E$4)</f>
        <v>0</v>
      </c>
      <c r="S78" s="202">
        <f>(Definition!N78*Definition!F$4)</f>
        <v>0</v>
      </c>
      <c r="T78" s="202">
        <f>(Definition!O78*Definition!G$4)</f>
        <v>0</v>
      </c>
      <c r="U78" s="202">
        <f>(Definition!P78*Definition!H$4)</f>
        <v>0</v>
      </c>
      <c r="V78" s="202">
        <f>(Definition!Q78*Definition!I$4)</f>
        <v>0</v>
      </c>
      <c r="W78" s="203">
        <f t="shared" si="15"/>
        <v>0</v>
      </c>
      <c r="X78" s="206">
        <f t="shared" si="12"/>
        <v>0</v>
      </c>
    </row>
    <row r="79" spans="2:24">
      <c r="B79" s="111" t="s">
        <v>146</v>
      </c>
      <c r="C79" s="138" t="s">
        <v>273</v>
      </c>
      <c r="G79" s="6"/>
      <c r="L79" s="426" t="str">
        <f>C5</f>
        <v>Components</v>
      </c>
      <c r="M79" s="68">
        <f>IF(compute_ManualOverrideUI="No", COUNTIFS(UI!E$5:E$14974,UCDEffortSpread!D5, UI!B$5:B$14974,Definition!C$5,UI!D$5:D$14974,Definition!E$3), UI!H$16)</f>
        <v>0</v>
      </c>
      <c r="N79" s="68">
        <f>IF(compute_ManualOverrideUI="No", COUNTIFS(UI!E$5:E$14974,UCDEffortSpread!D5, UI!B$5:B$14974,Definition!C$5,UI!D$5:D$14974,Definition!F$3), UI!I$16)</f>
        <v>0</v>
      </c>
      <c r="O79" s="68">
        <f>IF(compute_ManualOverrideUI="No", COUNTIFS(UI!E$5:E$14974,UCDEffortSpread!D5, UI!B$5:B$14974,Definition!C$5,UI!D$5:D$14974,Definition!G$3),UI!J$16)</f>
        <v>1</v>
      </c>
      <c r="P79" s="68">
        <f>IF(compute_ManualOverrideUI="No", COUNTIFS(UI!E$5:E$14974,UCDEffortSpread!D5, UI!B$5:B$14974,Definition!C$5,UI!D$5:D$14974,Definition!H$3),UI!K$16)</f>
        <v>0</v>
      </c>
      <c r="Q79" s="68">
        <f>IF(compute_ManualOverrideUI="No", COUNTIFS(UI!E$5:E$14974,UCDEffortSpread!D5, UI!B$5:B$14974,Definition!C$5,UI!D$5:D$14974,Definition!I$3),UI!L$16)</f>
        <v>0</v>
      </c>
      <c r="R79" s="201">
        <f>(Definition!M79*Definition!E$5)</f>
        <v>0</v>
      </c>
      <c r="S79" s="201">
        <f>(Definition!N79*Definition!F$5)</f>
        <v>0</v>
      </c>
      <c r="T79" s="201">
        <f>(Definition!O79*Definition!G$5)</f>
        <v>8</v>
      </c>
      <c r="U79" s="201">
        <f>(Definition!P79*Definition!H$5)</f>
        <v>0</v>
      </c>
      <c r="V79" s="201">
        <f>(Definition!Q79*Definition!I$5)</f>
        <v>0</v>
      </c>
      <c r="W79" s="204">
        <f>SUM(R79:V79)</f>
        <v>8</v>
      </c>
      <c r="X79" s="206">
        <f>IF(W79&lt;&gt;0,SUM(R79:V79)+(effort_UI_PageEffort/AA$28),0)</f>
        <v>8</v>
      </c>
    </row>
    <row r="80" spans="2:24">
      <c r="B80" s="43" t="s">
        <v>145</v>
      </c>
      <c r="C80" s="129">
        <v>12</v>
      </c>
      <c r="G80" s="6"/>
      <c r="L80" s="427"/>
      <c r="M80" s="68">
        <f>IF(compute_ManualOverrideUI="No", COUNTIFS(UI!E$5:E$14974,UCDEffortSpread!D6, UI!B$5:B$14974,Definition!C$5,UI!D$5:D$14974,Definition!E$3), 0)</f>
        <v>0</v>
      </c>
      <c r="N80" s="68">
        <f>IF(compute_ManualOverrideUI="No", COUNTIFS(UI!E$5:E$14974,UCDEffortSpread!D6, UI!B$5:B$14974,Definition!C$5,UI!D$5:D$14974,Definition!F$3), 0)</f>
        <v>0</v>
      </c>
      <c r="O80" s="68">
        <f>IF(compute_ManualOverrideUI="No", COUNTIFS(UI!E$5:E$14974,UCDEffortSpread!D6, UI!B$5:B$14974,Definition!C$5,UI!D$5:D$14974,Definition!G$3),0)</f>
        <v>0</v>
      </c>
      <c r="P80" s="68">
        <f>IF(compute_ManualOverrideUI="No", COUNTIFS(UI!E$5:E$14974,UCDEffortSpread!D6, UI!B$5:B$14974,Definition!C$5,UI!D$5:D$14974,Definition!H$3),0)</f>
        <v>0</v>
      </c>
      <c r="Q80" s="68">
        <f>IF(compute_ManualOverrideUI="No", COUNTIFS(UI!E$5:E$14974,UCDEffortSpread!D6, UI!B$5:B$14974,Definition!C$5,UI!D$5:D$14974,Definition!I$3),0)</f>
        <v>0</v>
      </c>
      <c r="R80" s="201">
        <f>(Definition!M80*Definition!E$5)</f>
        <v>0</v>
      </c>
      <c r="S80" s="201">
        <f>(Definition!N80*Definition!F$5)</f>
        <v>0</v>
      </c>
      <c r="T80" s="201">
        <f>(Definition!O80*Definition!G$5)</f>
        <v>0</v>
      </c>
      <c r="U80" s="201">
        <f>(Definition!P80*Definition!H$5)</f>
        <v>0</v>
      </c>
      <c r="V80" s="201">
        <f>(Definition!Q80*Definition!I$5)</f>
        <v>0</v>
      </c>
      <c r="W80" s="204">
        <f t="shared" ref="W80:W93" si="19">SUM(R80:V80)</f>
        <v>0</v>
      </c>
      <c r="X80" s="206">
        <f t="shared" si="12"/>
        <v>0</v>
      </c>
    </row>
    <row r="81" spans="2:24">
      <c r="B81" s="43" t="s">
        <v>144</v>
      </c>
      <c r="C81" s="129">
        <v>8</v>
      </c>
      <c r="L81" s="427"/>
      <c r="M81" s="68">
        <f>IF(compute_ManualOverrideUI="No", COUNTIFS(UI!E$5:E$14974,UCDEffortSpread!D7, UI!B$5:B$14974,Definition!C$5,UI!D$5:D$14974,Definition!E$3), 0)</f>
        <v>0</v>
      </c>
      <c r="N81" s="68">
        <f>IF(compute_ManualOverrideUI="No", COUNTIFS(UI!E$5:E$14974,UCDEffortSpread!D7, UI!B$5:B$14974,Definition!C$5,UI!D$5:D$14974,Definition!F$3), 0)</f>
        <v>0</v>
      </c>
      <c r="O81" s="68">
        <f>IF(compute_ManualOverrideUI="No", COUNTIFS(UI!E$5:E$14974,UCDEffortSpread!D7, UI!B$5:B$14974,Definition!C$5,UI!D$5:D$14974,Definition!G$3),0)</f>
        <v>0</v>
      </c>
      <c r="P81" s="68">
        <f>IF(compute_ManualOverrideUI="No", COUNTIFS(UI!E$5:E$14974,UCDEffortSpread!D7, UI!B$5:B$14974,Definition!C$5,UI!D$5:D$14974,Definition!H$3),0)</f>
        <v>0</v>
      </c>
      <c r="Q81" s="68">
        <f>IF(compute_ManualOverrideUI="No", COUNTIFS(UI!E$5:E$14974,UCDEffortSpread!D7, UI!B$5:B$14974,Definition!C$5,UI!D$5:D$14974,Definition!I$3),0)</f>
        <v>0</v>
      </c>
      <c r="R81" s="201">
        <f>(Definition!M81*Definition!E$5)</f>
        <v>0</v>
      </c>
      <c r="S81" s="201">
        <f>(Definition!N81*Definition!F$5)</f>
        <v>0</v>
      </c>
      <c r="T81" s="201">
        <f>(Definition!O81*Definition!G$5)</f>
        <v>0</v>
      </c>
      <c r="U81" s="201">
        <f>(Definition!P81*Definition!H$5)</f>
        <v>0</v>
      </c>
      <c r="V81" s="201">
        <f>(Definition!Q81*Definition!I$5)</f>
        <v>0</v>
      </c>
      <c r="W81" s="204">
        <f t="shared" si="19"/>
        <v>0</v>
      </c>
      <c r="X81" s="206">
        <f t="shared" si="12"/>
        <v>0</v>
      </c>
    </row>
    <row r="82" spans="2:24">
      <c r="B82" s="43" t="s">
        <v>324</v>
      </c>
      <c r="C82" s="125">
        <v>0.05</v>
      </c>
      <c r="L82" s="427"/>
      <c r="M82" s="68">
        <f>IF(compute_ManualOverrideUI="No", COUNTIFS(UI!E$5:E$14974,UCDEffortSpread!D8, UI!B$5:B$14974,Definition!C$5,UI!D$5:D$14974,Definition!E$3), 0)</f>
        <v>0</v>
      </c>
      <c r="N82" s="68">
        <f>IF(compute_ManualOverrideUI="No", COUNTIFS(UI!E$5:E$14974,UCDEffortSpread!D8, UI!B$5:B$14974,Definition!C$5,UI!D$5:D$14974,Definition!F$3), 0)</f>
        <v>0</v>
      </c>
      <c r="O82" s="68">
        <f>IF(compute_ManualOverrideUI="No", COUNTIFS(UI!E$5:E$14974,UCDEffortSpread!D8, UI!B$5:B$14974,Definition!C$5,UI!D$5:D$14974,Definition!G$3),0)</f>
        <v>0</v>
      </c>
      <c r="P82" s="68">
        <f>IF(compute_ManualOverrideUI="No", COUNTIFS(UI!E$5:E$14974,UCDEffortSpread!D8, UI!B$5:B$14974,Definition!C$5,UI!D$5:D$14974,Definition!H$3),0)</f>
        <v>0</v>
      </c>
      <c r="Q82" s="68">
        <f>IF(compute_ManualOverrideUI="No", COUNTIFS(UI!E$5:E$14974,UCDEffortSpread!D8, UI!B$5:B$14974,Definition!C$5,UI!D$5:D$14974,Definition!I$3),0)</f>
        <v>0</v>
      </c>
      <c r="R82" s="201">
        <f>(Definition!M82*Definition!E$5)</f>
        <v>0</v>
      </c>
      <c r="S82" s="201">
        <f>(Definition!N82*Definition!F$5)</f>
        <v>0</v>
      </c>
      <c r="T82" s="201">
        <f>(Definition!O82*Definition!G$5)</f>
        <v>0</v>
      </c>
      <c r="U82" s="201">
        <f>(Definition!P82*Definition!H$5)</f>
        <v>0</v>
      </c>
      <c r="V82" s="201">
        <f>(Definition!Q82*Definition!I$5)</f>
        <v>0</v>
      </c>
      <c r="W82" s="204">
        <f t="shared" si="19"/>
        <v>0</v>
      </c>
      <c r="X82" s="206">
        <f t="shared" si="12"/>
        <v>0</v>
      </c>
    </row>
    <row r="83" spans="2:24">
      <c r="L83" s="427"/>
      <c r="M83" s="68">
        <f>IF(compute_ManualOverrideUI="No", COUNTIFS(UI!E$5:E$14974,UCDEffortSpread!D9, UI!B$5:B$14974,Definition!C$5,UI!D$5:D$14974,Definition!E$3), 0)</f>
        <v>0</v>
      </c>
      <c r="N83" s="68">
        <f>IF(compute_ManualOverrideUI="No", COUNTIFS(UI!E$5:E$14974,UCDEffortSpread!D9, UI!B$5:B$14974,Definition!C$5,UI!D$5:D$14974,Definition!F$3), 0)</f>
        <v>0</v>
      </c>
      <c r="O83" s="68">
        <f>IF(compute_ManualOverrideUI="No", COUNTIFS(UI!E$5:E$14974,UCDEffortSpread!D9, UI!B$5:B$14974,Definition!C$5,UI!D$5:D$14974,Definition!G$3),0)</f>
        <v>0</v>
      </c>
      <c r="P83" s="68">
        <f>IF(compute_ManualOverrideUI="No", COUNTIFS(UI!E$5:E$14974,UCDEffortSpread!D9, UI!B$5:B$14974,Definition!C$5,UI!D$5:D$14974,Definition!H$3),0)</f>
        <v>0</v>
      </c>
      <c r="Q83" s="68">
        <f>IF(compute_ManualOverrideUI="No", COUNTIFS(UI!E$5:E$14974,UCDEffortSpread!D9, UI!B$5:B$14974,Definition!C$5,UI!D$5:D$14974,Definition!I$3),0)</f>
        <v>0</v>
      </c>
      <c r="R83" s="201">
        <f>(Definition!M83*Definition!E$5)</f>
        <v>0</v>
      </c>
      <c r="S83" s="201">
        <f>(Definition!N83*Definition!F$5)</f>
        <v>0</v>
      </c>
      <c r="T83" s="201">
        <f>(Definition!O83*Definition!G$5)</f>
        <v>0</v>
      </c>
      <c r="U83" s="201">
        <f>(Definition!P83*Definition!H$5)</f>
        <v>0</v>
      </c>
      <c r="V83" s="201">
        <f>(Definition!Q83*Definition!I$5)</f>
        <v>0</v>
      </c>
      <c r="W83" s="204">
        <f t="shared" si="19"/>
        <v>0</v>
      </c>
      <c r="X83" s="206">
        <f t="shared" si="12"/>
        <v>0</v>
      </c>
    </row>
    <row r="84" spans="2:24" ht="12.75" customHeight="1">
      <c r="L84" s="427"/>
      <c r="M84" s="68">
        <f>IF(compute_ManualOverrideUI="No", COUNTIFS(UI!E$5:E$14974,UCDEffortSpread!D10, UI!B$5:B$14974,Definition!C$5,UI!D$5:D$14974,Definition!E$3), 0)</f>
        <v>0</v>
      </c>
      <c r="N84" s="68">
        <f>IF(compute_ManualOverrideUI="No", COUNTIFS(UI!E$5:E$14974,UCDEffortSpread!D10, UI!B$5:B$14974,Definition!C$5,UI!D$5:D$14974,Definition!F$3), 0)</f>
        <v>0</v>
      </c>
      <c r="O84" s="68">
        <f>IF(compute_ManualOverrideUI="No", COUNTIFS(UI!E$5:E$14974,UCDEffortSpread!D10, UI!B$5:B$14974,Definition!C$5,UI!D$5:D$14974,Definition!G$3),0)</f>
        <v>0</v>
      </c>
      <c r="P84" s="68">
        <f>IF(compute_ManualOverrideUI="No", COUNTIFS(UI!E$5:E$14974,UCDEffortSpread!D10, UI!B$5:B$14974,Definition!C$5,UI!D$5:D$14974,Definition!H$3),0)</f>
        <v>0</v>
      </c>
      <c r="Q84" s="68">
        <f>IF(compute_ManualOverrideUI="No", COUNTIFS(UI!E$5:E$14974,UCDEffortSpread!D10, UI!B$5:B$14974,Definition!C$5,UI!D$5:D$14974,Definition!I$3),0)</f>
        <v>0</v>
      </c>
      <c r="R84" s="201">
        <f>(Definition!M84*Definition!E$5)</f>
        <v>0</v>
      </c>
      <c r="S84" s="201">
        <f>(Definition!N84*Definition!F$5)</f>
        <v>0</v>
      </c>
      <c r="T84" s="201">
        <f>(Definition!O84*Definition!G$5)</f>
        <v>0</v>
      </c>
      <c r="U84" s="201">
        <f>(Definition!P84*Definition!H$5)</f>
        <v>0</v>
      </c>
      <c r="V84" s="201">
        <f>(Definition!Q84*Definition!I$5)</f>
        <v>0</v>
      </c>
      <c r="W84" s="204">
        <f t="shared" si="19"/>
        <v>0</v>
      </c>
      <c r="X84" s="206">
        <f t="shared" si="12"/>
        <v>0</v>
      </c>
    </row>
    <row r="85" spans="2:24" ht="12.75" customHeight="1">
      <c r="L85" s="427"/>
      <c r="M85" s="68">
        <f>IF(compute_ManualOverrideUI="No", COUNTIFS(UI!E$5:E$14974,UCDEffortSpread!D11, UI!B$5:B$14974,Definition!C$5,UI!D$5:D$14974,Definition!E$3), 0)</f>
        <v>0</v>
      </c>
      <c r="N85" s="68">
        <f>IF(compute_ManualOverrideUI="No", COUNTIFS(UI!E$5:E$14974,UCDEffortSpread!D11, UI!B$5:B$14974,Definition!C$5,UI!D$5:D$14974,Definition!F$3), 0)</f>
        <v>0</v>
      </c>
      <c r="O85" s="68">
        <f>IF(compute_ManualOverrideUI="No", COUNTIFS(UI!E$5:E$14974,UCDEffortSpread!D11, UI!B$5:B$14974,Definition!C$5,UI!D$5:D$14974,Definition!G$3),0)</f>
        <v>0</v>
      </c>
      <c r="P85" s="68">
        <f>IF(compute_ManualOverrideUI="No", COUNTIFS(UI!E$5:E$14974,UCDEffortSpread!D11, UI!B$5:B$14974,Definition!C$5,UI!D$5:D$14974,Definition!H$3),0)</f>
        <v>0</v>
      </c>
      <c r="Q85" s="68">
        <f>IF(compute_ManualOverrideUI="No", COUNTIFS(UI!E$5:E$14974,UCDEffortSpread!D11, UI!B$5:B$14974,Definition!C$5,UI!D$5:D$14974,Definition!I$3),0)</f>
        <v>0</v>
      </c>
      <c r="R85" s="201">
        <f>(Definition!M85*Definition!E$5)</f>
        <v>0</v>
      </c>
      <c r="S85" s="201">
        <f>(Definition!N85*Definition!F$5)</f>
        <v>0</v>
      </c>
      <c r="T85" s="201">
        <f>(Definition!O85*Definition!G$5)</f>
        <v>0</v>
      </c>
      <c r="U85" s="201">
        <f>(Definition!P85*Definition!H$5)</f>
        <v>0</v>
      </c>
      <c r="V85" s="201">
        <f>(Definition!Q85*Definition!I$5)</f>
        <v>0</v>
      </c>
      <c r="W85" s="204">
        <f t="shared" si="19"/>
        <v>0</v>
      </c>
      <c r="X85" s="206">
        <f t="shared" si="12"/>
        <v>0</v>
      </c>
    </row>
    <row r="86" spans="2:24">
      <c r="L86" s="427"/>
      <c r="M86" s="68">
        <f>IF(compute_ManualOverrideUI="No", COUNTIFS(UI!E$5:E$14974,UCDEffortSpread!D12, UI!B$5:B$14974,Definition!C$5,UI!D$5:D$14974,Definition!E$3), 0)</f>
        <v>0</v>
      </c>
      <c r="N86" s="68">
        <f>IF(compute_ManualOverrideUI="No", COUNTIFS(UI!E$5:E$14974,UCDEffortSpread!D12, UI!B$5:B$14974,Definition!C$5,UI!D$5:D$14974,Definition!F$3), 0)</f>
        <v>0</v>
      </c>
      <c r="O86" s="68">
        <f>IF(compute_ManualOverrideUI="No", COUNTIFS(UI!E$5:E$14974,UCDEffortSpread!D12, UI!B$5:B$14974,Definition!C$5,UI!D$5:D$14974,Definition!G$3),0)</f>
        <v>0</v>
      </c>
      <c r="P86" s="68">
        <f>IF(compute_ManualOverrideUI="No", COUNTIFS(UI!E$5:E$14974,UCDEffortSpread!D12, UI!B$5:B$14974,Definition!C$5,UI!D$5:D$14974,Definition!H$3),0)</f>
        <v>0</v>
      </c>
      <c r="Q86" s="68">
        <f>IF(compute_ManualOverrideUI="No", COUNTIFS(UI!E$5:E$14974,UCDEffortSpread!D12, UI!B$5:B$14974,Definition!C$5,UI!D$5:D$14974,Definition!I$3),0)</f>
        <v>0</v>
      </c>
      <c r="R86" s="201">
        <f>(Definition!M86*Definition!E$5)</f>
        <v>0</v>
      </c>
      <c r="S86" s="201">
        <f>(Definition!N86*Definition!F$5)</f>
        <v>0</v>
      </c>
      <c r="T86" s="201">
        <f>(Definition!O86*Definition!G$5)</f>
        <v>0</v>
      </c>
      <c r="U86" s="201">
        <f>(Definition!P86*Definition!H$5)</f>
        <v>0</v>
      </c>
      <c r="V86" s="201">
        <f>(Definition!Q86*Definition!I$5)</f>
        <v>0</v>
      </c>
      <c r="W86" s="204">
        <f t="shared" si="19"/>
        <v>0</v>
      </c>
      <c r="X86" s="206">
        <f t="shared" si="12"/>
        <v>0</v>
      </c>
    </row>
    <row r="87" spans="2:24">
      <c r="L87" s="427"/>
      <c r="M87" s="68">
        <f>IF(compute_ManualOverrideUI="No", COUNTIFS(UI!E$5:E$14974,UCDEffortSpread!D13, UI!B$5:B$14974,Definition!C$5,UI!D$5:D$14974,Definition!E$3), 0)</f>
        <v>0</v>
      </c>
      <c r="N87" s="68">
        <f>IF(compute_ManualOverrideUI="No", COUNTIFS(UI!E$5:E$14974,UCDEffortSpread!D13, UI!B$5:B$14974,Definition!C$5,UI!D$5:D$14974,Definition!F$3), 0)</f>
        <v>0</v>
      </c>
      <c r="O87" s="68">
        <f>IF(compute_ManualOverrideUI="No", COUNTIFS(UI!E$5:E$14974,UCDEffortSpread!D13, UI!B$5:B$14974,Definition!C$5,UI!D$5:D$14974,Definition!G$3),0)</f>
        <v>0</v>
      </c>
      <c r="P87" s="68">
        <f>IF(compute_ManualOverrideUI="No", COUNTIFS(UI!E$5:E$14974,UCDEffortSpread!D13, UI!B$5:B$14974,Definition!C$5,UI!D$5:D$14974,Definition!H$3),0)</f>
        <v>0</v>
      </c>
      <c r="Q87" s="68">
        <f>IF(compute_ManualOverrideUI="No", COUNTIFS(UI!E$5:E$14974,UCDEffortSpread!D13, UI!B$5:B$14974,Definition!C$5,UI!D$5:D$14974,Definition!I$3),0)</f>
        <v>0</v>
      </c>
      <c r="R87" s="201">
        <f>(Definition!M87*Definition!E$5)</f>
        <v>0</v>
      </c>
      <c r="S87" s="201">
        <f>(Definition!N87*Definition!F$5)</f>
        <v>0</v>
      </c>
      <c r="T87" s="201">
        <f>(Definition!O87*Definition!G$5)</f>
        <v>0</v>
      </c>
      <c r="U87" s="201">
        <f>(Definition!P87*Definition!H$5)</f>
        <v>0</v>
      </c>
      <c r="V87" s="201">
        <f>(Definition!Q87*Definition!I$5)</f>
        <v>0</v>
      </c>
      <c r="W87" s="204">
        <f t="shared" si="19"/>
        <v>0</v>
      </c>
      <c r="X87" s="206">
        <f t="shared" si="12"/>
        <v>0</v>
      </c>
    </row>
    <row r="88" spans="2:24">
      <c r="L88" s="427"/>
      <c r="M88" s="68">
        <f>IF(compute_ManualOverrideUI="No", COUNTIFS(UI!E$5:E$14974,UCDEffortSpread!D14, UI!B$5:B$14974,Definition!C$5,UI!D$5:D$14974,Definition!E$3), 0)</f>
        <v>0</v>
      </c>
      <c r="N88" s="68">
        <f>IF(compute_ManualOverrideUI="No", COUNTIFS(UI!E$5:E$14974,UCDEffortSpread!D14, UI!B$5:B$14974,Definition!C$5,UI!D$5:D$14974,Definition!F$3), 0)</f>
        <v>0</v>
      </c>
      <c r="O88" s="68">
        <f>IF(compute_ManualOverrideUI="No", COUNTIFS(UI!E$5:E$14974,UCDEffortSpread!D14, UI!B$5:B$14974,Definition!C$5,UI!D$5:D$14974,Definition!G$3),0)</f>
        <v>0</v>
      </c>
      <c r="P88" s="68">
        <f>IF(compute_ManualOverrideUI="No", COUNTIFS(UI!E$5:E$14974,UCDEffortSpread!D14, UI!B$5:B$14974,Definition!C$5,UI!D$5:D$14974,Definition!H$3),0)</f>
        <v>0</v>
      </c>
      <c r="Q88" s="68">
        <f>IF(compute_ManualOverrideUI="No", COUNTIFS(UI!E$5:E$14974,UCDEffortSpread!D14, UI!B$5:B$14974,Definition!C$5,UI!D$5:D$14974,Definition!I$3),0)</f>
        <v>0</v>
      </c>
      <c r="R88" s="201">
        <f>(Definition!M88*Definition!E$5)</f>
        <v>0</v>
      </c>
      <c r="S88" s="201">
        <f>(Definition!N88*Definition!F$5)</f>
        <v>0</v>
      </c>
      <c r="T88" s="201">
        <f>(Definition!O88*Definition!G$5)</f>
        <v>0</v>
      </c>
      <c r="U88" s="201">
        <f>(Definition!P88*Definition!H$5)</f>
        <v>0</v>
      </c>
      <c r="V88" s="201">
        <f>(Definition!Q88*Definition!I$5)</f>
        <v>0</v>
      </c>
      <c r="W88" s="204">
        <f t="shared" si="19"/>
        <v>0</v>
      </c>
      <c r="X88" s="206">
        <f t="shared" si="12"/>
        <v>0</v>
      </c>
    </row>
    <row r="89" spans="2:24">
      <c r="L89" s="427"/>
      <c r="M89" s="68">
        <f>IF(compute_ManualOverrideUI="No", COUNTIFS(UI!E$5:E$14974,UCDEffortSpread!D15, UI!B$5:B$14974,Definition!C$5,UI!D$5:D$14974,Definition!E$3), 0)</f>
        <v>0</v>
      </c>
      <c r="N89" s="68">
        <f>IF(compute_ManualOverrideUI="No", COUNTIFS(UI!E$5:E$14974,UCDEffortSpread!D15, UI!B$5:B$14974,Definition!C$5,UI!D$5:D$14974,Definition!F$3), 0)</f>
        <v>0</v>
      </c>
      <c r="O89" s="68">
        <f>IF(compute_ManualOverrideUI="No", COUNTIFS(UI!E$5:E$14974,UCDEffortSpread!D15, UI!B$5:B$14974,Definition!C$5,UI!D$5:D$14974,Definition!G$3),0)</f>
        <v>0</v>
      </c>
      <c r="P89" s="68">
        <f>IF(compute_ManualOverrideUI="No", COUNTIFS(UI!E$5:E$14974,UCDEffortSpread!D15, UI!B$5:B$14974,Definition!C$5,UI!D$5:D$14974,Definition!H$3),0)</f>
        <v>0</v>
      </c>
      <c r="Q89" s="68">
        <f>IF(compute_ManualOverrideUI="No", COUNTIFS(UI!E$5:E$14974,UCDEffortSpread!D15, UI!B$5:B$14974,Definition!C$5,UI!D$5:D$14974,Definition!I$3),0)</f>
        <v>0</v>
      </c>
      <c r="R89" s="201">
        <f>(Definition!M89*Definition!E$5)</f>
        <v>0</v>
      </c>
      <c r="S89" s="201">
        <f>(Definition!N89*Definition!F$5)</f>
        <v>0</v>
      </c>
      <c r="T89" s="201">
        <f>(Definition!O89*Definition!G$5)</f>
        <v>0</v>
      </c>
      <c r="U89" s="201">
        <f>(Definition!P89*Definition!H$5)</f>
        <v>0</v>
      </c>
      <c r="V89" s="201">
        <f>(Definition!Q89*Definition!I$5)</f>
        <v>0</v>
      </c>
      <c r="W89" s="204">
        <f t="shared" si="19"/>
        <v>0</v>
      </c>
      <c r="X89" s="206">
        <f t="shared" si="12"/>
        <v>0</v>
      </c>
    </row>
    <row r="90" spans="2:24">
      <c r="L90" s="427"/>
      <c r="M90" s="68">
        <f>IF(compute_ManualOverrideUI="No", COUNTIFS(UI!E$5:E$14974,UCDEffortSpread!D16, UI!B$5:B$14974,Definition!C$5,UI!D$5:D$14974,Definition!E$3), 0)</f>
        <v>0</v>
      </c>
      <c r="N90" s="68">
        <f>IF(compute_ManualOverrideUI="No", COUNTIFS(UI!E$5:E$14974,UCDEffortSpread!D16, UI!B$5:B$14974,Definition!C$5,UI!D$5:D$14974,Definition!F$3), 0)</f>
        <v>0</v>
      </c>
      <c r="O90" s="68">
        <f>IF(compute_ManualOverrideUI="No", COUNTIFS(UI!E$5:E$14974,UCDEffortSpread!D16, UI!B$5:B$14974,Definition!C$5,UI!D$5:D$14974,Definition!G$3),0)</f>
        <v>0</v>
      </c>
      <c r="P90" s="68">
        <f>IF(compute_ManualOverrideUI="No", COUNTIFS(UI!E$5:E$14974,UCDEffortSpread!D16, UI!B$5:B$14974,Definition!C$5,UI!D$5:D$14974,Definition!H$3),0)</f>
        <v>0</v>
      </c>
      <c r="Q90" s="68">
        <f>IF(compute_ManualOverrideUI="No", COUNTIFS(UI!E$5:E$14974,UCDEffortSpread!D16, UI!B$5:B$14974,Definition!C$5,UI!D$5:D$14974,Definition!I$3),0)</f>
        <v>0</v>
      </c>
      <c r="R90" s="201">
        <f>(Definition!M90*Definition!E$5)</f>
        <v>0</v>
      </c>
      <c r="S90" s="201">
        <f>(Definition!N90*Definition!F$5)</f>
        <v>0</v>
      </c>
      <c r="T90" s="201">
        <f>(Definition!O90*Definition!G$5)</f>
        <v>0</v>
      </c>
      <c r="U90" s="201">
        <f>(Definition!P90*Definition!H$5)</f>
        <v>0</v>
      </c>
      <c r="V90" s="201">
        <f>(Definition!Q90*Definition!I$5)</f>
        <v>0</v>
      </c>
      <c r="W90" s="204">
        <f t="shared" si="19"/>
        <v>0</v>
      </c>
      <c r="X90" s="206">
        <f t="shared" si="12"/>
        <v>0</v>
      </c>
    </row>
    <row r="91" spans="2:24" ht="12.75" customHeight="1">
      <c r="L91" s="427"/>
      <c r="M91" s="68">
        <f>IF(compute_ManualOverrideUI="No", COUNTIFS(UI!E$5:E$14974,UCDEffortSpread!D17, UI!B$5:B$14974,Definition!C$5,UI!D$5:D$14974,Definition!E$3), 0)</f>
        <v>0</v>
      </c>
      <c r="N91" s="68">
        <f>IF(compute_ManualOverrideUI="No", COUNTIFS(UI!E$5:E$14974,UCDEffortSpread!D17, UI!B$5:B$14974,Definition!C$5,UI!D$5:D$14974,Definition!F$3), 0)</f>
        <v>0</v>
      </c>
      <c r="O91" s="68">
        <f>IF(compute_ManualOverrideUI="No", COUNTIFS(UI!E$5:E$14974,UCDEffortSpread!D17, UI!B$5:B$14974,Definition!C$5,UI!D$5:D$14974,Definition!G$3),0)</f>
        <v>0</v>
      </c>
      <c r="P91" s="68">
        <f>IF(compute_ManualOverrideUI="No", COUNTIFS(UI!E$5:E$14974,UCDEffortSpread!D17, UI!B$5:B$14974,Definition!C$5,UI!D$5:D$14974,Definition!H$3),0)</f>
        <v>0</v>
      </c>
      <c r="Q91" s="68">
        <f>IF(compute_ManualOverrideUI="No", COUNTIFS(UI!E$5:E$14974,UCDEffortSpread!D17, UI!B$5:B$14974,Definition!C$5,UI!D$5:D$14974,Definition!I$3),0)</f>
        <v>0</v>
      </c>
      <c r="R91" s="201">
        <f>(Definition!M91*Definition!E$5)</f>
        <v>0</v>
      </c>
      <c r="S91" s="201">
        <f>(Definition!N91*Definition!F$5)</f>
        <v>0</v>
      </c>
      <c r="T91" s="201">
        <f>(Definition!O91*Definition!G$5)</f>
        <v>0</v>
      </c>
      <c r="U91" s="201">
        <f>(Definition!P91*Definition!H$5)</f>
        <v>0</v>
      </c>
      <c r="V91" s="201">
        <f>(Definition!Q91*Definition!I$5)</f>
        <v>0</v>
      </c>
      <c r="W91" s="204">
        <f t="shared" si="19"/>
        <v>0</v>
      </c>
      <c r="X91" s="206">
        <f t="shared" si="12"/>
        <v>0</v>
      </c>
    </row>
    <row r="92" spans="2:24" ht="12.75" customHeight="1">
      <c r="L92" s="427"/>
      <c r="M92" s="68">
        <f>IF(compute_ManualOverrideUI="No", COUNTIFS(UI!E$5:E$14974,UCDEffortSpread!D18, UI!B$5:B$14974,Definition!C$5,UI!D$5:D$14974,Definition!E$3), 0)</f>
        <v>0</v>
      </c>
      <c r="N92" s="68">
        <f>IF(compute_ManualOverrideUI="No", COUNTIFS(UI!E$5:E$14974,UCDEffortSpread!D18, UI!B$5:B$14974,Definition!C$5,UI!D$5:D$14974,Definition!F$3), 0)</f>
        <v>0</v>
      </c>
      <c r="O92" s="68">
        <f>IF(compute_ManualOverrideUI="No", COUNTIFS(UI!E$5:E$14974,UCDEffortSpread!D18, UI!B$5:B$14974,Definition!C$5,UI!D$5:D$14974,Definition!G$3),0)</f>
        <v>0</v>
      </c>
      <c r="P92" s="68">
        <f>IF(compute_ManualOverrideUI="No", COUNTIFS(UI!E$5:E$14974,UCDEffortSpread!D18, UI!B$5:B$14974,Definition!C$5,UI!D$5:D$14974,Definition!H$3),0)</f>
        <v>0</v>
      </c>
      <c r="Q92" s="68">
        <f>IF(compute_ManualOverrideUI="No", COUNTIFS(UI!E$5:E$14974,UCDEffortSpread!D18, UI!B$5:B$14974,Definition!C$5,UI!D$5:D$14974,Definition!I$3),0)</f>
        <v>0</v>
      </c>
      <c r="R92" s="201">
        <f>(Definition!M92*Definition!E$5)</f>
        <v>0</v>
      </c>
      <c r="S92" s="201">
        <f>(Definition!N92*Definition!F$5)</f>
        <v>0</v>
      </c>
      <c r="T92" s="201">
        <f>(Definition!O92*Definition!G$5)</f>
        <v>0</v>
      </c>
      <c r="U92" s="201">
        <f>(Definition!P92*Definition!H$5)</f>
        <v>0</v>
      </c>
      <c r="V92" s="201">
        <f>(Definition!Q92*Definition!I$5)</f>
        <v>0</v>
      </c>
      <c r="W92" s="204">
        <f t="shared" si="19"/>
        <v>0</v>
      </c>
      <c r="X92" s="206">
        <f t="shared" si="12"/>
        <v>0</v>
      </c>
    </row>
    <row r="93" spans="2:24">
      <c r="L93" s="427"/>
      <c r="M93" s="68">
        <f>IF(compute_ManualOverrideUI="No", COUNTIFS(UI!E$5:E$14974,UCDEffortSpread!D19, UI!B$5:B$14974,Definition!C$5,UI!D$5:D$14974,Definition!E$3), 0)</f>
        <v>0</v>
      </c>
      <c r="N93" s="68">
        <f>IF(compute_ManualOverrideUI="No", COUNTIFS(UI!E$5:E$14974,UCDEffortSpread!D19, UI!B$5:B$14974,Definition!C$5,UI!D$5:D$14974,Definition!F$3), 0)</f>
        <v>0</v>
      </c>
      <c r="O93" s="68">
        <f>IF(compute_ManualOverrideUI="No", COUNTIFS(UI!E$5:E$14974,UCDEffortSpread!D19, UI!B$5:B$14974,Definition!C$5,UI!D$5:D$14974,Definition!G$3),0)</f>
        <v>0</v>
      </c>
      <c r="P93" s="68">
        <f>IF(compute_ManualOverrideUI="No", COUNTIFS(UI!E$5:E$14974,UCDEffortSpread!D19, UI!B$5:B$14974,Definition!C$5,UI!D$5:D$14974,Definition!H$3),0)</f>
        <v>0</v>
      </c>
      <c r="Q93" s="68">
        <f>IF(compute_ManualOverrideUI="No", COUNTIFS(UI!E$5:E$14974,UCDEffortSpread!D19, UI!B$5:B$14974,Definition!C$5,UI!D$5:D$14974,Definition!I$3),0)</f>
        <v>0</v>
      </c>
      <c r="R93" s="201">
        <f>(Definition!M93*Definition!E$5)</f>
        <v>0</v>
      </c>
      <c r="S93" s="201">
        <f>(Definition!N93*Definition!F$5)</f>
        <v>0</v>
      </c>
      <c r="T93" s="201">
        <f>(Definition!O93*Definition!G$5)</f>
        <v>0</v>
      </c>
      <c r="U93" s="201">
        <f>(Definition!P93*Definition!H$5)</f>
        <v>0</v>
      </c>
      <c r="V93" s="201">
        <f>(Definition!Q93*Definition!I$5)</f>
        <v>0</v>
      </c>
      <c r="W93" s="204">
        <f t="shared" si="19"/>
        <v>0</v>
      </c>
      <c r="X93" s="206">
        <f t="shared" ref="X93:X156" si="20">IF(W93&lt;&gt;0,SUM(R93:V93)+(effort_UI_PageEffort/AA$28),0)</f>
        <v>0</v>
      </c>
    </row>
    <row r="94" spans="2:24">
      <c r="L94" s="427"/>
      <c r="M94" s="68">
        <f>IF(compute_ManualOverrideUI="No", COUNTIFS(UI!E$5:E$14974,UCDEffortSpread!D20, UI!B$5:B$14974,Definition!C$5,UI!D$5:D$14974,Definition!E$3), 0)</f>
        <v>0</v>
      </c>
      <c r="N94" s="68">
        <f>IF(compute_ManualOverrideUI="No", COUNTIFS(UI!E$5:E$14974,UCDEffortSpread!D20, UI!B$5:B$14974,Definition!C$5,UI!D$5:D$14974,Definition!F$3), 0)</f>
        <v>0</v>
      </c>
      <c r="O94" s="68">
        <f>IF(compute_ManualOverrideUI="No", COUNTIFS(UI!E$5:E$14974,UCDEffortSpread!D20, UI!B$5:B$14974,Definition!C$5,UI!D$5:D$14974,Definition!G$3),0)</f>
        <v>0</v>
      </c>
      <c r="P94" s="68">
        <f>IF(compute_ManualOverrideUI="No", COUNTIFS(UI!E$5:E$14974,UCDEffortSpread!D20, UI!B$5:B$14974,Definition!C$5,UI!D$5:D$14974,Definition!H$3),0)</f>
        <v>0</v>
      </c>
      <c r="Q94" s="68">
        <f>IF(compute_ManualOverrideUI="No", COUNTIFS(UI!E$5:E$14974,UCDEffortSpread!D20, UI!B$5:B$14974,Definition!C$5,UI!D$5:D$14974,Definition!I$3),0)</f>
        <v>0</v>
      </c>
      <c r="R94" s="201">
        <f>(Definition!M94*Definition!E$5)</f>
        <v>0</v>
      </c>
      <c r="S94" s="201">
        <f>(Definition!N94*Definition!F$5)</f>
        <v>0</v>
      </c>
      <c r="T94" s="201">
        <f>(Definition!O94*Definition!G$5)</f>
        <v>0</v>
      </c>
      <c r="U94" s="201">
        <f>(Definition!P94*Definition!H$5)</f>
        <v>0</v>
      </c>
      <c r="V94" s="201">
        <f>(Definition!Q94*Definition!I$5)</f>
        <v>0</v>
      </c>
      <c r="W94" s="204">
        <f t="shared" ref="W94:W128" si="21">SUM(R94:V94)</f>
        <v>0</v>
      </c>
      <c r="X94" s="206">
        <f t="shared" si="20"/>
        <v>0</v>
      </c>
    </row>
    <row r="95" spans="2:24">
      <c r="L95" s="427"/>
      <c r="M95" s="68">
        <f>IF(compute_ManualOverrideUI="No", COUNTIFS(UI!E$5:E$14974,UCDEffortSpread!D21, UI!B$5:B$14974,Definition!C$5,UI!D$5:D$14974,Definition!E$3), 0)</f>
        <v>0</v>
      </c>
      <c r="N95" s="68">
        <f>IF(compute_ManualOverrideUI="No", COUNTIFS(UI!E$5:E$14974,UCDEffortSpread!D21, UI!B$5:B$14974,Definition!C$5,UI!D$5:D$14974,Definition!F$3), 0)</f>
        <v>0</v>
      </c>
      <c r="O95" s="68">
        <f>IF(compute_ManualOverrideUI="No", COUNTIFS(UI!E$5:E$14974,UCDEffortSpread!D21, UI!B$5:B$14974,Definition!C$5,UI!D$5:D$14974,Definition!G$3),0)</f>
        <v>0</v>
      </c>
      <c r="P95" s="68">
        <f>IF(compute_ManualOverrideUI="No", COUNTIFS(UI!E$5:E$14974,UCDEffortSpread!D21, UI!B$5:B$14974,Definition!C$5,UI!D$5:D$14974,Definition!H$3),0)</f>
        <v>0</v>
      </c>
      <c r="Q95" s="68">
        <f>IF(compute_ManualOverrideUI="No", COUNTIFS(UI!E$5:E$14974,UCDEffortSpread!D21, UI!B$5:B$14974,Definition!C$5,UI!D$5:D$14974,Definition!I$3),0)</f>
        <v>0</v>
      </c>
      <c r="R95" s="201">
        <f>(Definition!M95*Definition!E$5)</f>
        <v>0</v>
      </c>
      <c r="S95" s="201">
        <f>(Definition!N95*Definition!F$5)</f>
        <v>0</v>
      </c>
      <c r="T95" s="201">
        <f>(Definition!O95*Definition!G$5)</f>
        <v>0</v>
      </c>
      <c r="U95" s="201">
        <f>(Definition!P95*Definition!H$5)</f>
        <v>0</v>
      </c>
      <c r="V95" s="201">
        <f>(Definition!Q95*Definition!I$5)</f>
        <v>0</v>
      </c>
      <c r="W95" s="204">
        <f t="shared" si="21"/>
        <v>0</v>
      </c>
      <c r="X95" s="206">
        <f t="shared" si="20"/>
        <v>0</v>
      </c>
    </row>
    <row r="96" spans="2:24">
      <c r="L96" s="427"/>
      <c r="M96" s="68">
        <f>IF(compute_ManualOverrideUI="No", COUNTIFS(UI!E$5:E$14974,UCDEffortSpread!D22, UI!B$5:B$14974,Definition!C$5,UI!D$5:D$14974,Definition!E$3), 0)</f>
        <v>0</v>
      </c>
      <c r="N96" s="68">
        <f>IF(compute_ManualOverrideUI="No", COUNTIFS(UI!E$5:E$14974,UCDEffortSpread!D22, UI!B$5:B$14974,Definition!C$5,UI!D$5:D$14974,Definition!F$3), 0)</f>
        <v>0</v>
      </c>
      <c r="O96" s="68">
        <f>IF(compute_ManualOverrideUI="No", COUNTIFS(UI!E$5:E$14974,UCDEffortSpread!D22, UI!B$5:B$14974,Definition!C$5,UI!D$5:D$14974,Definition!G$3),0)</f>
        <v>0</v>
      </c>
      <c r="P96" s="68">
        <f>IF(compute_ManualOverrideUI="No", COUNTIFS(UI!E$5:E$14974,UCDEffortSpread!D22, UI!B$5:B$14974,Definition!C$5,UI!D$5:D$14974,Definition!H$3),0)</f>
        <v>0</v>
      </c>
      <c r="Q96" s="68">
        <f>IF(compute_ManualOverrideUI="No", COUNTIFS(UI!E$5:E$14974,UCDEffortSpread!D22, UI!B$5:B$14974,Definition!C$5,UI!D$5:D$14974,Definition!I$3),0)</f>
        <v>0</v>
      </c>
      <c r="R96" s="201">
        <f>(Definition!M96*Definition!E$5)</f>
        <v>0</v>
      </c>
      <c r="S96" s="201">
        <f>(Definition!N96*Definition!F$5)</f>
        <v>0</v>
      </c>
      <c r="T96" s="201">
        <f>(Definition!O96*Definition!G$5)</f>
        <v>0</v>
      </c>
      <c r="U96" s="201">
        <f>(Definition!P96*Definition!H$5)</f>
        <v>0</v>
      </c>
      <c r="V96" s="201">
        <f>(Definition!Q96*Definition!I$5)</f>
        <v>0</v>
      </c>
      <c r="W96" s="204">
        <f t="shared" si="21"/>
        <v>0</v>
      </c>
      <c r="X96" s="206">
        <f t="shared" si="20"/>
        <v>0</v>
      </c>
    </row>
    <row r="97" spans="8:24">
      <c r="L97" s="427"/>
      <c r="M97" s="68">
        <f>IF(compute_ManualOverrideUI="No", COUNTIFS(UI!E$5:E$14974,UCDEffortSpread!D23, UI!B$5:B$14974,Definition!C$5,UI!D$5:D$14974,Definition!E$3), 0)</f>
        <v>0</v>
      </c>
      <c r="N97" s="68">
        <f>IF(compute_ManualOverrideUI="No", COUNTIFS(UI!E$5:E$14974,UCDEffortSpread!D23, UI!B$5:B$14974,Definition!C$5,UI!D$5:D$14974,Definition!F$3), 0)</f>
        <v>0</v>
      </c>
      <c r="O97" s="68">
        <f>IF(compute_ManualOverrideUI="No", COUNTIFS(UI!E$5:E$14974,UCDEffortSpread!D23, UI!B$5:B$14974,Definition!C$5,UI!D$5:D$14974,Definition!G$3),0)</f>
        <v>0</v>
      </c>
      <c r="P97" s="68">
        <f>IF(compute_ManualOverrideUI="No", COUNTIFS(UI!E$5:E$14974,UCDEffortSpread!D23, UI!B$5:B$14974,Definition!C$5,UI!D$5:D$14974,Definition!H$3),0)</f>
        <v>0</v>
      </c>
      <c r="Q97" s="68">
        <f>IF(compute_ManualOverrideUI="No", COUNTIFS(UI!E$5:E$14974,UCDEffortSpread!D23, UI!B$5:B$14974,Definition!C$5,UI!D$5:D$14974,Definition!I$3),0)</f>
        <v>0</v>
      </c>
      <c r="R97" s="201">
        <f>(Definition!M97*Definition!E$5)</f>
        <v>0</v>
      </c>
      <c r="S97" s="201">
        <f>(Definition!N97*Definition!F$5)</f>
        <v>0</v>
      </c>
      <c r="T97" s="201">
        <f>(Definition!O97*Definition!G$5)</f>
        <v>0</v>
      </c>
      <c r="U97" s="201">
        <f>(Definition!P97*Definition!H$5)</f>
        <v>0</v>
      </c>
      <c r="V97" s="201">
        <f>(Definition!Q97*Definition!I$5)</f>
        <v>0</v>
      </c>
      <c r="W97" s="204">
        <f t="shared" si="21"/>
        <v>0</v>
      </c>
      <c r="X97" s="206">
        <f t="shared" si="20"/>
        <v>0</v>
      </c>
    </row>
    <row r="98" spans="8:24">
      <c r="H98" s="7"/>
      <c r="I98" s="8"/>
      <c r="J98" s="8"/>
      <c r="L98" s="427"/>
      <c r="M98" s="68">
        <f>IF(compute_ManualOverrideUI="No", COUNTIFS(UI!E$5:E$14974,UCDEffortSpread!D24, UI!B$5:B$14974,Definition!C$5,UI!D$5:D$14974,Definition!E$3), 0)</f>
        <v>0</v>
      </c>
      <c r="N98" s="68">
        <f>IF(compute_ManualOverrideUI="No", COUNTIFS(UI!E$5:E$14974,UCDEffortSpread!D24, UI!B$5:B$14974,Definition!C$5,UI!D$5:D$14974,Definition!F$3), 0)</f>
        <v>0</v>
      </c>
      <c r="O98" s="68">
        <f>IF(compute_ManualOverrideUI="No", COUNTIFS(UI!E$5:E$14974,UCDEffortSpread!D24, UI!B$5:B$14974,Definition!C$5,UI!D$5:D$14974,Definition!G$3),0)</f>
        <v>0</v>
      </c>
      <c r="P98" s="68">
        <f>IF(compute_ManualOverrideUI="No", COUNTIFS(UI!E$5:E$14974,UCDEffortSpread!D24, UI!B$5:B$14974,Definition!C$5,UI!D$5:D$14974,Definition!H$3),0)</f>
        <v>0</v>
      </c>
      <c r="Q98" s="68">
        <f>IF(compute_ManualOverrideUI="No", COUNTIFS(UI!E$5:E$14974,UCDEffortSpread!D24, UI!B$5:B$14974,Definition!C$5,UI!D$5:D$14974,Definition!I$3),0)</f>
        <v>0</v>
      </c>
      <c r="R98" s="201">
        <f>(Definition!M98*Definition!E$5)</f>
        <v>0</v>
      </c>
      <c r="S98" s="201">
        <f>(Definition!N98*Definition!F$5)</f>
        <v>0</v>
      </c>
      <c r="T98" s="201">
        <f>(Definition!O98*Definition!G$5)</f>
        <v>0</v>
      </c>
      <c r="U98" s="201">
        <f>(Definition!P98*Definition!H$5)</f>
        <v>0</v>
      </c>
      <c r="V98" s="201">
        <f>(Definition!Q98*Definition!I$5)</f>
        <v>0</v>
      </c>
      <c r="W98" s="204">
        <f t="shared" si="21"/>
        <v>0</v>
      </c>
      <c r="X98" s="206">
        <f t="shared" si="20"/>
        <v>0</v>
      </c>
    </row>
    <row r="99" spans="8:24">
      <c r="H99" s="7"/>
      <c r="I99" s="8"/>
      <c r="J99" s="8"/>
      <c r="L99" s="427"/>
      <c r="M99" s="68">
        <f>IF(compute_ManualOverrideUI="No", COUNTIFS(UI!E$5:E$14974,UCDEffortSpread!D25, UI!B$5:B$14974,Definition!C$5,UI!D$5:D$14974,Definition!E$3), 0)</f>
        <v>0</v>
      </c>
      <c r="N99" s="68">
        <f>IF(compute_ManualOverrideUI="No", COUNTIFS(UI!E$5:E$14974,UCDEffortSpread!D25, UI!B$5:B$14974,Definition!C$5,UI!D$5:D$14974,Definition!F$3), 0)</f>
        <v>0</v>
      </c>
      <c r="O99" s="68">
        <f>IF(compute_ManualOverrideUI="No", COUNTIFS(UI!E$5:E$14974,UCDEffortSpread!D25, UI!B$5:B$14974,Definition!C$5,UI!D$5:D$14974,Definition!G$3),0)</f>
        <v>0</v>
      </c>
      <c r="P99" s="68">
        <f>IF(compute_ManualOverrideUI="No", COUNTIFS(UI!E$5:E$14974,UCDEffortSpread!D25, UI!B$5:B$14974,Definition!C$5,UI!D$5:D$14974,Definition!H$3),0)</f>
        <v>0</v>
      </c>
      <c r="Q99" s="68">
        <f>IF(compute_ManualOverrideUI="No", COUNTIFS(UI!E$5:E$14974,UCDEffortSpread!D25, UI!B$5:B$14974,Definition!C$5,UI!D$5:D$14974,Definition!I$3),0)</f>
        <v>0</v>
      </c>
      <c r="R99" s="201">
        <f>(Definition!M99*Definition!E$5)</f>
        <v>0</v>
      </c>
      <c r="S99" s="201">
        <f>(Definition!N99*Definition!F$5)</f>
        <v>0</v>
      </c>
      <c r="T99" s="201">
        <f>(Definition!O99*Definition!G$5)</f>
        <v>0</v>
      </c>
      <c r="U99" s="201">
        <f>(Definition!P99*Definition!H$5)</f>
        <v>0</v>
      </c>
      <c r="V99" s="201">
        <f>(Definition!Q99*Definition!I$5)</f>
        <v>0</v>
      </c>
      <c r="W99" s="204">
        <f t="shared" si="21"/>
        <v>0</v>
      </c>
      <c r="X99" s="206">
        <f t="shared" si="20"/>
        <v>0</v>
      </c>
    </row>
    <row r="100" spans="8:24" ht="12.75" customHeight="1">
      <c r="H100" s="7"/>
      <c r="I100" s="8"/>
      <c r="J100" s="8"/>
      <c r="L100" s="427"/>
      <c r="M100" s="68">
        <f>IF(compute_ManualOverrideUI="No", COUNTIFS(UI!E$5:E$14974,UCDEffortSpread!D26, UI!B$5:B$14974,Definition!C$5,UI!D$5:D$14974,Definition!E$3), 0)</f>
        <v>0</v>
      </c>
      <c r="N100" s="68">
        <f>IF(compute_ManualOverrideUI="No", COUNTIFS(UI!E$5:E$14974,UCDEffortSpread!D26, UI!B$5:B$14974,Definition!C$5,UI!D$5:D$14974,Definition!F$3), 0)</f>
        <v>0</v>
      </c>
      <c r="O100" s="68">
        <f>IF(compute_ManualOverrideUI="No", COUNTIFS(UI!E$5:E$14974,UCDEffortSpread!D26, UI!B$5:B$14974,Definition!C$5,UI!D$5:D$14974,Definition!G$3),0)</f>
        <v>0</v>
      </c>
      <c r="P100" s="68">
        <f>IF(compute_ManualOverrideUI="No", COUNTIFS(UI!E$5:E$14974,UCDEffortSpread!D26, UI!B$5:B$14974,Definition!C$5,UI!D$5:D$14974,Definition!H$3),0)</f>
        <v>0</v>
      </c>
      <c r="Q100" s="68">
        <f>IF(compute_ManualOverrideUI="No", COUNTIFS(UI!E$5:E$14974,UCDEffortSpread!D26, UI!B$5:B$14974,Definition!C$5,UI!D$5:D$14974,Definition!I$3),0)</f>
        <v>0</v>
      </c>
      <c r="R100" s="201">
        <f>(Definition!M100*Definition!E$5)</f>
        <v>0</v>
      </c>
      <c r="S100" s="201">
        <f>(Definition!N100*Definition!F$5)</f>
        <v>0</v>
      </c>
      <c r="T100" s="201">
        <f>(Definition!O100*Definition!G$5)</f>
        <v>0</v>
      </c>
      <c r="U100" s="201">
        <f>(Definition!P100*Definition!H$5)</f>
        <v>0</v>
      </c>
      <c r="V100" s="201">
        <f>(Definition!Q100*Definition!I$5)</f>
        <v>0</v>
      </c>
      <c r="W100" s="204">
        <f t="shared" si="21"/>
        <v>0</v>
      </c>
      <c r="X100" s="206">
        <f t="shared" si="20"/>
        <v>0</v>
      </c>
    </row>
    <row r="101" spans="8:24">
      <c r="L101" s="427"/>
      <c r="M101" s="68">
        <f>IF(compute_ManualOverrideUI="No", COUNTIFS(UI!E$5:E$14974,UCDEffortSpread!D27, UI!B$5:B$14974,Definition!C$5,UI!D$5:D$14974,Definition!E$3), 0)</f>
        <v>0</v>
      </c>
      <c r="N101" s="68">
        <f>IF(compute_ManualOverrideUI="No", COUNTIFS(UI!E$5:E$14974,UCDEffortSpread!D27, UI!B$5:B$14974,Definition!C$5,UI!D$5:D$14974,Definition!F$3), 0)</f>
        <v>0</v>
      </c>
      <c r="O101" s="68">
        <f>IF(compute_ManualOverrideUI="No", COUNTIFS(UI!E$5:E$14974,UCDEffortSpread!D27, UI!B$5:B$14974,Definition!C$5,UI!D$5:D$14974,Definition!G$3),0)</f>
        <v>0</v>
      </c>
      <c r="P101" s="68">
        <f>IF(compute_ManualOverrideUI="No", COUNTIFS(UI!E$5:E$14974,UCDEffortSpread!D27, UI!B$5:B$14974,Definition!C$5,UI!D$5:D$14974,Definition!H$3),0)</f>
        <v>0</v>
      </c>
      <c r="Q101" s="68">
        <f>IF(compute_ManualOverrideUI="No", COUNTIFS(UI!E$5:E$14974,UCDEffortSpread!D27, UI!B$5:B$14974,Definition!C$5,UI!D$5:D$14974,Definition!I$3),0)</f>
        <v>0</v>
      </c>
      <c r="R101" s="201">
        <f>(Definition!M101*Definition!E$5)</f>
        <v>0</v>
      </c>
      <c r="S101" s="201">
        <f>(Definition!N101*Definition!F$5)</f>
        <v>0</v>
      </c>
      <c r="T101" s="201">
        <f>(Definition!O101*Definition!G$5)</f>
        <v>0</v>
      </c>
      <c r="U101" s="201">
        <f>(Definition!P101*Definition!H$5)</f>
        <v>0</v>
      </c>
      <c r="V101" s="201">
        <f>(Definition!Q101*Definition!I$5)</f>
        <v>0</v>
      </c>
      <c r="W101" s="204">
        <f t="shared" si="21"/>
        <v>0</v>
      </c>
      <c r="X101" s="206">
        <f t="shared" si="20"/>
        <v>0</v>
      </c>
    </row>
    <row r="102" spans="8:24">
      <c r="L102" s="427"/>
      <c r="M102" s="68">
        <f>IF(compute_ManualOverrideUI="No", COUNTIFS(UI!E$5:E$14974,UCDEffortSpread!D28, UI!B$5:B$14974,Definition!C$5,UI!D$5:D$14974,Definition!E$3), 0)</f>
        <v>0</v>
      </c>
      <c r="N102" s="68">
        <f>IF(compute_ManualOverrideUI="No", COUNTIFS(UI!E$5:E$14974,UCDEffortSpread!D28, UI!B$5:B$14974,Definition!C$5,UI!D$5:D$14974,Definition!F$3), 0)</f>
        <v>0</v>
      </c>
      <c r="O102" s="68">
        <f>IF(compute_ManualOverrideUI="No", COUNTIFS(UI!E$5:E$14974,UCDEffortSpread!D28, UI!B$5:B$14974,Definition!C$5,UI!D$5:D$14974,Definition!G$3),0)</f>
        <v>0</v>
      </c>
      <c r="P102" s="68">
        <f>IF(compute_ManualOverrideUI="No", COUNTIFS(UI!E$5:E$14974,UCDEffortSpread!D28, UI!B$5:B$14974,Definition!C$5,UI!D$5:D$14974,Definition!H$3),0)</f>
        <v>0</v>
      </c>
      <c r="Q102" s="68">
        <f>IF(compute_ManualOverrideUI="No", COUNTIFS(UI!E$5:E$14974,UCDEffortSpread!D28, UI!B$5:B$14974,Definition!C$5,UI!D$5:D$14974,Definition!I$3),0)</f>
        <v>0</v>
      </c>
      <c r="R102" s="201">
        <f>(Definition!M102*Definition!E$5)</f>
        <v>0</v>
      </c>
      <c r="S102" s="201">
        <f>(Definition!N102*Definition!F$5)</f>
        <v>0</v>
      </c>
      <c r="T102" s="201">
        <f>(Definition!O102*Definition!G$5)</f>
        <v>0</v>
      </c>
      <c r="U102" s="201">
        <f>(Definition!P102*Definition!H$5)</f>
        <v>0</v>
      </c>
      <c r="V102" s="201">
        <f>(Definition!Q102*Definition!I$5)</f>
        <v>0</v>
      </c>
      <c r="W102" s="204">
        <f t="shared" si="21"/>
        <v>0</v>
      </c>
      <c r="X102" s="206">
        <f t="shared" si="20"/>
        <v>0</v>
      </c>
    </row>
    <row r="103" spans="8:24">
      <c r="L103" s="427"/>
      <c r="M103" s="68">
        <f>IF(compute_ManualOverrideUI="No", COUNTIFS(UI!E$5:E$14974,UCDEffortSpread!D29, UI!B$5:B$14974,Definition!C$5,UI!D$5:D$14974,Definition!E$3), 0)</f>
        <v>0</v>
      </c>
      <c r="N103" s="68">
        <f>IF(compute_ManualOverrideUI="No", COUNTIFS(UI!E$5:E$14974,UCDEffortSpread!D29, UI!B$5:B$14974,Definition!C$5,UI!D$5:D$14974,Definition!F$3), 0)</f>
        <v>0</v>
      </c>
      <c r="O103" s="68">
        <f>IF(compute_ManualOverrideUI="No", COUNTIFS(UI!E$5:E$14974,UCDEffortSpread!D29, UI!B$5:B$14974,Definition!C$5,UI!D$5:D$14974,Definition!G$3),0)</f>
        <v>0</v>
      </c>
      <c r="P103" s="68">
        <f>IF(compute_ManualOverrideUI="No", COUNTIFS(UI!E$5:E$14974,UCDEffortSpread!D29, UI!B$5:B$14974,Definition!C$5,UI!D$5:D$14974,Definition!H$3),0)</f>
        <v>0</v>
      </c>
      <c r="Q103" s="68">
        <f>IF(compute_ManualOverrideUI="No", COUNTIFS(UI!E$5:E$14974,UCDEffortSpread!D29, UI!B$5:B$14974,Definition!C$5,UI!D$5:D$14974,Definition!I$3),0)</f>
        <v>0</v>
      </c>
      <c r="R103" s="201">
        <f>(Definition!M103*Definition!E$5)</f>
        <v>0</v>
      </c>
      <c r="S103" s="201">
        <f>(Definition!N103*Definition!F$5)</f>
        <v>0</v>
      </c>
      <c r="T103" s="201">
        <f>(Definition!O103*Definition!G$5)</f>
        <v>0</v>
      </c>
      <c r="U103" s="201">
        <f>(Definition!P103*Definition!H$5)</f>
        <v>0</v>
      </c>
      <c r="V103" s="201">
        <f>(Definition!Q103*Definition!I$5)</f>
        <v>0</v>
      </c>
      <c r="W103" s="204">
        <f t="shared" si="21"/>
        <v>0</v>
      </c>
      <c r="X103" s="206">
        <f t="shared" si="20"/>
        <v>0</v>
      </c>
    </row>
    <row r="104" spans="8:24" ht="12.75" customHeight="1">
      <c r="L104" s="427"/>
      <c r="M104" s="68">
        <f>IF(compute_ManualOverrideUI="No", COUNTIFS(UI!E$5:E$14974,UCDEffortSpread!D30, UI!B$5:B$14974,Definition!C$5,UI!D$5:D$14974,Definition!E$3), 0)</f>
        <v>0</v>
      </c>
      <c r="N104" s="68">
        <f>IF(compute_ManualOverrideUI="No", COUNTIFS(UI!E$5:E$14974,UCDEffortSpread!D30, UI!B$5:B$14974,Definition!C$5,UI!D$5:D$14974,Definition!F$3), 0)</f>
        <v>0</v>
      </c>
      <c r="O104" s="68">
        <f>IF(compute_ManualOverrideUI="No", COUNTIFS(UI!E$5:E$14974,UCDEffortSpread!D30, UI!B$5:B$14974,Definition!C$5,UI!D$5:D$14974,Definition!G$3),0)</f>
        <v>0</v>
      </c>
      <c r="P104" s="68">
        <f>IF(compute_ManualOverrideUI="No", COUNTIFS(UI!E$5:E$14974,UCDEffortSpread!D30, UI!B$5:B$14974,Definition!C$5,UI!D$5:D$14974,Definition!H$3),0)</f>
        <v>0</v>
      </c>
      <c r="Q104" s="68">
        <f>IF(compute_ManualOverrideUI="No", COUNTIFS(UI!E$5:E$14974,UCDEffortSpread!D30, UI!B$5:B$14974,Definition!C$5,UI!D$5:D$14974,Definition!I$3),0)</f>
        <v>0</v>
      </c>
      <c r="R104" s="201">
        <f>(Definition!M104*Definition!E$5)</f>
        <v>0</v>
      </c>
      <c r="S104" s="201">
        <f>(Definition!N104*Definition!F$5)</f>
        <v>0</v>
      </c>
      <c r="T104" s="201">
        <f>(Definition!O104*Definition!G$5)</f>
        <v>0</v>
      </c>
      <c r="U104" s="201">
        <f>(Definition!P104*Definition!H$5)</f>
        <v>0</v>
      </c>
      <c r="V104" s="201">
        <f>(Definition!Q104*Definition!I$5)</f>
        <v>0</v>
      </c>
      <c r="W104" s="204">
        <f t="shared" si="21"/>
        <v>0</v>
      </c>
      <c r="X104" s="206">
        <f t="shared" si="20"/>
        <v>0</v>
      </c>
    </row>
    <row r="105" spans="8:24">
      <c r="L105" s="427"/>
      <c r="M105" s="68">
        <f>IF(compute_ManualOverrideUI="No", COUNTIFS(UI!E$5:E$14974,UCDEffortSpread!D31, UI!B$5:B$14974,Definition!C$5,UI!D$5:D$14974,Definition!E$3), 0)</f>
        <v>0</v>
      </c>
      <c r="N105" s="68">
        <f>IF(compute_ManualOverrideUI="No", COUNTIFS(UI!E$5:E$14974,UCDEffortSpread!D31, UI!B$5:B$14974,Definition!C$5,UI!D$5:D$14974,Definition!F$3), 0)</f>
        <v>0</v>
      </c>
      <c r="O105" s="68">
        <f>IF(compute_ManualOverrideUI="No", COUNTIFS(UI!E$5:E$14974,UCDEffortSpread!D31, UI!B$5:B$14974,Definition!C$5,UI!D$5:D$14974,Definition!G$3),0)</f>
        <v>0</v>
      </c>
      <c r="P105" s="68">
        <f>IF(compute_ManualOverrideUI="No", COUNTIFS(UI!E$5:E$14974,UCDEffortSpread!D31, UI!B$5:B$14974,Definition!C$5,UI!D$5:D$14974,Definition!H$3),0)</f>
        <v>0</v>
      </c>
      <c r="Q105" s="68">
        <f>IF(compute_ManualOverrideUI="No", COUNTIFS(UI!E$5:E$14974,UCDEffortSpread!D31, UI!B$5:B$14974,Definition!C$5,UI!D$5:D$14974,Definition!I$3),0)</f>
        <v>0</v>
      </c>
      <c r="R105" s="201">
        <f>(Definition!M105*Definition!E$5)</f>
        <v>0</v>
      </c>
      <c r="S105" s="201">
        <f>(Definition!N105*Definition!F$5)</f>
        <v>0</v>
      </c>
      <c r="T105" s="201">
        <f>(Definition!O105*Definition!G$5)</f>
        <v>0</v>
      </c>
      <c r="U105" s="201">
        <f>(Definition!P105*Definition!H$5)</f>
        <v>0</v>
      </c>
      <c r="V105" s="201">
        <f>(Definition!Q105*Definition!I$5)</f>
        <v>0</v>
      </c>
      <c r="W105" s="204">
        <f t="shared" si="21"/>
        <v>0</v>
      </c>
      <c r="X105" s="206">
        <f t="shared" si="20"/>
        <v>0</v>
      </c>
    </row>
    <row r="106" spans="8:24">
      <c r="L106" s="427"/>
      <c r="M106" s="68">
        <f>IF(compute_ManualOverrideUI="No", COUNTIFS(UI!E$5:E$14974,UCDEffortSpread!D32, UI!B$5:B$14974,Definition!C$5,UI!D$5:D$14974,Definition!E$3), 0)</f>
        <v>0</v>
      </c>
      <c r="N106" s="68">
        <f>IF(compute_ManualOverrideUI="No", COUNTIFS(UI!E$5:E$14974,UCDEffortSpread!D32, UI!B$5:B$14974,Definition!C$5,UI!D$5:D$14974,Definition!F$3), 0)</f>
        <v>0</v>
      </c>
      <c r="O106" s="68">
        <f>IF(compute_ManualOverrideUI="No", COUNTIFS(UI!E$5:E$14974,UCDEffortSpread!D32, UI!B$5:B$14974,Definition!C$5,UI!D$5:D$14974,Definition!G$3),0)</f>
        <v>0</v>
      </c>
      <c r="P106" s="68">
        <f>IF(compute_ManualOverrideUI="No", COUNTIFS(UI!E$5:E$14974,UCDEffortSpread!D32, UI!B$5:B$14974,Definition!C$5,UI!D$5:D$14974,Definition!H$3),0)</f>
        <v>0</v>
      </c>
      <c r="Q106" s="68">
        <f>IF(compute_ManualOverrideUI="No", COUNTIFS(UI!E$5:E$14974,UCDEffortSpread!D32, UI!B$5:B$14974,Definition!C$5,UI!D$5:D$14974,Definition!I$3),0)</f>
        <v>0</v>
      </c>
      <c r="R106" s="201">
        <f>(Definition!M106*Definition!E$5)</f>
        <v>0</v>
      </c>
      <c r="S106" s="201">
        <f>(Definition!N106*Definition!F$5)</f>
        <v>0</v>
      </c>
      <c r="T106" s="201">
        <f>(Definition!O106*Definition!G$5)</f>
        <v>0</v>
      </c>
      <c r="U106" s="201">
        <f>(Definition!P106*Definition!H$5)</f>
        <v>0</v>
      </c>
      <c r="V106" s="201">
        <f>(Definition!Q106*Definition!I$5)</f>
        <v>0</v>
      </c>
      <c r="W106" s="204">
        <f t="shared" si="21"/>
        <v>0</v>
      </c>
      <c r="X106" s="206">
        <f t="shared" si="20"/>
        <v>0</v>
      </c>
    </row>
    <row r="107" spans="8:24">
      <c r="L107" s="427"/>
      <c r="M107" s="68">
        <f>IF(compute_ManualOverrideUI="No", COUNTIFS(UI!E$5:E$14974,UCDEffortSpread!D33, UI!B$5:B$14974,Definition!C$5,UI!D$5:D$14974,Definition!E$3), 0)</f>
        <v>0</v>
      </c>
      <c r="N107" s="68">
        <f>IF(compute_ManualOverrideUI="No", COUNTIFS(UI!E$5:E$14974,UCDEffortSpread!D33, UI!B$5:B$14974,Definition!C$5,UI!D$5:D$14974,Definition!F$3), 0)</f>
        <v>0</v>
      </c>
      <c r="O107" s="68">
        <f>IF(compute_ManualOverrideUI="No", COUNTIFS(UI!E$5:E$14974,UCDEffortSpread!D33, UI!B$5:B$14974,Definition!C$5,UI!D$5:D$14974,Definition!G$3),0)</f>
        <v>0</v>
      </c>
      <c r="P107" s="68">
        <f>IF(compute_ManualOverrideUI="No", COUNTIFS(UI!E$5:E$14974,UCDEffortSpread!D33, UI!B$5:B$14974,Definition!C$5,UI!D$5:D$14974,Definition!H$3),0)</f>
        <v>0</v>
      </c>
      <c r="Q107" s="68">
        <f>IF(compute_ManualOverrideUI="No", COUNTIFS(UI!E$5:E$14974,UCDEffortSpread!D33, UI!B$5:B$14974,Definition!C$5,UI!D$5:D$14974,Definition!I$3),0)</f>
        <v>0</v>
      </c>
      <c r="R107" s="201">
        <f>(Definition!M107*Definition!E$5)</f>
        <v>0</v>
      </c>
      <c r="S107" s="201">
        <f>(Definition!N107*Definition!F$5)</f>
        <v>0</v>
      </c>
      <c r="T107" s="201">
        <f>(Definition!O107*Definition!G$5)</f>
        <v>0</v>
      </c>
      <c r="U107" s="201">
        <f>(Definition!P107*Definition!H$5)</f>
        <v>0</v>
      </c>
      <c r="V107" s="201">
        <f>(Definition!Q107*Definition!I$5)</f>
        <v>0</v>
      </c>
      <c r="W107" s="204">
        <f t="shared" si="21"/>
        <v>0</v>
      </c>
      <c r="X107" s="206">
        <f t="shared" si="20"/>
        <v>0</v>
      </c>
    </row>
    <row r="108" spans="8:24">
      <c r="L108" s="427"/>
      <c r="M108" s="68">
        <f>IF(compute_ManualOverrideUI="No", COUNTIFS(UI!E$5:E$14974,UCDEffortSpread!D34, UI!B$5:B$14974,Definition!C$5,UI!D$5:D$14974,Definition!E$3), 0)</f>
        <v>0</v>
      </c>
      <c r="N108" s="68">
        <f>IF(compute_ManualOverrideUI="No", COUNTIFS(UI!E$5:E$14974,UCDEffortSpread!D34, UI!B$5:B$14974,Definition!C$5,UI!D$5:D$14974,Definition!F$3), 0)</f>
        <v>0</v>
      </c>
      <c r="O108" s="68">
        <f>IF(compute_ManualOverrideUI="No", COUNTIFS(UI!E$5:E$14974,UCDEffortSpread!D34, UI!B$5:B$14974,Definition!C$5,UI!D$5:D$14974,Definition!G$3),0)</f>
        <v>0</v>
      </c>
      <c r="P108" s="68">
        <f>IF(compute_ManualOverrideUI="No", COUNTIFS(UI!E$5:E$14974,UCDEffortSpread!D34, UI!B$5:B$14974,Definition!C$5,UI!D$5:D$14974,Definition!H$3),0)</f>
        <v>0</v>
      </c>
      <c r="Q108" s="68">
        <f>IF(compute_ManualOverrideUI="No", COUNTIFS(UI!E$5:E$14974,UCDEffortSpread!D34, UI!B$5:B$14974,Definition!C$5,UI!D$5:D$14974,Definition!I$3),0)</f>
        <v>0</v>
      </c>
      <c r="R108" s="201">
        <f>(Definition!M108*Definition!E$5)</f>
        <v>0</v>
      </c>
      <c r="S108" s="201">
        <f>(Definition!N108*Definition!F$5)</f>
        <v>0</v>
      </c>
      <c r="T108" s="201">
        <f>(Definition!O108*Definition!G$5)</f>
        <v>0</v>
      </c>
      <c r="U108" s="201">
        <f>(Definition!P108*Definition!H$5)</f>
        <v>0</v>
      </c>
      <c r="V108" s="201">
        <f>(Definition!Q108*Definition!I$5)</f>
        <v>0</v>
      </c>
      <c r="W108" s="204">
        <f t="shared" si="21"/>
        <v>0</v>
      </c>
      <c r="X108" s="206">
        <f t="shared" si="20"/>
        <v>0</v>
      </c>
    </row>
    <row r="109" spans="8:24" ht="12.75" customHeight="1">
      <c r="L109" s="427"/>
      <c r="M109" s="68">
        <f>IF(compute_ManualOverrideUI="No", COUNTIFS(UI!E$5:E$14974,UCDEffortSpread!D35, UI!B$5:B$14974,Definition!C$5,UI!D$5:D$14974,Definition!E$3), 0)</f>
        <v>0</v>
      </c>
      <c r="N109" s="68">
        <f>IF(compute_ManualOverrideUI="No", COUNTIFS(UI!E$5:E$14974,UCDEffortSpread!D35, UI!B$5:B$14974,Definition!C$5,UI!D$5:D$14974,Definition!F$3), 0)</f>
        <v>0</v>
      </c>
      <c r="O109" s="68">
        <f>IF(compute_ManualOverrideUI="No", COUNTIFS(UI!E$5:E$14974,UCDEffortSpread!D35, UI!B$5:B$14974,Definition!C$5,UI!D$5:D$14974,Definition!G$3),0)</f>
        <v>0</v>
      </c>
      <c r="P109" s="68">
        <f>IF(compute_ManualOverrideUI="No", COUNTIFS(UI!E$5:E$14974,UCDEffortSpread!D35, UI!B$5:B$14974,Definition!C$5,UI!D$5:D$14974,Definition!H$3),0)</f>
        <v>0</v>
      </c>
      <c r="Q109" s="68">
        <f>IF(compute_ManualOverrideUI="No", COUNTIFS(UI!E$5:E$14974,UCDEffortSpread!D35, UI!B$5:B$14974,Definition!C$5,UI!D$5:D$14974,Definition!I$3),0)</f>
        <v>0</v>
      </c>
      <c r="R109" s="201">
        <f>(Definition!M109*Definition!E$5)</f>
        <v>0</v>
      </c>
      <c r="S109" s="201">
        <f>(Definition!N109*Definition!F$5)</f>
        <v>0</v>
      </c>
      <c r="T109" s="201">
        <f>(Definition!O109*Definition!G$5)</f>
        <v>0</v>
      </c>
      <c r="U109" s="201">
        <f>(Definition!P109*Definition!H$5)</f>
        <v>0</v>
      </c>
      <c r="V109" s="201">
        <f>(Definition!Q109*Definition!I$5)</f>
        <v>0</v>
      </c>
      <c r="W109" s="204">
        <f t="shared" si="21"/>
        <v>0</v>
      </c>
      <c r="X109" s="206">
        <f t="shared" si="20"/>
        <v>0</v>
      </c>
    </row>
    <row r="110" spans="8:24">
      <c r="L110" s="427"/>
      <c r="M110" s="68">
        <f>IF(compute_ManualOverrideUI="No", COUNTIFS(UI!E$5:E$14974,UCDEffortSpread!D36, UI!B$5:B$14974,Definition!C$5,UI!D$5:D$14974,Definition!E$3), 0)</f>
        <v>0</v>
      </c>
      <c r="N110" s="68">
        <f>IF(compute_ManualOverrideUI="No", COUNTIFS(UI!E$5:E$14974,UCDEffortSpread!D36, UI!B$5:B$14974,Definition!C$5,UI!D$5:D$14974,Definition!F$3), 0)</f>
        <v>0</v>
      </c>
      <c r="O110" s="68">
        <f>IF(compute_ManualOverrideUI="No", COUNTIFS(UI!E$5:E$14974,UCDEffortSpread!D36, UI!B$5:B$14974,Definition!C$5,UI!D$5:D$14974,Definition!G$3),0)</f>
        <v>0</v>
      </c>
      <c r="P110" s="68">
        <f>IF(compute_ManualOverrideUI="No", COUNTIFS(UI!E$5:E$14974,UCDEffortSpread!D36, UI!B$5:B$14974,Definition!C$5,UI!D$5:D$14974,Definition!H$3),0)</f>
        <v>0</v>
      </c>
      <c r="Q110" s="68">
        <f>IF(compute_ManualOverrideUI="No", COUNTIFS(UI!E$5:E$14974,UCDEffortSpread!D36, UI!B$5:B$14974,Definition!C$5,UI!D$5:D$14974,Definition!I$3),0)</f>
        <v>0</v>
      </c>
      <c r="R110" s="201">
        <f>(Definition!M110*Definition!E$5)</f>
        <v>0</v>
      </c>
      <c r="S110" s="201">
        <f>(Definition!N110*Definition!F$5)</f>
        <v>0</v>
      </c>
      <c r="T110" s="201">
        <f>(Definition!O110*Definition!G$5)</f>
        <v>0</v>
      </c>
      <c r="U110" s="201">
        <f>(Definition!P110*Definition!H$5)</f>
        <v>0</v>
      </c>
      <c r="V110" s="201">
        <f>(Definition!Q110*Definition!I$5)</f>
        <v>0</v>
      </c>
      <c r="W110" s="204">
        <f t="shared" si="21"/>
        <v>0</v>
      </c>
      <c r="X110" s="206">
        <f t="shared" si="20"/>
        <v>0</v>
      </c>
    </row>
    <row r="111" spans="8:24">
      <c r="L111" s="427"/>
      <c r="M111" s="68">
        <f>IF(compute_ManualOverrideUI="No", COUNTIFS(UI!E$5:E$14974,UCDEffortSpread!D37, UI!B$5:B$14974,Definition!C$5,UI!D$5:D$14974,Definition!E$3), 0)</f>
        <v>0</v>
      </c>
      <c r="N111" s="68">
        <f>IF(compute_ManualOverrideUI="No", COUNTIFS(UI!E$5:E$14974,UCDEffortSpread!D37, UI!B$5:B$14974,Definition!C$5,UI!D$5:D$14974,Definition!F$3), 0)</f>
        <v>0</v>
      </c>
      <c r="O111" s="68">
        <f>IF(compute_ManualOverrideUI="No", COUNTIFS(UI!E$5:E$14974,UCDEffortSpread!D37, UI!B$5:B$14974,Definition!C$5,UI!D$5:D$14974,Definition!G$3),0)</f>
        <v>0</v>
      </c>
      <c r="P111" s="68">
        <f>IF(compute_ManualOverrideUI="No", COUNTIFS(UI!E$5:E$14974,UCDEffortSpread!D37, UI!B$5:B$14974,Definition!C$5,UI!D$5:D$14974,Definition!H$3),0)</f>
        <v>0</v>
      </c>
      <c r="Q111" s="68">
        <f>IF(compute_ManualOverrideUI="No", COUNTIFS(UI!E$5:E$14974,UCDEffortSpread!D37, UI!B$5:B$14974,Definition!C$5,UI!D$5:D$14974,Definition!I$3),0)</f>
        <v>0</v>
      </c>
      <c r="R111" s="201">
        <f>(Definition!M111*Definition!E$5)</f>
        <v>0</v>
      </c>
      <c r="S111" s="201">
        <f>(Definition!N111*Definition!F$5)</f>
        <v>0</v>
      </c>
      <c r="T111" s="201">
        <f>(Definition!O111*Definition!G$5)</f>
        <v>0</v>
      </c>
      <c r="U111" s="201">
        <f>(Definition!P111*Definition!H$5)</f>
        <v>0</v>
      </c>
      <c r="V111" s="201">
        <f>(Definition!Q111*Definition!I$5)</f>
        <v>0</v>
      </c>
      <c r="W111" s="204">
        <f t="shared" si="21"/>
        <v>0</v>
      </c>
      <c r="X111" s="206">
        <f t="shared" si="20"/>
        <v>0</v>
      </c>
    </row>
    <row r="112" spans="8:24">
      <c r="L112" s="427"/>
      <c r="M112" s="68">
        <f>IF(compute_ManualOverrideUI="No", COUNTIFS(UI!E$5:E$14974,UCDEffortSpread!D38, UI!B$5:B$14974,Definition!C$5,UI!D$5:D$14974,Definition!E$3), 0)</f>
        <v>0</v>
      </c>
      <c r="N112" s="68">
        <f>IF(compute_ManualOverrideUI="No", COUNTIFS(UI!E$5:E$14974,UCDEffortSpread!D38, UI!B$5:B$14974,Definition!C$5,UI!D$5:D$14974,Definition!F$3), 0)</f>
        <v>0</v>
      </c>
      <c r="O112" s="68">
        <f>IF(compute_ManualOverrideUI="No", COUNTIFS(UI!E$5:E$14974,UCDEffortSpread!D38, UI!B$5:B$14974,Definition!C$5,UI!D$5:D$14974,Definition!G$3),0)</f>
        <v>0</v>
      </c>
      <c r="P112" s="68">
        <f>IF(compute_ManualOverrideUI="No", COUNTIFS(UI!E$5:E$14974,UCDEffortSpread!D38, UI!B$5:B$14974,Definition!C$5,UI!D$5:D$14974,Definition!H$3),0)</f>
        <v>0</v>
      </c>
      <c r="Q112" s="68">
        <f>IF(compute_ManualOverrideUI="No", COUNTIFS(UI!E$5:E$14974,UCDEffortSpread!D38, UI!B$5:B$14974,Definition!C$5,UI!D$5:D$14974,Definition!I$3),0)</f>
        <v>0</v>
      </c>
      <c r="R112" s="201">
        <f>(Definition!M112*Definition!E$5)</f>
        <v>0</v>
      </c>
      <c r="S112" s="201">
        <f>(Definition!N112*Definition!F$5)</f>
        <v>0</v>
      </c>
      <c r="T112" s="201">
        <f>(Definition!O112*Definition!G$5)</f>
        <v>0</v>
      </c>
      <c r="U112" s="201">
        <f>(Definition!P112*Definition!H$5)</f>
        <v>0</v>
      </c>
      <c r="V112" s="201">
        <f>(Definition!Q112*Definition!I$5)</f>
        <v>0</v>
      </c>
      <c r="W112" s="204">
        <f t="shared" si="21"/>
        <v>0</v>
      </c>
      <c r="X112" s="206">
        <f t="shared" si="20"/>
        <v>0</v>
      </c>
    </row>
    <row r="113" spans="12:24">
      <c r="L113" s="427"/>
      <c r="M113" s="68">
        <f>IF(compute_ManualOverrideUI="No", COUNTIFS(UI!E$5:E$14974,UCDEffortSpread!D39, UI!B$5:B$14974,Definition!C$5,UI!D$5:D$14974,Definition!E$3), 0)</f>
        <v>0</v>
      </c>
      <c r="N113" s="68">
        <f>IF(compute_ManualOverrideUI="No", COUNTIFS(UI!E$5:E$14974,UCDEffortSpread!D39, UI!B$5:B$14974,Definition!C$5,UI!D$5:D$14974,Definition!F$3), 0)</f>
        <v>0</v>
      </c>
      <c r="O113" s="68">
        <f>IF(compute_ManualOverrideUI="No", COUNTIFS(UI!E$5:E$14974,UCDEffortSpread!D39, UI!B$5:B$14974,Definition!C$5,UI!D$5:D$14974,Definition!G$3),0)</f>
        <v>0</v>
      </c>
      <c r="P113" s="68">
        <f>IF(compute_ManualOverrideUI="No", COUNTIFS(UI!E$5:E$14974,UCDEffortSpread!D39, UI!B$5:B$14974,Definition!C$5,UI!D$5:D$14974,Definition!H$3),0)</f>
        <v>0</v>
      </c>
      <c r="Q113" s="68">
        <f>IF(compute_ManualOverrideUI="No", COUNTIFS(UI!E$5:E$14974,UCDEffortSpread!D39, UI!B$5:B$14974,Definition!C$5,UI!D$5:D$14974,Definition!I$3),0)</f>
        <v>0</v>
      </c>
      <c r="R113" s="201">
        <f>(Definition!M113*Definition!E$5)</f>
        <v>0</v>
      </c>
      <c r="S113" s="201">
        <f>(Definition!N113*Definition!F$5)</f>
        <v>0</v>
      </c>
      <c r="T113" s="201">
        <f>(Definition!O113*Definition!G$5)</f>
        <v>0</v>
      </c>
      <c r="U113" s="201">
        <f>(Definition!P113*Definition!H$5)</f>
        <v>0</v>
      </c>
      <c r="V113" s="201">
        <f>(Definition!Q113*Definition!I$5)</f>
        <v>0</v>
      </c>
      <c r="W113" s="204">
        <f t="shared" si="21"/>
        <v>0</v>
      </c>
      <c r="X113" s="206">
        <f t="shared" si="20"/>
        <v>0</v>
      </c>
    </row>
    <row r="114" spans="12:24">
      <c r="L114" s="427"/>
      <c r="M114" s="68">
        <f>IF(compute_ManualOverrideUI="No", COUNTIFS(UI!E$5:E$14974,UCDEffortSpread!D40, UI!B$5:B$14974,Definition!C$5,UI!D$5:D$14974,Definition!E$3), 0)</f>
        <v>0</v>
      </c>
      <c r="N114" s="68">
        <f>IF(compute_ManualOverrideUI="No", COUNTIFS(UI!E$5:E$14974,UCDEffortSpread!D40, UI!B$5:B$14974,Definition!C$5,UI!D$5:D$14974,Definition!F$3), 0)</f>
        <v>0</v>
      </c>
      <c r="O114" s="68">
        <f>IF(compute_ManualOverrideUI="No", COUNTIFS(UI!E$5:E$14974,UCDEffortSpread!D40, UI!B$5:B$14974,Definition!C$5,UI!D$5:D$14974,Definition!G$3),0)</f>
        <v>0</v>
      </c>
      <c r="P114" s="68">
        <f>IF(compute_ManualOverrideUI="No", COUNTIFS(UI!E$5:E$14974,UCDEffortSpread!D40, UI!B$5:B$14974,Definition!C$5,UI!D$5:D$14974,Definition!H$3),0)</f>
        <v>0</v>
      </c>
      <c r="Q114" s="68">
        <f>IF(compute_ManualOverrideUI="No", COUNTIFS(UI!E$5:E$14974,UCDEffortSpread!D40, UI!B$5:B$14974,Definition!C$5,UI!D$5:D$14974,Definition!I$3),0)</f>
        <v>0</v>
      </c>
      <c r="R114" s="201">
        <f>(Definition!M114*Definition!E$5)</f>
        <v>0</v>
      </c>
      <c r="S114" s="201">
        <f>(Definition!N114*Definition!F$5)</f>
        <v>0</v>
      </c>
      <c r="T114" s="201">
        <f>(Definition!O114*Definition!G$5)</f>
        <v>0</v>
      </c>
      <c r="U114" s="201">
        <f>(Definition!P114*Definition!H$5)</f>
        <v>0</v>
      </c>
      <c r="V114" s="201">
        <f>(Definition!Q114*Definition!I$5)</f>
        <v>0</v>
      </c>
      <c r="W114" s="204">
        <f t="shared" si="21"/>
        <v>0</v>
      </c>
      <c r="X114" s="206">
        <f t="shared" si="20"/>
        <v>0</v>
      </c>
    </row>
    <row r="115" spans="12:24" ht="12.75" customHeight="1">
      <c r="L115" s="427"/>
      <c r="M115" s="68">
        <f>IF(compute_ManualOverrideUI="No", COUNTIFS(UI!E$5:E$14974,UCDEffortSpread!D41, UI!B$5:B$14974,Definition!C$5,UI!D$5:D$14974,Definition!E$3), 0)</f>
        <v>0</v>
      </c>
      <c r="N115" s="68">
        <f>IF(compute_ManualOverrideUI="No", COUNTIFS(UI!E$5:E$14974,UCDEffortSpread!D41, UI!B$5:B$14974,Definition!C$5,UI!D$5:D$14974,Definition!F$3), 0)</f>
        <v>0</v>
      </c>
      <c r="O115" s="68">
        <f>IF(compute_ManualOverrideUI="No", COUNTIFS(UI!E$5:E$14974,UCDEffortSpread!D41, UI!B$5:B$14974,Definition!C$5,UI!D$5:D$14974,Definition!G$3),0)</f>
        <v>0</v>
      </c>
      <c r="P115" s="68">
        <f>IF(compute_ManualOverrideUI="No", COUNTIFS(UI!E$5:E$14974,UCDEffortSpread!D41, UI!B$5:B$14974,Definition!C$5,UI!D$5:D$14974,Definition!H$3),0)</f>
        <v>0</v>
      </c>
      <c r="Q115" s="68">
        <f>IF(compute_ManualOverrideUI="No", COUNTIFS(UI!E$5:E$14974,UCDEffortSpread!D41, UI!B$5:B$14974,Definition!C$5,UI!D$5:D$14974,Definition!I$3),0)</f>
        <v>0</v>
      </c>
      <c r="R115" s="201">
        <f>(Definition!M115*Definition!E$5)</f>
        <v>0</v>
      </c>
      <c r="S115" s="201">
        <f>(Definition!N115*Definition!F$5)</f>
        <v>0</v>
      </c>
      <c r="T115" s="201">
        <f>(Definition!O115*Definition!G$5)</f>
        <v>0</v>
      </c>
      <c r="U115" s="201">
        <f>(Definition!P115*Definition!H$5)</f>
        <v>0</v>
      </c>
      <c r="V115" s="201">
        <f>(Definition!Q115*Definition!I$5)</f>
        <v>0</v>
      </c>
      <c r="W115" s="204">
        <f t="shared" si="21"/>
        <v>0</v>
      </c>
      <c r="X115" s="206">
        <f t="shared" si="20"/>
        <v>0</v>
      </c>
    </row>
    <row r="116" spans="12:24">
      <c r="L116" s="427"/>
      <c r="M116" s="68">
        <f>IF(compute_ManualOverrideUI="No", COUNTIFS(UI!E$5:E$14974,UCDEffortSpread!D42, UI!B$5:B$14974,Definition!C$5,UI!D$5:D$14974,Definition!E$3), 0)</f>
        <v>0</v>
      </c>
      <c r="N116" s="68">
        <f>IF(compute_ManualOverrideUI="No", COUNTIFS(UI!E$5:E$14974,UCDEffortSpread!D42, UI!B$5:B$14974,Definition!C$5,UI!D$5:D$14974,Definition!F$3), 0)</f>
        <v>0</v>
      </c>
      <c r="O116" s="68">
        <f>IF(compute_ManualOverrideUI="No", COUNTIFS(UI!E$5:E$14974,UCDEffortSpread!D42, UI!B$5:B$14974,Definition!C$5,UI!D$5:D$14974,Definition!G$3),0)</f>
        <v>0</v>
      </c>
      <c r="P116" s="68">
        <f>IF(compute_ManualOverrideUI="No", COUNTIFS(UI!E$5:E$14974,UCDEffortSpread!D42, UI!B$5:B$14974,Definition!C$5,UI!D$5:D$14974,Definition!H$3),0)</f>
        <v>0</v>
      </c>
      <c r="Q116" s="68">
        <f>IF(compute_ManualOverrideUI="No", COUNTIFS(UI!E$5:E$14974,UCDEffortSpread!D42, UI!B$5:B$14974,Definition!C$5,UI!D$5:D$14974,Definition!I$3),0)</f>
        <v>0</v>
      </c>
      <c r="R116" s="201">
        <f>(Definition!M116*Definition!E$5)</f>
        <v>0</v>
      </c>
      <c r="S116" s="201">
        <f>(Definition!N116*Definition!F$5)</f>
        <v>0</v>
      </c>
      <c r="T116" s="201">
        <f>(Definition!O116*Definition!G$5)</f>
        <v>0</v>
      </c>
      <c r="U116" s="201">
        <f>(Definition!P116*Definition!H$5)</f>
        <v>0</v>
      </c>
      <c r="V116" s="201">
        <f>(Definition!Q116*Definition!I$5)</f>
        <v>0</v>
      </c>
      <c r="W116" s="204">
        <f t="shared" si="21"/>
        <v>0</v>
      </c>
      <c r="X116" s="206">
        <f t="shared" si="20"/>
        <v>0</v>
      </c>
    </row>
    <row r="117" spans="12:24">
      <c r="L117" s="427"/>
      <c r="M117" s="68">
        <f>IF(compute_ManualOverrideUI="No", COUNTIFS(UI!E$5:E$14974,UCDEffortSpread!D43, UI!B$5:B$14974,Definition!C$5,UI!D$5:D$14974,Definition!E$3), 0)</f>
        <v>0</v>
      </c>
      <c r="N117" s="68">
        <f>IF(compute_ManualOverrideUI="No", COUNTIFS(UI!E$5:E$14974,UCDEffortSpread!D43, UI!B$5:B$14974,Definition!C$5,UI!D$5:D$14974,Definition!F$3), 0)</f>
        <v>0</v>
      </c>
      <c r="O117" s="68">
        <f>IF(compute_ManualOverrideUI="No", COUNTIFS(UI!E$5:E$14974,UCDEffortSpread!D43, UI!B$5:B$14974,Definition!C$5,UI!D$5:D$14974,Definition!G$3),0)</f>
        <v>0</v>
      </c>
      <c r="P117" s="68">
        <f>IF(compute_ManualOverrideUI="No", COUNTIFS(UI!E$5:E$14974,UCDEffortSpread!D43, UI!B$5:B$14974,Definition!C$5,UI!D$5:D$14974,Definition!H$3),0)</f>
        <v>0</v>
      </c>
      <c r="Q117" s="68">
        <f>IF(compute_ManualOverrideUI="No", COUNTIFS(UI!E$5:E$14974,UCDEffortSpread!D43, UI!B$5:B$14974,Definition!C$5,UI!D$5:D$14974,Definition!I$3),0)</f>
        <v>0</v>
      </c>
      <c r="R117" s="201">
        <f>(Definition!M117*Definition!E$5)</f>
        <v>0</v>
      </c>
      <c r="S117" s="201">
        <f>(Definition!N117*Definition!F$5)</f>
        <v>0</v>
      </c>
      <c r="T117" s="201">
        <f>(Definition!O117*Definition!G$5)</f>
        <v>0</v>
      </c>
      <c r="U117" s="201">
        <f>(Definition!P117*Definition!H$5)</f>
        <v>0</v>
      </c>
      <c r="V117" s="201">
        <f>(Definition!Q117*Definition!I$5)</f>
        <v>0</v>
      </c>
      <c r="W117" s="204">
        <f t="shared" si="21"/>
        <v>0</v>
      </c>
      <c r="X117" s="206">
        <f t="shared" si="20"/>
        <v>0</v>
      </c>
    </row>
    <row r="118" spans="12:24">
      <c r="L118" s="427"/>
      <c r="M118" s="68">
        <f>IF(compute_ManualOverrideUI="No", COUNTIFS(UI!E$5:E$14974,UCDEffortSpread!D44, UI!B$5:B$14974,Definition!C$5,UI!D$5:D$14974,Definition!E$3), 0)</f>
        <v>0</v>
      </c>
      <c r="N118" s="68">
        <f>IF(compute_ManualOverrideUI="No", COUNTIFS(UI!E$5:E$14974,UCDEffortSpread!D44, UI!B$5:B$14974,Definition!C$5,UI!D$5:D$14974,Definition!F$3), 0)</f>
        <v>0</v>
      </c>
      <c r="O118" s="68">
        <f>IF(compute_ManualOverrideUI="No", COUNTIFS(UI!E$5:E$14974,UCDEffortSpread!D44, UI!B$5:B$14974,Definition!C$5,UI!D$5:D$14974,Definition!G$3),0)</f>
        <v>0</v>
      </c>
      <c r="P118" s="68">
        <f>IF(compute_ManualOverrideUI="No", COUNTIFS(UI!E$5:E$14974,UCDEffortSpread!D44, UI!B$5:B$14974,Definition!C$5,UI!D$5:D$14974,Definition!H$3),0)</f>
        <v>0</v>
      </c>
      <c r="Q118" s="68">
        <f>IF(compute_ManualOverrideUI="No", COUNTIFS(UI!E$5:E$14974,UCDEffortSpread!D44, UI!B$5:B$14974,Definition!C$5,UI!D$5:D$14974,Definition!I$3),0)</f>
        <v>0</v>
      </c>
      <c r="R118" s="201">
        <f>(Definition!M118*Definition!E$5)</f>
        <v>0</v>
      </c>
      <c r="S118" s="201">
        <f>(Definition!N118*Definition!F$5)</f>
        <v>0</v>
      </c>
      <c r="T118" s="201">
        <f>(Definition!O118*Definition!G$5)</f>
        <v>0</v>
      </c>
      <c r="U118" s="201">
        <f>(Definition!P118*Definition!H$5)</f>
        <v>0</v>
      </c>
      <c r="V118" s="201">
        <f>(Definition!Q118*Definition!I$5)</f>
        <v>0</v>
      </c>
      <c r="W118" s="204">
        <f t="shared" si="21"/>
        <v>0</v>
      </c>
      <c r="X118" s="206">
        <f t="shared" si="20"/>
        <v>0</v>
      </c>
    </row>
    <row r="119" spans="12:24">
      <c r="L119" s="427"/>
      <c r="M119" s="68">
        <f>IF(compute_ManualOverrideUI="No", COUNTIFS(UI!E$5:E$14974,UCDEffortSpread!D45, UI!B$5:B$14974,Definition!C$5,UI!D$5:D$14974,Definition!E$3), 0)</f>
        <v>0</v>
      </c>
      <c r="N119" s="68">
        <f>IF(compute_ManualOverrideUI="No", COUNTIFS(UI!E$5:E$14974,UCDEffortSpread!D45, UI!B$5:B$14974,Definition!C$5,UI!D$5:D$14974,Definition!F$3), 0)</f>
        <v>0</v>
      </c>
      <c r="O119" s="68">
        <f>IF(compute_ManualOverrideUI="No", COUNTIFS(UI!E$5:E$14974,UCDEffortSpread!D45, UI!B$5:B$14974,Definition!C$5,UI!D$5:D$14974,Definition!G$3),0)</f>
        <v>0</v>
      </c>
      <c r="P119" s="68">
        <f>IF(compute_ManualOverrideUI="No", COUNTIFS(UI!E$5:E$14974,UCDEffortSpread!D45, UI!B$5:B$14974,Definition!C$5,UI!D$5:D$14974,Definition!H$3),0)</f>
        <v>0</v>
      </c>
      <c r="Q119" s="68">
        <f>IF(compute_ManualOverrideUI="No", COUNTIFS(UI!E$5:E$14974,UCDEffortSpread!D45, UI!B$5:B$14974,Definition!C$5,UI!D$5:D$14974,Definition!I$3),0)</f>
        <v>0</v>
      </c>
      <c r="R119" s="201">
        <f>(Definition!M119*Definition!E$5)</f>
        <v>0</v>
      </c>
      <c r="S119" s="201">
        <f>(Definition!N119*Definition!F$5)</f>
        <v>0</v>
      </c>
      <c r="T119" s="201">
        <f>(Definition!O119*Definition!G$5)</f>
        <v>0</v>
      </c>
      <c r="U119" s="201">
        <f>(Definition!P119*Definition!H$5)</f>
        <v>0</v>
      </c>
      <c r="V119" s="201">
        <f>(Definition!Q119*Definition!I$5)</f>
        <v>0</v>
      </c>
      <c r="W119" s="204">
        <f t="shared" si="21"/>
        <v>0</v>
      </c>
      <c r="X119" s="206">
        <f t="shared" si="20"/>
        <v>0</v>
      </c>
    </row>
    <row r="120" spans="12:24">
      <c r="L120" s="427"/>
      <c r="M120" s="68">
        <f>IF(compute_ManualOverrideUI="No", COUNTIFS(UI!E$5:E$14974,UCDEffortSpread!D46, UI!B$5:B$14974,Definition!C$5,UI!D$5:D$14974,Definition!E$3), 0)</f>
        <v>0</v>
      </c>
      <c r="N120" s="68">
        <f>IF(compute_ManualOverrideUI="No", COUNTIFS(UI!E$5:E$14974,UCDEffortSpread!D46, UI!B$5:B$14974,Definition!C$5,UI!D$5:D$14974,Definition!F$3), 0)</f>
        <v>0</v>
      </c>
      <c r="O120" s="68">
        <f>IF(compute_ManualOverrideUI="No", COUNTIFS(UI!E$5:E$14974,UCDEffortSpread!D46, UI!B$5:B$14974,Definition!C$5,UI!D$5:D$14974,Definition!G$3),0)</f>
        <v>0</v>
      </c>
      <c r="P120" s="68">
        <f>IF(compute_ManualOverrideUI="No", COUNTIFS(UI!E$5:E$14974,UCDEffortSpread!D46, UI!B$5:B$14974,Definition!C$5,UI!D$5:D$14974,Definition!H$3),0)</f>
        <v>0</v>
      </c>
      <c r="Q120" s="68">
        <f>IF(compute_ManualOverrideUI="No", COUNTIFS(UI!E$5:E$14974,UCDEffortSpread!D46, UI!B$5:B$14974,Definition!C$5,UI!D$5:D$14974,Definition!I$3),0)</f>
        <v>0</v>
      </c>
      <c r="R120" s="201">
        <f>(Definition!M120*Definition!E$5)</f>
        <v>0</v>
      </c>
      <c r="S120" s="201">
        <f>(Definition!N120*Definition!F$5)</f>
        <v>0</v>
      </c>
      <c r="T120" s="201">
        <f>(Definition!O120*Definition!G$5)</f>
        <v>0</v>
      </c>
      <c r="U120" s="201">
        <f>(Definition!P120*Definition!H$5)</f>
        <v>0</v>
      </c>
      <c r="V120" s="201">
        <f>(Definition!Q120*Definition!I$5)</f>
        <v>0</v>
      </c>
      <c r="W120" s="204">
        <f t="shared" si="21"/>
        <v>0</v>
      </c>
      <c r="X120" s="206">
        <f t="shared" si="20"/>
        <v>0</v>
      </c>
    </row>
    <row r="121" spans="12:24" ht="12.75" customHeight="1">
      <c r="L121" s="427"/>
      <c r="M121" s="68">
        <f>IF(compute_ManualOverrideUI="No", COUNTIFS(UI!E$5:E$14974,UCDEffortSpread!D47, UI!B$5:B$14974,Definition!C$5,UI!D$5:D$14974,Definition!E$3), 0)</f>
        <v>0</v>
      </c>
      <c r="N121" s="68">
        <f>IF(compute_ManualOverrideUI="No", COUNTIFS(UI!E$5:E$14974,UCDEffortSpread!D47, UI!B$5:B$14974,Definition!C$5,UI!D$5:D$14974,Definition!F$3), 0)</f>
        <v>0</v>
      </c>
      <c r="O121" s="68">
        <f>IF(compute_ManualOverrideUI="No", COUNTIFS(UI!E$5:E$14974,UCDEffortSpread!D47, UI!B$5:B$14974,Definition!C$5,UI!D$5:D$14974,Definition!G$3),0)</f>
        <v>0</v>
      </c>
      <c r="P121" s="68">
        <f>IF(compute_ManualOverrideUI="No", COUNTIFS(UI!E$5:E$14974,UCDEffortSpread!D47, UI!B$5:B$14974,Definition!C$5,UI!D$5:D$14974,Definition!H$3),0)</f>
        <v>0</v>
      </c>
      <c r="Q121" s="68">
        <f>IF(compute_ManualOverrideUI="No", COUNTIFS(UI!E$5:E$14974,UCDEffortSpread!D47, UI!B$5:B$14974,Definition!C$5,UI!D$5:D$14974,Definition!I$3),0)</f>
        <v>0</v>
      </c>
      <c r="R121" s="201">
        <f>(Definition!M121*Definition!E$5)</f>
        <v>0</v>
      </c>
      <c r="S121" s="201">
        <f>(Definition!N121*Definition!F$5)</f>
        <v>0</v>
      </c>
      <c r="T121" s="201">
        <f>(Definition!O121*Definition!G$5)</f>
        <v>0</v>
      </c>
      <c r="U121" s="201">
        <f>(Definition!P121*Definition!H$5)</f>
        <v>0</v>
      </c>
      <c r="V121" s="201">
        <f>(Definition!Q121*Definition!I$5)</f>
        <v>0</v>
      </c>
      <c r="W121" s="204">
        <f t="shared" si="21"/>
        <v>0</v>
      </c>
      <c r="X121" s="206">
        <f t="shared" si="20"/>
        <v>0</v>
      </c>
    </row>
    <row r="122" spans="12:24">
      <c r="L122" s="427"/>
      <c r="M122" s="68">
        <f>IF(compute_ManualOverrideUI="No", COUNTIFS(UI!E$5:E$14974,UCDEffortSpread!D48, UI!B$5:B$14974,Definition!C$5,UI!D$5:D$14974,Definition!E$3), 0)</f>
        <v>0</v>
      </c>
      <c r="N122" s="68">
        <f>IF(compute_ManualOverrideUI="No", COUNTIFS(UI!E$5:E$14974,UCDEffortSpread!D48, UI!B$5:B$14974,Definition!C$5,UI!D$5:D$14974,Definition!F$3), 0)</f>
        <v>0</v>
      </c>
      <c r="O122" s="68">
        <f>IF(compute_ManualOverrideUI="No", COUNTIFS(UI!E$5:E$14974,UCDEffortSpread!D48, UI!B$5:B$14974,Definition!C$5,UI!D$5:D$14974,Definition!G$3),0)</f>
        <v>0</v>
      </c>
      <c r="P122" s="68">
        <f>IF(compute_ManualOverrideUI="No", COUNTIFS(UI!E$5:E$14974,UCDEffortSpread!D48, UI!B$5:B$14974,Definition!C$5,UI!D$5:D$14974,Definition!H$3),0)</f>
        <v>0</v>
      </c>
      <c r="Q122" s="68">
        <f>IF(compute_ManualOverrideUI="No", COUNTIFS(UI!E$5:E$14974,UCDEffortSpread!D48, UI!B$5:B$14974,Definition!C$5,UI!D$5:D$14974,Definition!I$3),0)</f>
        <v>0</v>
      </c>
      <c r="R122" s="201">
        <f>(Definition!M122*Definition!E$5)</f>
        <v>0</v>
      </c>
      <c r="S122" s="201">
        <f>(Definition!N122*Definition!F$5)</f>
        <v>0</v>
      </c>
      <c r="T122" s="201">
        <f>(Definition!O122*Definition!G$5)</f>
        <v>0</v>
      </c>
      <c r="U122" s="201">
        <f>(Definition!P122*Definition!H$5)</f>
        <v>0</v>
      </c>
      <c r="V122" s="201">
        <f>(Definition!Q122*Definition!I$5)</f>
        <v>0</v>
      </c>
      <c r="W122" s="204">
        <f t="shared" si="21"/>
        <v>0</v>
      </c>
      <c r="X122" s="206">
        <f t="shared" si="20"/>
        <v>0</v>
      </c>
    </row>
    <row r="123" spans="12:24">
      <c r="L123" s="427"/>
      <c r="M123" s="68">
        <f>IF(compute_ManualOverrideUI="No", COUNTIFS(UI!E$5:E$14974,UCDEffortSpread!D49, UI!B$5:B$14974,Definition!C$5,UI!D$5:D$14974,Definition!E$3), 0)</f>
        <v>0</v>
      </c>
      <c r="N123" s="68">
        <f>IF(compute_ManualOverrideUI="No", COUNTIFS(UI!E$5:E$14974,UCDEffortSpread!D49, UI!B$5:B$14974,Definition!C$5,UI!D$5:D$14974,Definition!F$3), 0)</f>
        <v>0</v>
      </c>
      <c r="O123" s="68">
        <f>IF(compute_ManualOverrideUI="No", COUNTIFS(UI!E$5:E$14974,UCDEffortSpread!D49, UI!B$5:B$14974,Definition!C$5,UI!D$5:D$14974,Definition!G$3),0)</f>
        <v>0</v>
      </c>
      <c r="P123" s="68">
        <f>IF(compute_ManualOverrideUI="No", COUNTIFS(UI!E$5:E$14974,UCDEffortSpread!D49, UI!B$5:B$14974,Definition!C$5,UI!D$5:D$14974,Definition!H$3),0)</f>
        <v>0</v>
      </c>
      <c r="Q123" s="68">
        <f>IF(compute_ManualOverrideUI="No", COUNTIFS(UI!E$5:E$14974,UCDEffortSpread!D49, UI!B$5:B$14974,Definition!C$5,UI!D$5:D$14974,Definition!I$3),0)</f>
        <v>0</v>
      </c>
      <c r="R123" s="201">
        <f>(Definition!M123*Definition!E$5)</f>
        <v>0</v>
      </c>
      <c r="S123" s="201">
        <f>(Definition!N123*Definition!F$5)</f>
        <v>0</v>
      </c>
      <c r="T123" s="201">
        <f>(Definition!O123*Definition!G$5)</f>
        <v>0</v>
      </c>
      <c r="U123" s="201">
        <f>(Definition!P123*Definition!H$5)</f>
        <v>0</v>
      </c>
      <c r="V123" s="201">
        <f>(Definition!Q123*Definition!I$5)</f>
        <v>0</v>
      </c>
      <c r="W123" s="204">
        <f t="shared" si="21"/>
        <v>0</v>
      </c>
      <c r="X123" s="206">
        <f t="shared" si="20"/>
        <v>0</v>
      </c>
    </row>
    <row r="124" spans="12:24">
      <c r="L124" s="427"/>
      <c r="M124" s="68">
        <f>IF(compute_ManualOverrideUI="No", COUNTIFS(UI!E$5:E$14974,UCDEffortSpread!D50, UI!B$5:B$14974,Definition!C$5,UI!D$5:D$14974,Definition!E$3), 0)</f>
        <v>0</v>
      </c>
      <c r="N124" s="68">
        <f>IF(compute_ManualOverrideUI="No", COUNTIFS(UI!E$5:E$14974,UCDEffortSpread!D50, UI!B$5:B$14974,Definition!C$5,UI!D$5:D$14974,Definition!F$3), 0)</f>
        <v>0</v>
      </c>
      <c r="O124" s="68">
        <f>IF(compute_ManualOverrideUI="No", COUNTIFS(UI!E$5:E$14974,UCDEffortSpread!D50, UI!B$5:B$14974,Definition!C$5,UI!D$5:D$14974,Definition!G$3),0)</f>
        <v>0</v>
      </c>
      <c r="P124" s="68">
        <f>IF(compute_ManualOverrideUI="No", COUNTIFS(UI!E$5:E$14974,UCDEffortSpread!D50, UI!B$5:B$14974,Definition!C$5,UI!D$5:D$14974,Definition!H$3),0)</f>
        <v>0</v>
      </c>
      <c r="Q124" s="68">
        <f>IF(compute_ManualOverrideUI="No", COUNTIFS(UI!E$5:E$14974,UCDEffortSpread!D50, UI!B$5:B$14974,Definition!C$5,UI!D$5:D$14974,Definition!I$3),0)</f>
        <v>0</v>
      </c>
      <c r="R124" s="201">
        <f>(Definition!M124*Definition!E$5)</f>
        <v>0</v>
      </c>
      <c r="S124" s="201">
        <f>(Definition!N124*Definition!F$5)</f>
        <v>0</v>
      </c>
      <c r="T124" s="201">
        <f>(Definition!O124*Definition!G$5)</f>
        <v>0</v>
      </c>
      <c r="U124" s="201">
        <f>(Definition!P124*Definition!H$5)</f>
        <v>0</v>
      </c>
      <c r="V124" s="201">
        <f>(Definition!Q124*Definition!I$5)</f>
        <v>0</v>
      </c>
      <c r="W124" s="204">
        <f t="shared" si="21"/>
        <v>0</v>
      </c>
      <c r="X124" s="206">
        <f t="shared" si="20"/>
        <v>0</v>
      </c>
    </row>
    <row r="125" spans="12:24">
      <c r="L125" s="427"/>
      <c r="M125" s="68">
        <f>IF(compute_ManualOverrideUI="No", COUNTIFS(UI!E$5:E$14974,UCDEffortSpread!D51, UI!B$5:B$14974,Definition!C$5,UI!D$5:D$14974,Definition!E$3), 0)</f>
        <v>0</v>
      </c>
      <c r="N125" s="68">
        <f>IF(compute_ManualOverrideUI="No", COUNTIFS(UI!E$5:E$14974,UCDEffortSpread!D51, UI!B$5:B$14974,Definition!C$5,UI!D$5:D$14974,Definition!F$3), 0)</f>
        <v>0</v>
      </c>
      <c r="O125" s="68">
        <f>IF(compute_ManualOverrideUI="No", COUNTIFS(UI!E$5:E$14974,UCDEffortSpread!D51, UI!B$5:B$14974,Definition!C$5,UI!D$5:D$14974,Definition!G$3),0)</f>
        <v>0</v>
      </c>
      <c r="P125" s="68">
        <f>IF(compute_ManualOverrideUI="No", COUNTIFS(UI!E$5:E$14974,UCDEffortSpread!D51, UI!B$5:B$14974,Definition!C$5,UI!D$5:D$14974,Definition!H$3),0)</f>
        <v>0</v>
      </c>
      <c r="Q125" s="68">
        <f>IF(compute_ManualOverrideUI="No", COUNTIFS(UI!E$5:E$14974,UCDEffortSpread!D51, UI!B$5:B$14974,Definition!C$5,UI!D$5:D$14974,Definition!I$3),0)</f>
        <v>0</v>
      </c>
      <c r="R125" s="201">
        <f>(Definition!M125*Definition!E$5)</f>
        <v>0</v>
      </c>
      <c r="S125" s="201">
        <f>(Definition!N125*Definition!F$5)</f>
        <v>0</v>
      </c>
      <c r="T125" s="201">
        <f>(Definition!O125*Definition!G$5)</f>
        <v>0</v>
      </c>
      <c r="U125" s="201">
        <f>(Definition!P125*Definition!H$5)</f>
        <v>0</v>
      </c>
      <c r="V125" s="201">
        <f>(Definition!Q125*Definition!I$5)</f>
        <v>0</v>
      </c>
      <c r="W125" s="204">
        <f t="shared" si="21"/>
        <v>0</v>
      </c>
      <c r="X125" s="206">
        <f t="shared" si="20"/>
        <v>0</v>
      </c>
    </row>
    <row r="126" spans="12:24">
      <c r="L126" s="427"/>
      <c r="M126" s="68">
        <f>IF(compute_ManualOverrideUI="No", COUNTIFS(UI!E$5:E$14974,UCDEffortSpread!D52, UI!B$5:B$14974,Definition!C$5,UI!D$5:D$14974,Definition!E$3), 0)</f>
        <v>0</v>
      </c>
      <c r="N126" s="68">
        <f>IF(compute_ManualOverrideUI="No", COUNTIFS(UI!E$5:E$14974,UCDEffortSpread!D52, UI!B$5:B$14974,Definition!C$5,UI!D$5:D$14974,Definition!F$3), 0)</f>
        <v>0</v>
      </c>
      <c r="O126" s="68">
        <f>IF(compute_ManualOverrideUI="No", COUNTIFS(UI!E$5:E$14974,UCDEffortSpread!D52, UI!B$5:B$14974,Definition!C$5,UI!D$5:D$14974,Definition!G$3),0)</f>
        <v>0</v>
      </c>
      <c r="P126" s="68">
        <f>IF(compute_ManualOverrideUI="No", COUNTIFS(UI!E$5:E$14974,UCDEffortSpread!D52, UI!B$5:B$14974,Definition!C$5,UI!D$5:D$14974,Definition!H$3),0)</f>
        <v>0</v>
      </c>
      <c r="Q126" s="68">
        <f>IF(compute_ManualOverrideUI="No", COUNTIFS(UI!E$5:E$14974,UCDEffortSpread!D52, UI!B$5:B$14974,Definition!C$5,UI!D$5:D$14974,Definition!I$3),0)</f>
        <v>0</v>
      </c>
      <c r="R126" s="201">
        <f>(Definition!M126*Definition!E$5)</f>
        <v>0</v>
      </c>
      <c r="S126" s="201">
        <f>(Definition!N126*Definition!F$5)</f>
        <v>0</v>
      </c>
      <c r="T126" s="201">
        <f>(Definition!O126*Definition!G$5)</f>
        <v>0</v>
      </c>
      <c r="U126" s="201">
        <f>(Definition!P126*Definition!H$5)</f>
        <v>0</v>
      </c>
      <c r="V126" s="201">
        <f>(Definition!Q126*Definition!I$5)</f>
        <v>0</v>
      </c>
      <c r="W126" s="204">
        <f t="shared" si="21"/>
        <v>0</v>
      </c>
      <c r="X126" s="206">
        <f t="shared" si="20"/>
        <v>0</v>
      </c>
    </row>
    <row r="127" spans="12:24">
      <c r="L127" s="427"/>
      <c r="M127" s="68">
        <f>IF(compute_ManualOverrideUI="No", COUNTIFS(UI!E$5:E$14974,UCDEffortSpread!D53, UI!B$5:B$14974,Definition!C$5,UI!D$5:D$14974,Definition!E$3), 0)</f>
        <v>0</v>
      </c>
      <c r="N127" s="68">
        <f>IF(compute_ManualOverrideUI="No", COUNTIFS(UI!E$5:E$14974,UCDEffortSpread!D53, UI!B$5:B$14974,Definition!C$5,UI!D$5:D$14974,Definition!F$3), 0)</f>
        <v>0</v>
      </c>
      <c r="O127" s="68">
        <f>IF(compute_ManualOverrideUI="No", COUNTIFS(UI!E$5:E$14974,UCDEffortSpread!D53, UI!B$5:B$14974,Definition!C$5,UI!D$5:D$14974,Definition!G$3),0)</f>
        <v>0</v>
      </c>
      <c r="P127" s="68">
        <f>IF(compute_ManualOverrideUI="No", COUNTIFS(UI!E$5:E$14974,UCDEffortSpread!D53, UI!B$5:B$14974,Definition!C$5,UI!D$5:D$14974,Definition!H$3),0)</f>
        <v>0</v>
      </c>
      <c r="Q127" s="68">
        <f>IF(compute_ManualOverrideUI="No", COUNTIFS(UI!E$5:E$14974,UCDEffortSpread!D53, UI!B$5:B$14974,Definition!C$5,UI!D$5:D$14974,Definition!I$3),0)</f>
        <v>0</v>
      </c>
      <c r="R127" s="201">
        <f>(Definition!M127*Definition!E$5)</f>
        <v>0</v>
      </c>
      <c r="S127" s="201">
        <f>(Definition!N127*Definition!F$5)</f>
        <v>0</v>
      </c>
      <c r="T127" s="201">
        <f>(Definition!O127*Definition!G$5)</f>
        <v>0</v>
      </c>
      <c r="U127" s="201">
        <f>(Definition!P127*Definition!H$5)</f>
        <v>0</v>
      </c>
      <c r="V127" s="201">
        <f>(Definition!Q127*Definition!I$5)</f>
        <v>0</v>
      </c>
      <c r="W127" s="204">
        <f t="shared" si="21"/>
        <v>0</v>
      </c>
      <c r="X127" s="206">
        <f t="shared" si="20"/>
        <v>0</v>
      </c>
    </row>
    <row r="128" spans="12:24">
      <c r="L128" s="428"/>
      <c r="M128" s="68">
        <f>IF(compute_ManualOverrideUI="No", COUNTIFS(UI!E$5:E$14974,UCDEffortSpread!D54, UI!B$5:B$14974,Definition!C$5,UI!D$5:D$14974,Definition!E$3), 0)</f>
        <v>0</v>
      </c>
      <c r="N128" s="68">
        <f>IF(compute_ManualOverrideUI="No", COUNTIFS(UI!E$5:E$14974,UCDEffortSpread!D54, UI!B$5:B$14974,Definition!C$5,UI!D$5:D$14974,Definition!F$3), 0)</f>
        <v>0</v>
      </c>
      <c r="O128" s="68">
        <f>IF(compute_ManualOverrideUI="No", COUNTIFS(UI!E$5:E$14974,UCDEffortSpread!D54, UI!B$5:B$14974,Definition!C$5,UI!D$5:D$14974,Definition!G$3),0)</f>
        <v>0</v>
      </c>
      <c r="P128" s="68">
        <f>IF(compute_ManualOverrideUI="No", COUNTIFS(UI!E$5:E$14974,UCDEffortSpread!D54, UI!B$5:B$14974,Definition!C$5,UI!D$5:D$14974,Definition!H$3),0)</f>
        <v>0</v>
      </c>
      <c r="Q128" s="68">
        <f>IF(compute_ManualOverrideUI="No", COUNTIFS(UI!E$5:E$14974,UCDEffortSpread!D54, UI!B$5:B$14974,Definition!C$5,UI!D$5:D$14974,Definition!I$3),0)</f>
        <v>0</v>
      </c>
      <c r="R128" s="201">
        <f>(Definition!M128*Definition!E$5)</f>
        <v>0</v>
      </c>
      <c r="S128" s="201">
        <f>(Definition!N128*Definition!F$5)</f>
        <v>0</v>
      </c>
      <c r="T128" s="201">
        <f>(Definition!O128*Definition!G$5)</f>
        <v>0</v>
      </c>
      <c r="U128" s="201">
        <f>(Definition!P128*Definition!H$5)</f>
        <v>0</v>
      </c>
      <c r="V128" s="201">
        <f>(Definition!Q128*Definition!I$5)</f>
        <v>0</v>
      </c>
      <c r="W128" s="204">
        <f t="shared" si="21"/>
        <v>0</v>
      </c>
      <c r="X128" s="206">
        <f t="shared" si="20"/>
        <v>0</v>
      </c>
    </row>
    <row r="129" spans="6:24" ht="14.1" customHeight="1">
      <c r="L129" s="422" t="str">
        <f>C6</f>
        <v xml:space="preserve">JS Interaction Modules </v>
      </c>
      <c r="M129" s="68">
        <f>IF(compute_ManualOverrideUI="No", COUNTIFS(UI!E$5:E$14974,UCDEffortSpread!D5, UI!B$5:B$14974,Definition!C$6,UI!D$5:D$14974,Definition!E$3), UI!H$17)</f>
        <v>0</v>
      </c>
      <c r="N129" s="68">
        <f>IF(compute_ManualOverrideUI="No", COUNTIFS(UI!E$5:E$14974,UCDEffortSpread!D5, UI!B$5:B$14974,Definition!C$6,UI!D$5:D$14974,Definition!F$3), UI!I$17)</f>
        <v>0</v>
      </c>
      <c r="O129" s="68">
        <f>IF(compute_ManualOverrideUI="No", COUNTIFS(UI!E$5:E$14974,UCDEffortSpread!D5, UI!B$5:B$14974,Definition!C$6,UI!D$5:D$14974,Definition!G$3),UI!J$17)</f>
        <v>0</v>
      </c>
      <c r="P129" s="68">
        <f>IF(compute_ManualOverrideUI="No", COUNTIFS(UI!E$5:E$14974,UCDEffortSpread!D5, UI!B$5:B$14974,Definition!C$6,UI!D$5:D$14974,Definition!H$3),UI!K$17)</f>
        <v>0</v>
      </c>
      <c r="Q129" s="68">
        <f>IF(compute_ManualOverrideUI="No", COUNTIFS(UI!E$5:E$14974,UCDEffortSpread!D5, UI!B$5:B$14974,Definition!C$6,UI!D$5:D$14974,Definition!I$3),UI!L$17)</f>
        <v>0</v>
      </c>
      <c r="R129" s="202">
        <f>(Definition!M129*Definition!E$6)</f>
        <v>0</v>
      </c>
      <c r="S129" s="202">
        <f>(Definition!N129*Definition!F$6)</f>
        <v>0</v>
      </c>
      <c r="T129" s="202">
        <f>(Definition!O129*Definition!G$6)</f>
        <v>0</v>
      </c>
      <c r="U129" s="202">
        <f>(Definition!P129*Definition!H$6)</f>
        <v>0</v>
      </c>
      <c r="V129" s="202">
        <f>(Definition!Q129*Definition!I$6)</f>
        <v>0</v>
      </c>
      <c r="W129" s="203">
        <f>SUM(R129:V129)</f>
        <v>0</v>
      </c>
      <c r="X129" s="206">
        <f>IF(W129&lt;&gt;0,SUM(R129:V129)+(effort_UI_PageEffort/AA$28),0)</f>
        <v>0</v>
      </c>
    </row>
    <row r="130" spans="6:24">
      <c r="L130" s="423"/>
      <c r="M130" s="68">
        <f>IF(compute_ManualOverrideUI="No", COUNTIFS(UI!E$5:E$14974,UCDEffortSpread!D6, UI!B$5:B$14974,Definition!C$6,UI!D$5:D$14974,Definition!E$3), 0)</f>
        <v>0</v>
      </c>
      <c r="N130" s="68">
        <f>IF(compute_ManualOverrideUI="No", COUNTIFS(UI!E$5:E$14974,UCDEffortSpread!D6, UI!B$5:B$14974,Definition!C$6,UI!D$5:D$14974,Definition!F$3),0)</f>
        <v>0</v>
      </c>
      <c r="O130" s="68">
        <f>IF(compute_ManualOverrideUI="No", COUNTIFS(UI!E$5:E$14974,UCDEffortSpread!D6, UI!B$5:B$14974,Definition!C$6,UI!D$5:D$14974,Definition!G$3),0)</f>
        <v>0</v>
      </c>
      <c r="P130" s="68">
        <f>IF(compute_ManualOverrideUI="No", COUNTIFS(UI!E$5:E$14974,UCDEffortSpread!D6, UI!B$5:B$14974,Definition!C$6,UI!D$5:D$14974,Definition!H$3),0)</f>
        <v>0</v>
      </c>
      <c r="Q130" s="68">
        <f>IF(compute_ManualOverrideUI="No", COUNTIFS(UI!E$5:E$14974,UCDEffortSpread!D6, UI!B$5:B$14974,Definition!C$6,UI!D$5:D$14974,Definition!I$3),0)</f>
        <v>0</v>
      </c>
      <c r="R130" s="202">
        <f>(Definition!M130*Definition!E$6)</f>
        <v>0</v>
      </c>
      <c r="S130" s="202">
        <f>(Definition!N130*Definition!F$6)</f>
        <v>0</v>
      </c>
      <c r="T130" s="202">
        <f>(Definition!O130*Definition!G$6)</f>
        <v>0</v>
      </c>
      <c r="U130" s="202">
        <f>(Definition!P130*Definition!H$6)</f>
        <v>0</v>
      </c>
      <c r="V130" s="202">
        <f>(Definition!Q130*Definition!I$6)</f>
        <v>0</v>
      </c>
      <c r="W130" s="203">
        <f t="shared" ref="W130:W143" si="22">SUM(R130:V130)</f>
        <v>0</v>
      </c>
      <c r="X130" s="206">
        <f t="shared" si="20"/>
        <v>0</v>
      </c>
    </row>
    <row r="131" spans="6:24" ht="12.75" customHeight="1">
      <c r="L131" s="423"/>
      <c r="M131" s="68">
        <f>IF(compute_ManualOverrideUI="No", COUNTIFS(UI!E$5:E$14974,UCDEffortSpread!D7, UI!B$5:B$14974,Definition!C$6,UI!D$5:D$14974,Definition!E$3), 0)</f>
        <v>0</v>
      </c>
      <c r="N131" s="68">
        <f>IF(compute_ManualOverrideUI="No", COUNTIFS(UI!E$5:E$14974,UCDEffortSpread!D7, UI!B$5:B$14974,Definition!C$6,UI!D$5:D$14974,Definition!F$3),0)</f>
        <v>0</v>
      </c>
      <c r="O131" s="68">
        <f>IF(compute_ManualOverrideUI="No", COUNTIFS(UI!E$5:E$14974,UCDEffortSpread!D7, UI!B$5:B$14974,Definition!C$6,UI!D$5:D$14974,Definition!G$3),0)</f>
        <v>0</v>
      </c>
      <c r="P131" s="68">
        <f>IF(compute_ManualOverrideUI="No", COUNTIFS(UI!E$5:E$14974,UCDEffortSpread!D7, UI!B$5:B$14974,Definition!C$6,UI!D$5:D$14974,Definition!H$3),0)</f>
        <v>0</v>
      </c>
      <c r="Q131" s="68">
        <f>IF(compute_ManualOverrideUI="No", COUNTIFS(UI!E$5:E$14974,UCDEffortSpread!D7, UI!B$5:B$14974,Definition!C$6,UI!D$5:D$14974,Definition!I$3),0)</f>
        <v>0</v>
      </c>
      <c r="R131" s="202">
        <f>(Definition!M131*Definition!E$6)</f>
        <v>0</v>
      </c>
      <c r="S131" s="202">
        <f>(Definition!N131*Definition!F$6)</f>
        <v>0</v>
      </c>
      <c r="T131" s="202">
        <f>(Definition!O131*Definition!G$6)</f>
        <v>0</v>
      </c>
      <c r="U131" s="202">
        <f>(Definition!P131*Definition!H$6)</f>
        <v>0</v>
      </c>
      <c r="V131" s="202">
        <f>(Definition!Q131*Definition!I$6)</f>
        <v>0</v>
      </c>
      <c r="W131" s="203">
        <f t="shared" si="22"/>
        <v>0</v>
      </c>
      <c r="X131" s="206">
        <f t="shared" si="20"/>
        <v>0</v>
      </c>
    </row>
    <row r="132" spans="6:24" ht="12.75" customHeight="1">
      <c r="L132" s="423"/>
      <c r="M132" s="68">
        <f>IF(compute_ManualOverrideUI="No", COUNTIFS(UI!E$5:E$14974,UCDEffortSpread!D8, UI!B$5:B$14974,Definition!C$6,UI!D$5:D$14974,Definition!E$3), 0)</f>
        <v>0</v>
      </c>
      <c r="N132" s="68">
        <f>IF(compute_ManualOverrideUI="No", COUNTIFS(UI!E$5:E$14974,UCDEffortSpread!D8, UI!B$5:B$14974,Definition!C$6,UI!D$5:D$14974,Definition!F$3),0)</f>
        <v>0</v>
      </c>
      <c r="O132" s="68">
        <f>IF(compute_ManualOverrideUI="No", COUNTIFS(UI!E$5:E$14974,UCDEffortSpread!D8, UI!B$5:B$14974,Definition!C$6,UI!D$5:D$14974,Definition!G$3),0)</f>
        <v>0</v>
      </c>
      <c r="P132" s="68">
        <f>IF(compute_ManualOverrideUI="No", COUNTIFS(UI!E$5:E$14974,UCDEffortSpread!D8, UI!B$5:B$14974,Definition!C$6,UI!D$5:D$14974,Definition!H$3),0)</f>
        <v>0</v>
      </c>
      <c r="Q132" s="68">
        <f>IF(compute_ManualOverrideUI="No", COUNTIFS(UI!E$5:E$14974,UCDEffortSpread!D8, UI!B$5:B$14974,Definition!C$6,UI!D$5:D$14974,Definition!I$3),0)</f>
        <v>0</v>
      </c>
      <c r="R132" s="202">
        <f>(Definition!M132*Definition!E$6)</f>
        <v>0</v>
      </c>
      <c r="S132" s="202">
        <f>(Definition!N132*Definition!F$6)</f>
        <v>0</v>
      </c>
      <c r="T132" s="202">
        <f>(Definition!O132*Definition!G$6)</f>
        <v>0</v>
      </c>
      <c r="U132" s="202">
        <f>(Definition!P132*Definition!H$6)</f>
        <v>0</v>
      </c>
      <c r="V132" s="202">
        <f>(Definition!Q132*Definition!I$6)</f>
        <v>0</v>
      </c>
      <c r="W132" s="203">
        <f t="shared" si="22"/>
        <v>0</v>
      </c>
      <c r="X132" s="206">
        <f t="shared" si="20"/>
        <v>0</v>
      </c>
    </row>
    <row r="133" spans="6:24" ht="12.75" customHeight="1">
      <c r="L133" s="423"/>
      <c r="M133" s="68">
        <f>IF(compute_ManualOverrideUI="No", COUNTIFS(UI!E$5:E$14974,UCDEffortSpread!D9, UI!B$5:B$14974,Definition!C$6,UI!D$5:D$14974,Definition!E$3), 0)</f>
        <v>0</v>
      </c>
      <c r="N133" s="68">
        <f>IF(compute_ManualOverrideUI="No", COUNTIFS(UI!E$5:E$14974,UCDEffortSpread!D9, UI!B$5:B$14974,Definition!C$6,UI!D$5:D$14974,Definition!F$3),0)</f>
        <v>0</v>
      </c>
      <c r="O133" s="68">
        <f>IF(compute_ManualOverrideUI="No", COUNTIFS(UI!E$5:E$14974,UCDEffortSpread!D9, UI!B$5:B$14974,Definition!C$6,UI!D$5:D$14974,Definition!G$3),0)</f>
        <v>0</v>
      </c>
      <c r="P133" s="68">
        <f>IF(compute_ManualOverrideUI="No", COUNTIFS(UI!E$5:E$14974,UCDEffortSpread!D9, UI!B$5:B$14974,Definition!C$6,UI!D$5:D$14974,Definition!H$3),0)</f>
        <v>0</v>
      </c>
      <c r="Q133" s="68">
        <f>IF(compute_ManualOverrideUI="No", COUNTIFS(UI!E$5:E$14974,UCDEffortSpread!D9, UI!B$5:B$14974,Definition!C$6,UI!D$5:D$14974,Definition!I$3),0)</f>
        <v>0</v>
      </c>
      <c r="R133" s="202">
        <f>(Definition!M133*Definition!E$6)</f>
        <v>0</v>
      </c>
      <c r="S133" s="202">
        <f>(Definition!N133*Definition!F$6)</f>
        <v>0</v>
      </c>
      <c r="T133" s="202">
        <f>(Definition!O133*Definition!G$6)</f>
        <v>0</v>
      </c>
      <c r="U133" s="202">
        <f>(Definition!P133*Definition!H$6)</f>
        <v>0</v>
      </c>
      <c r="V133" s="202">
        <f>(Definition!Q133*Definition!I$6)</f>
        <v>0</v>
      </c>
      <c r="W133" s="203">
        <f t="shared" si="22"/>
        <v>0</v>
      </c>
      <c r="X133" s="206">
        <f t="shared" si="20"/>
        <v>0</v>
      </c>
    </row>
    <row r="134" spans="6:24">
      <c r="L134" s="423"/>
      <c r="M134" s="68">
        <f>IF(compute_ManualOverrideUI="No", COUNTIFS(UI!E$5:E$14974,UCDEffortSpread!D10, UI!B$5:B$14974,Definition!C$6,UI!D$5:D$14974,Definition!E$3), 0)</f>
        <v>0</v>
      </c>
      <c r="N134" s="68">
        <f>IF(compute_ManualOverrideUI="No", COUNTIFS(UI!E$5:E$14974,UCDEffortSpread!D10, UI!B$5:B$14974,Definition!C$6,UI!D$5:D$14974,Definition!F$3),0)</f>
        <v>0</v>
      </c>
      <c r="O134" s="68">
        <f>IF(compute_ManualOverrideUI="No", COUNTIFS(UI!E$5:E$14974,UCDEffortSpread!D10, UI!B$5:B$14974,Definition!C$6,UI!D$5:D$14974,Definition!G$3),0)</f>
        <v>0</v>
      </c>
      <c r="P134" s="68">
        <f>IF(compute_ManualOverrideUI="No", COUNTIFS(UI!E$5:E$14974,UCDEffortSpread!D10, UI!B$5:B$14974,Definition!C$6,UI!D$5:D$14974,Definition!H$3),0)</f>
        <v>0</v>
      </c>
      <c r="Q134" s="68">
        <f>IF(compute_ManualOverrideUI="No", COUNTIFS(UI!E$5:E$14974,UCDEffortSpread!D10, UI!B$5:B$14974,Definition!C$6,UI!D$5:D$14974,Definition!I$3),0)</f>
        <v>0</v>
      </c>
      <c r="R134" s="202">
        <f>(Definition!M134*Definition!E$6)</f>
        <v>0</v>
      </c>
      <c r="S134" s="202">
        <f>(Definition!N134*Definition!F$6)</f>
        <v>0</v>
      </c>
      <c r="T134" s="202">
        <f>(Definition!O134*Definition!G$6)</f>
        <v>0</v>
      </c>
      <c r="U134" s="202">
        <f>(Definition!P134*Definition!H$6)</f>
        <v>0</v>
      </c>
      <c r="V134" s="202">
        <f>(Definition!Q134*Definition!I$6)</f>
        <v>0</v>
      </c>
      <c r="W134" s="203">
        <f t="shared" si="22"/>
        <v>0</v>
      </c>
      <c r="X134" s="206">
        <f t="shared" si="20"/>
        <v>0</v>
      </c>
    </row>
    <row r="135" spans="6:24">
      <c r="L135" s="423"/>
      <c r="M135" s="68">
        <f>IF(compute_ManualOverrideUI="No", COUNTIFS(UI!E$5:E$14974,UCDEffortSpread!D11, UI!B$5:B$14974,Definition!C$6,UI!D$5:D$14974,Definition!E$3), 0)</f>
        <v>0</v>
      </c>
      <c r="N135" s="68">
        <f>IF(compute_ManualOverrideUI="No", COUNTIFS(UI!E$5:E$14974,UCDEffortSpread!D11, UI!B$5:B$14974,Definition!C$6,UI!D$5:D$14974,Definition!F$3),0)</f>
        <v>0</v>
      </c>
      <c r="O135" s="68">
        <f>IF(compute_ManualOverrideUI="No", COUNTIFS(UI!E$5:E$14974,UCDEffortSpread!D11, UI!B$5:B$14974,Definition!C$6,UI!D$5:D$14974,Definition!G$3),0)</f>
        <v>0</v>
      </c>
      <c r="P135" s="68">
        <f>IF(compute_ManualOverrideUI="No", COUNTIFS(UI!E$5:E$14974,UCDEffortSpread!D11, UI!B$5:B$14974,Definition!C$6,UI!D$5:D$14974,Definition!H$3),0)</f>
        <v>0</v>
      </c>
      <c r="Q135" s="68">
        <f>IF(compute_ManualOverrideUI="No", COUNTIFS(UI!E$5:E$14974,UCDEffortSpread!D11, UI!B$5:B$14974,Definition!C$6,UI!D$5:D$14974,Definition!I$3),0)</f>
        <v>0</v>
      </c>
      <c r="R135" s="202">
        <f>(Definition!M135*Definition!E$6)</f>
        <v>0</v>
      </c>
      <c r="S135" s="202">
        <f>(Definition!N135*Definition!F$6)</f>
        <v>0</v>
      </c>
      <c r="T135" s="202">
        <f>(Definition!O135*Definition!G$6)</f>
        <v>0</v>
      </c>
      <c r="U135" s="202">
        <f>(Definition!P135*Definition!H$6)</f>
        <v>0</v>
      </c>
      <c r="V135" s="202">
        <f>(Definition!Q135*Definition!I$6)</f>
        <v>0</v>
      </c>
      <c r="W135" s="203">
        <f t="shared" si="22"/>
        <v>0</v>
      </c>
      <c r="X135" s="206">
        <f t="shared" si="20"/>
        <v>0</v>
      </c>
    </row>
    <row r="136" spans="6:24" ht="12.75" customHeight="1">
      <c r="L136" s="423"/>
      <c r="M136" s="68">
        <f>IF(compute_ManualOverrideUI="No", COUNTIFS(UI!E$5:E$14974,UCDEffortSpread!D12, UI!B$5:B$14974,Definition!C$6,UI!D$5:D$14974,Definition!E$3), 0)</f>
        <v>0</v>
      </c>
      <c r="N136" s="68">
        <f>IF(compute_ManualOverrideUI="No", COUNTIFS(UI!E$5:E$14974,UCDEffortSpread!D12, UI!B$5:B$14974,Definition!C$6,UI!D$5:D$14974,Definition!F$3),0)</f>
        <v>0</v>
      </c>
      <c r="O136" s="68">
        <f>IF(compute_ManualOverrideUI="No", COUNTIFS(UI!E$5:E$14974,UCDEffortSpread!D12, UI!B$5:B$14974,Definition!C$6,UI!D$5:D$14974,Definition!G$3),0)</f>
        <v>0</v>
      </c>
      <c r="P136" s="68">
        <f>IF(compute_ManualOverrideUI="No", COUNTIFS(UI!E$5:E$14974,UCDEffortSpread!D12, UI!B$5:B$14974,Definition!C$6,UI!D$5:D$14974,Definition!H$3),0)</f>
        <v>0</v>
      </c>
      <c r="Q136" s="68">
        <f>IF(compute_ManualOverrideUI="No", COUNTIFS(UI!E$5:E$14974,UCDEffortSpread!D12, UI!B$5:B$14974,Definition!C$6,UI!D$5:D$14974,Definition!I$3),0)</f>
        <v>0</v>
      </c>
      <c r="R136" s="202">
        <f>(Definition!M136*Definition!E$6)</f>
        <v>0</v>
      </c>
      <c r="S136" s="202">
        <f>(Definition!N136*Definition!F$6)</f>
        <v>0</v>
      </c>
      <c r="T136" s="202">
        <f>(Definition!O136*Definition!G$6)</f>
        <v>0</v>
      </c>
      <c r="U136" s="202">
        <f>(Definition!P136*Definition!H$6)</f>
        <v>0</v>
      </c>
      <c r="V136" s="202">
        <f>(Definition!Q136*Definition!I$6)</f>
        <v>0</v>
      </c>
      <c r="W136" s="203">
        <f t="shared" si="22"/>
        <v>0</v>
      </c>
      <c r="X136" s="206">
        <f t="shared" si="20"/>
        <v>0</v>
      </c>
    </row>
    <row r="137" spans="6:24">
      <c r="L137" s="423"/>
      <c r="M137" s="68">
        <f>IF(compute_ManualOverrideUI="No", COUNTIFS(UI!E$5:E$14974,UCDEffortSpread!D13, UI!B$5:B$14974,Definition!C$6,UI!D$5:D$14974,Definition!E$3), 0)</f>
        <v>0</v>
      </c>
      <c r="N137" s="68">
        <f>IF(compute_ManualOverrideUI="No", COUNTIFS(UI!E$5:E$14974,UCDEffortSpread!D13, UI!B$5:B$14974,Definition!C$6,UI!D$5:D$14974,Definition!F$3),0)</f>
        <v>0</v>
      </c>
      <c r="O137" s="68">
        <f>IF(compute_ManualOverrideUI="No", COUNTIFS(UI!E$5:E$14974,UCDEffortSpread!D13, UI!B$5:B$14974,Definition!C$6,UI!D$5:D$14974,Definition!G$3),0)</f>
        <v>0</v>
      </c>
      <c r="P137" s="68">
        <f>IF(compute_ManualOverrideUI="No", COUNTIFS(UI!E$5:E$14974,UCDEffortSpread!D13, UI!B$5:B$14974,Definition!C$6,UI!D$5:D$14974,Definition!H$3),0)</f>
        <v>0</v>
      </c>
      <c r="Q137" s="68">
        <f>IF(compute_ManualOverrideUI="No", COUNTIFS(UI!E$5:E$14974,UCDEffortSpread!D13, UI!B$5:B$14974,Definition!C$6,UI!D$5:D$14974,Definition!I$3),0)</f>
        <v>0</v>
      </c>
      <c r="R137" s="202">
        <f>(Definition!M137*Definition!E$6)</f>
        <v>0</v>
      </c>
      <c r="S137" s="202">
        <f>(Definition!N137*Definition!F$6)</f>
        <v>0</v>
      </c>
      <c r="T137" s="202">
        <f>(Definition!O137*Definition!G$6)</f>
        <v>0</v>
      </c>
      <c r="U137" s="202">
        <f>(Definition!P137*Definition!H$6)</f>
        <v>0</v>
      </c>
      <c r="V137" s="202">
        <f>(Definition!Q137*Definition!I$6)</f>
        <v>0</v>
      </c>
      <c r="W137" s="203">
        <f t="shared" si="22"/>
        <v>0</v>
      </c>
      <c r="X137" s="206">
        <f t="shared" si="20"/>
        <v>0</v>
      </c>
    </row>
    <row r="138" spans="6:24">
      <c r="L138" s="423"/>
      <c r="M138" s="68">
        <f>IF(compute_ManualOverrideUI="No", COUNTIFS(UI!E$5:E$14974,UCDEffortSpread!D14, UI!B$5:B$14974,Definition!C$6,UI!D$5:D$14974,Definition!E$3), 0)</f>
        <v>0</v>
      </c>
      <c r="N138" s="68">
        <f>IF(compute_ManualOverrideUI="No", COUNTIFS(UI!E$5:E$14974,UCDEffortSpread!D14, UI!B$5:B$14974,Definition!C$6,UI!D$5:D$14974,Definition!F$3),0)</f>
        <v>0</v>
      </c>
      <c r="O138" s="68">
        <f>IF(compute_ManualOverrideUI="No", COUNTIFS(UI!E$5:E$14974,UCDEffortSpread!D14, UI!B$5:B$14974,Definition!C$6,UI!D$5:D$14974,Definition!G$3),0)</f>
        <v>0</v>
      </c>
      <c r="P138" s="68">
        <f>IF(compute_ManualOverrideUI="No", COUNTIFS(UI!E$5:E$14974,UCDEffortSpread!D14, UI!B$5:B$14974,Definition!C$6,UI!D$5:D$14974,Definition!H$3),0)</f>
        <v>0</v>
      </c>
      <c r="Q138" s="68">
        <f>IF(compute_ManualOverrideUI="No", COUNTIFS(UI!E$5:E$14974,UCDEffortSpread!D14, UI!B$5:B$14974,Definition!C$6,UI!D$5:D$14974,Definition!I$3),0)</f>
        <v>0</v>
      </c>
      <c r="R138" s="202">
        <f>(Definition!M138*Definition!E$6)</f>
        <v>0</v>
      </c>
      <c r="S138" s="202">
        <f>(Definition!N138*Definition!F$6)</f>
        <v>0</v>
      </c>
      <c r="T138" s="202">
        <f>(Definition!O138*Definition!G$6)</f>
        <v>0</v>
      </c>
      <c r="U138" s="202">
        <f>(Definition!P138*Definition!H$6)</f>
        <v>0</v>
      </c>
      <c r="V138" s="202">
        <f>(Definition!Q138*Definition!I$6)</f>
        <v>0</v>
      </c>
      <c r="W138" s="203">
        <f t="shared" si="22"/>
        <v>0</v>
      </c>
      <c r="X138" s="206">
        <f t="shared" si="20"/>
        <v>0</v>
      </c>
    </row>
    <row r="139" spans="6:24">
      <c r="L139" s="423"/>
      <c r="M139" s="68">
        <f>IF(compute_ManualOverrideUI="No", COUNTIFS(UI!E$5:E$14974,UCDEffortSpread!D15, UI!B$5:B$14974,Definition!C$6,UI!D$5:D$14974,Definition!E$3), 0)</f>
        <v>0</v>
      </c>
      <c r="N139" s="68">
        <f>IF(compute_ManualOverrideUI="No", COUNTIFS(UI!E$5:E$14974,UCDEffortSpread!D15, UI!B$5:B$14974,Definition!C$6,UI!D$5:D$14974,Definition!F$3),0)</f>
        <v>0</v>
      </c>
      <c r="O139" s="68">
        <f>IF(compute_ManualOverrideUI="No", COUNTIFS(UI!E$5:E$14974,UCDEffortSpread!D15, UI!B$5:B$14974,Definition!C$6,UI!D$5:D$14974,Definition!G$3),0)</f>
        <v>0</v>
      </c>
      <c r="P139" s="68">
        <f>IF(compute_ManualOverrideUI="No", COUNTIFS(UI!E$5:E$14974,UCDEffortSpread!D15, UI!B$5:B$14974,Definition!C$6,UI!D$5:D$14974,Definition!H$3),0)</f>
        <v>0</v>
      </c>
      <c r="Q139" s="68">
        <f>IF(compute_ManualOverrideUI="No", COUNTIFS(UI!E$5:E$14974,UCDEffortSpread!D15, UI!B$5:B$14974,Definition!C$6,UI!D$5:D$14974,Definition!I$3),0)</f>
        <v>0</v>
      </c>
      <c r="R139" s="202">
        <f>(Definition!M139*Definition!E$6)</f>
        <v>0</v>
      </c>
      <c r="S139" s="202">
        <f>(Definition!N139*Definition!F$6)</f>
        <v>0</v>
      </c>
      <c r="T139" s="202">
        <f>(Definition!O139*Definition!G$6)</f>
        <v>0</v>
      </c>
      <c r="U139" s="202">
        <f>(Definition!P139*Definition!H$6)</f>
        <v>0</v>
      </c>
      <c r="V139" s="202">
        <f>(Definition!Q139*Definition!I$6)</f>
        <v>0</v>
      </c>
      <c r="W139" s="203">
        <f t="shared" si="22"/>
        <v>0</v>
      </c>
      <c r="X139" s="206">
        <f t="shared" si="20"/>
        <v>0</v>
      </c>
    </row>
    <row r="140" spans="6:24">
      <c r="L140" s="423"/>
      <c r="M140" s="68">
        <f>IF(compute_ManualOverrideUI="No", COUNTIFS(UI!E$5:E$14974,UCDEffortSpread!D16, UI!B$5:B$14974,Definition!C$6,UI!D$5:D$14974,Definition!E$3), 0)</f>
        <v>0</v>
      </c>
      <c r="N140" s="68">
        <f>IF(compute_ManualOverrideUI="No", COUNTIFS(UI!E$5:E$14974,UCDEffortSpread!D16, UI!B$5:B$14974,Definition!C$6,UI!D$5:D$14974,Definition!F$3),0)</f>
        <v>0</v>
      </c>
      <c r="O140" s="68">
        <f>IF(compute_ManualOverrideUI="No", COUNTIFS(UI!E$5:E$14974,UCDEffortSpread!D16, UI!B$5:B$14974,Definition!C$6,UI!D$5:D$14974,Definition!G$3),0)</f>
        <v>0</v>
      </c>
      <c r="P140" s="68">
        <f>IF(compute_ManualOverrideUI="No", COUNTIFS(UI!E$5:E$14974,UCDEffortSpread!D16, UI!B$5:B$14974,Definition!C$6,UI!D$5:D$14974,Definition!H$3),0)</f>
        <v>0</v>
      </c>
      <c r="Q140" s="68">
        <f>IF(compute_ManualOverrideUI="No", COUNTIFS(UI!E$5:E$14974,UCDEffortSpread!D16, UI!B$5:B$14974,Definition!C$6,UI!D$5:D$14974,Definition!I$3),0)</f>
        <v>0</v>
      </c>
      <c r="R140" s="202">
        <f>(Definition!M140*Definition!E$6)</f>
        <v>0</v>
      </c>
      <c r="S140" s="202">
        <f>(Definition!N140*Definition!F$6)</f>
        <v>0</v>
      </c>
      <c r="T140" s="202">
        <f>(Definition!O140*Definition!G$6)</f>
        <v>0</v>
      </c>
      <c r="U140" s="202">
        <f>(Definition!P140*Definition!H$6)</f>
        <v>0</v>
      </c>
      <c r="V140" s="202">
        <f>(Definition!Q140*Definition!I$6)</f>
        <v>0</v>
      </c>
      <c r="W140" s="203">
        <f t="shared" si="22"/>
        <v>0</v>
      </c>
      <c r="X140" s="206">
        <f t="shared" si="20"/>
        <v>0</v>
      </c>
    </row>
    <row r="141" spans="6:24">
      <c r="L141" s="423"/>
      <c r="M141" s="68">
        <f>IF(compute_ManualOverrideUI="No", COUNTIFS(UI!E$5:E$14974,UCDEffortSpread!D17, UI!B$5:B$14974,Definition!C$6,UI!D$5:D$14974,Definition!E$3), 0)</f>
        <v>0</v>
      </c>
      <c r="N141" s="68">
        <f>IF(compute_ManualOverrideUI="No", COUNTIFS(UI!E$5:E$14974,UCDEffortSpread!D17, UI!B$5:B$14974,Definition!C$6,UI!D$5:D$14974,Definition!F$3),0)</f>
        <v>0</v>
      </c>
      <c r="O141" s="68">
        <f>IF(compute_ManualOverrideUI="No", COUNTIFS(UI!E$5:E$14974,UCDEffortSpread!D17, UI!B$5:B$14974,Definition!C$6,UI!D$5:D$14974,Definition!G$3),0)</f>
        <v>0</v>
      </c>
      <c r="P141" s="68">
        <f>IF(compute_ManualOverrideUI="No", COUNTIFS(UI!E$5:E$14974,UCDEffortSpread!D17, UI!B$5:B$14974,Definition!C$6,UI!D$5:D$14974,Definition!H$3),0)</f>
        <v>0</v>
      </c>
      <c r="Q141" s="68">
        <f>IF(compute_ManualOverrideUI="No", COUNTIFS(UI!E$5:E$14974,UCDEffortSpread!D17, UI!B$5:B$14974,Definition!C$6,UI!D$5:D$14974,Definition!I$3),0)</f>
        <v>0</v>
      </c>
      <c r="R141" s="202">
        <f>(Definition!M141*Definition!E$6)</f>
        <v>0</v>
      </c>
      <c r="S141" s="202">
        <f>(Definition!N141*Definition!F$6)</f>
        <v>0</v>
      </c>
      <c r="T141" s="202">
        <f>(Definition!O141*Definition!G$6)</f>
        <v>0</v>
      </c>
      <c r="U141" s="202">
        <f>(Definition!P141*Definition!H$6)</f>
        <v>0</v>
      </c>
      <c r="V141" s="202">
        <f>(Definition!Q141*Definition!I$6)</f>
        <v>0</v>
      </c>
      <c r="W141" s="203">
        <f t="shared" si="22"/>
        <v>0</v>
      </c>
      <c r="X141" s="206">
        <f t="shared" si="20"/>
        <v>0</v>
      </c>
    </row>
    <row r="142" spans="6:24">
      <c r="L142" s="423"/>
      <c r="M142" s="68">
        <f>IF(compute_ManualOverrideUI="No", COUNTIFS(UI!E$5:E$14974,UCDEffortSpread!D18, UI!B$5:B$14974,Definition!C$6,UI!D$5:D$14974,Definition!E$3), 0)</f>
        <v>0</v>
      </c>
      <c r="N142" s="68">
        <f>IF(compute_ManualOverrideUI="No", COUNTIFS(UI!E$5:E$14974,UCDEffortSpread!D18, UI!B$5:B$14974,Definition!C$6,UI!D$5:D$14974,Definition!F$3),0)</f>
        <v>0</v>
      </c>
      <c r="O142" s="68">
        <f>IF(compute_ManualOverrideUI="No", COUNTIFS(UI!E$5:E$14974,UCDEffortSpread!D18, UI!B$5:B$14974,Definition!C$6,UI!D$5:D$14974,Definition!G$3),0)</f>
        <v>0</v>
      </c>
      <c r="P142" s="68">
        <f>IF(compute_ManualOverrideUI="No", COUNTIFS(UI!E$5:E$14974,UCDEffortSpread!D18, UI!B$5:B$14974,Definition!C$6,UI!D$5:D$14974,Definition!H$3),0)</f>
        <v>0</v>
      </c>
      <c r="Q142" s="68">
        <f>IF(compute_ManualOverrideUI="No", COUNTIFS(UI!E$5:E$14974,UCDEffortSpread!D18, UI!B$5:B$14974,Definition!C$6,UI!D$5:D$14974,Definition!I$3),0)</f>
        <v>0</v>
      </c>
      <c r="R142" s="202">
        <f>(Definition!M142*Definition!E$6)</f>
        <v>0</v>
      </c>
      <c r="S142" s="202">
        <f>(Definition!N142*Definition!F$6)</f>
        <v>0</v>
      </c>
      <c r="T142" s="202">
        <f>(Definition!O142*Definition!G$6)</f>
        <v>0</v>
      </c>
      <c r="U142" s="202">
        <f>(Definition!P142*Definition!H$6)</f>
        <v>0</v>
      </c>
      <c r="V142" s="202">
        <f>(Definition!Q142*Definition!I$6)</f>
        <v>0</v>
      </c>
      <c r="W142" s="203">
        <f t="shared" si="22"/>
        <v>0</v>
      </c>
      <c r="X142" s="206">
        <f t="shared" si="20"/>
        <v>0</v>
      </c>
    </row>
    <row r="143" spans="6:24">
      <c r="L143" s="423"/>
      <c r="M143" s="68">
        <f>IF(compute_ManualOverrideUI="No", COUNTIFS(UI!E$5:E$14974,UCDEffortSpread!D19, UI!B$5:B$14974,Definition!C$6,UI!D$5:D$14974,Definition!E$3), 0)</f>
        <v>0</v>
      </c>
      <c r="N143" s="68">
        <f>IF(compute_ManualOverrideUI="No", COUNTIFS(UI!E$5:E$14974,UCDEffortSpread!D19, UI!B$5:B$14974,Definition!C$6,UI!D$5:D$14974,Definition!F$3),0)</f>
        <v>0</v>
      </c>
      <c r="O143" s="68">
        <f>IF(compute_ManualOverrideUI="No", COUNTIFS(UI!E$5:E$14974,UCDEffortSpread!D19, UI!B$5:B$14974,Definition!C$6,UI!D$5:D$14974,Definition!G$3),0)</f>
        <v>0</v>
      </c>
      <c r="P143" s="68">
        <f>IF(compute_ManualOverrideUI="No", COUNTIFS(UI!E$5:E$14974,UCDEffortSpread!D19, UI!B$5:B$14974,Definition!C$6,UI!D$5:D$14974,Definition!H$3),0)</f>
        <v>0</v>
      </c>
      <c r="Q143" s="68">
        <f>IF(compute_ManualOverrideUI="No", COUNTIFS(UI!E$5:E$14974,UCDEffortSpread!D19, UI!B$5:B$14974,Definition!C$6,UI!D$5:D$14974,Definition!I$3),0)</f>
        <v>0</v>
      </c>
      <c r="R143" s="202">
        <f>(Definition!M143*Definition!E$6)</f>
        <v>0</v>
      </c>
      <c r="S143" s="202">
        <f>(Definition!N143*Definition!F$6)</f>
        <v>0</v>
      </c>
      <c r="T143" s="202">
        <f>(Definition!O143*Definition!G$6)</f>
        <v>0</v>
      </c>
      <c r="U143" s="202">
        <f>(Definition!P143*Definition!H$6)</f>
        <v>0</v>
      </c>
      <c r="V143" s="202">
        <f>(Definition!Q143*Definition!I$6)</f>
        <v>0</v>
      </c>
      <c r="W143" s="203">
        <f t="shared" si="22"/>
        <v>0</v>
      </c>
      <c r="X143" s="206">
        <f t="shared" si="20"/>
        <v>0</v>
      </c>
    </row>
    <row r="144" spans="6:24">
      <c r="F144" s="3"/>
      <c r="L144" s="423"/>
      <c r="M144" s="68">
        <f>IF(compute_ManualOverrideUI="No", COUNTIFS(UI!E$5:E$14974,UCDEffortSpread!D20, UI!B$5:B$14974,Definition!C$6,UI!D$5:D$14974,Definition!E$3), 0)</f>
        <v>0</v>
      </c>
      <c r="N144" s="68">
        <f>IF(compute_ManualOverrideUI="No", COUNTIFS(UI!E$5:E$14974,UCDEffortSpread!D20, UI!B$5:B$14974,Definition!C$6,UI!D$5:D$14974,Definition!F$3),0)</f>
        <v>0</v>
      </c>
      <c r="O144" s="68">
        <f>IF(compute_ManualOverrideUI="No", COUNTIFS(UI!E$5:E$14974,UCDEffortSpread!D20, UI!B$5:B$14974,Definition!C$6,UI!D$5:D$14974,Definition!G$3),0)</f>
        <v>0</v>
      </c>
      <c r="P144" s="68">
        <f>IF(compute_ManualOverrideUI="No", COUNTIFS(UI!E$5:E$14974,UCDEffortSpread!D20, UI!B$5:B$14974,Definition!C$6,UI!D$5:D$14974,Definition!H$3),0)</f>
        <v>0</v>
      </c>
      <c r="Q144" s="68">
        <f>IF(compute_ManualOverrideUI="No", COUNTIFS(UI!E$5:E$14974,UCDEffortSpread!D20, UI!B$5:B$14974,Definition!C$6,UI!D$5:D$14974,Definition!I$3),0)</f>
        <v>0</v>
      </c>
      <c r="R144" s="202">
        <f>(Definition!M144*Definition!E$6)</f>
        <v>0</v>
      </c>
      <c r="S144" s="202">
        <f>(Definition!N144*Definition!F$6)</f>
        <v>0</v>
      </c>
      <c r="T144" s="202">
        <f>(Definition!O144*Definition!G$6)</f>
        <v>0</v>
      </c>
      <c r="U144" s="202">
        <f>(Definition!P144*Definition!H$6)</f>
        <v>0</v>
      </c>
      <c r="V144" s="202">
        <f>(Definition!Q144*Definition!I$6)</f>
        <v>0</v>
      </c>
      <c r="W144" s="203">
        <f t="shared" ref="W144:W178" si="23">SUM(R144:V144)</f>
        <v>0</v>
      </c>
      <c r="X144" s="206">
        <f t="shared" si="20"/>
        <v>0</v>
      </c>
    </row>
    <row r="145" spans="6:24">
      <c r="F145" s="3"/>
      <c r="L145" s="423"/>
      <c r="M145" s="68">
        <f>IF(compute_ManualOverrideUI="No", COUNTIFS(UI!E$5:E$14974,UCDEffortSpread!D21, UI!B$5:B$14974,Definition!C$6,UI!D$5:D$14974,Definition!E$3), 0)</f>
        <v>0</v>
      </c>
      <c r="N145" s="68">
        <f>IF(compute_ManualOverrideUI="No", COUNTIFS(UI!E$5:E$14974,UCDEffortSpread!D21, UI!B$5:B$14974,Definition!C$6,UI!D$5:D$14974,Definition!F$3),0)</f>
        <v>0</v>
      </c>
      <c r="O145" s="68">
        <f>IF(compute_ManualOverrideUI="No", COUNTIFS(UI!E$5:E$14974,UCDEffortSpread!D21, UI!B$5:B$14974,Definition!C$6,UI!D$5:D$14974,Definition!G$3),0)</f>
        <v>0</v>
      </c>
      <c r="P145" s="68">
        <f>IF(compute_ManualOverrideUI="No", COUNTIFS(UI!E$5:E$14974,UCDEffortSpread!D21, UI!B$5:B$14974,Definition!C$6,UI!D$5:D$14974,Definition!H$3),0)</f>
        <v>0</v>
      </c>
      <c r="Q145" s="68">
        <f>IF(compute_ManualOverrideUI="No", COUNTIFS(UI!E$5:E$14974,UCDEffortSpread!D21, UI!B$5:B$14974,Definition!C$6,UI!D$5:D$14974,Definition!I$3),0)</f>
        <v>0</v>
      </c>
      <c r="R145" s="202">
        <f>(Definition!M145*Definition!E$6)</f>
        <v>0</v>
      </c>
      <c r="S145" s="202">
        <f>(Definition!N145*Definition!F$6)</f>
        <v>0</v>
      </c>
      <c r="T145" s="202">
        <f>(Definition!O145*Definition!G$6)</f>
        <v>0</v>
      </c>
      <c r="U145" s="202">
        <f>(Definition!P145*Definition!H$6)</f>
        <v>0</v>
      </c>
      <c r="V145" s="202">
        <f>(Definition!Q145*Definition!I$6)</f>
        <v>0</v>
      </c>
      <c r="W145" s="203">
        <f t="shared" si="23"/>
        <v>0</v>
      </c>
      <c r="X145" s="206">
        <f t="shared" si="20"/>
        <v>0</v>
      </c>
    </row>
    <row r="146" spans="6:24">
      <c r="F146" s="3"/>
      <c r="L146" s="423"/>
      <c r="M146" s="68">
        <f>IF(compute_ManualOverrideUI="No", COUNTIFS(UI!E$5:E$14974,UCDEffortSpread!D22, UI!B$5:B$14974,Definition!C$6,UI!D$5:D$14974,Definition!E$3), 0)</f>
        <v>0</v>
      </c>
      <c r="N146" s="68">
        <f>IF(compute_ManualOverrideUI="No", COUNTIFS(UI!E$5:E$14974,UCDEffortSpread!D22, UI!B$5:B$14974,Definition!C$6,UI!D$5:D$14974,Definition!F$3),0)</f>
        <v>0</v>
      </c>
      <c r="O146" s="68">
        <f>IF(compute_ManualOverrideUI="No", COUNTIFS(UI!E$5:E$14974,UCDEffortSpread!D22, UI!B$5:B$14974,Definition!C$6,UI!D$5:D$14974,Definition!G$3),0)</f>
        <v>0</v>
      </c>
      <c r="P146" s="68">
        <f>IF(compute_ManualOverrideUI="No", COUNTIFS(UI!E$5:E$14974,UCDEffortSpread!D22, UI!B$5:B$14974,Definition!C$6,UI!D$5:D$14974,Definition!H$3),0)</f>
        <v>0</v>
      </c>
      <c r="Q146" s="68">
        <f>IF(compute_ManualOverrideUI="No", COUNTIFS(UI!E$5:E$14974,UCDEffortSpread!D22, UI!B$5:B$14974,Definition!C$6,UI!D$5:D$14974,Definition!I$3),0)</f>
        <v>0</v>
      </c>
      <c r="R146" s="202">
        <f>(Definition!M146*Definition!E$6)</f>
        <v>0</v>
      </c>
      <c r="S146" s="202">
        <f>(Definition!N146*Definition!F$6)</f>
        <v>0</v>
      </c>
      <c r="T146" s="202">
        <f>(Definition!O146*Definition!G$6)</f>
        <v>0</v>
      </c>
      <c r="U146" s="202">
        <f>(Definition!P146*Definition!H$6)</f>
        <v>0</v>
      </c>
      <c r="V146" s="202">
        <f>(Definition!Q146*Definition!I$6)</f>
        <v>0</v>
      </c>
      <c r="W146" s="203">
        <f t="shared" si="23"/>
        <v>0</v>
      </c>
      <c r="X146" s="206">
        <f t="shared" si="20"/>
        <v>0</v>
      </c>
    </row>
    <row r="147" spans="6:24">
      <c r="L147" s="423"/>
      <c r="M147" s="68">
        <f>IF(compute_ManualOverrideUI="No", COUNTIFS(UI!E$5:E$14974,UCDEffortSpread!D23, UI!B$5:B$14974,Definition!C$6,UI!D$5:D$14974,Definition!E$3), 0)</f>
        <v>0</v>
      </c>
      <c r="N147" s="68">
        <f>IF(compute_ManualOverrideUI="No", COUNTIFS(UI!E$5:E$14974,UCDEffortSpread!D23, UI!B$5:B$14974,Definition!C$6,UI!D$5:D$14974,Definition!F$3),0)</f>
        <v>0</v>
      </c>
      <c r="O147" s="68">
        <f>IF(compute_ManualOverrideUI="No", COUNTIFS(UI!E$5:E$14974,UCDEffortSpread!D23, UI!B$5:B$14974,Definition!C$6,UI!D$5:D$14974,Definition!G$3),0)</f>
        <v>0</v>
      </c>
      <c r="P147" s="68">
        <f>IF(compute_ManualOverrideUI="No", COUNTIFS(UI!E$5:E$14974,UCDEffortSpread!D23, UI!B$5:B$14974,Definition!C$6,UI!D$5:D$14974,Definition!H$3),0)</f>
        <v>0</v>
      </c>
      <c r="Q147" s="68">
        <f>IF(compute_ManualOverrideUI="No", COUNTIFS(UI!E$5:E$14974,UCDEffortSpread!D23, UI!B$5:B$14974,Definition!C$6,UI!D$5:D$14974,Definition!I$3),0)</f>
        <v>0</v>
      </c>
      <c r="R147" s="202">
        <f>(Definition!M147*Definition!E$6)</f>
        <v>0</v>
      </c>
      <c r="S147" s="202">
        <f>(Definition!N147*Definition!F$6)</f>
        <v>0</v>
      </c>
      <c r="T147" s="202">
        <f>(Definition!O147*Definition!G$6)</f>
        <v>0</v>
      </c>
      <c r="U147" s="202">
        <f>(Definition!P147*Definition!H$6)</f>
        <v>0</v>
      </c>
      <c r="V147" s="202">
        <f>(Definition!Q147*Definition!I$6)</f>
        <v>0</v>
      </c>
      <c r="W147" s="203">
        <f t="shared" si="23"/>
        <v>0</v>
      </c>
      <c r="X147" s="206">
        <f t="shared" si="20"/>
        <v>0</v>
      </c>
    </row>
    <row r="148" spans="6:24">
      <c r="L148" s="423"/>
      <c r="M148" s="68">
        <f>IF(compute_ManualOverrideUI="No", COUNTIFS(UI!E$5:E$14974,UCDEffortSpread!D24, UI!B$5:B$14974,Definition!C$6,UI!D$5:D$14974,Definition!E$3), 0)</f>
        <v>0</v>
      </c>
      <c r="N148" s="68">
        <f>IF(compute_ManualOverrideUI="No", COUNTIFS(UI!E$5:E$14974,UCDEffortSpread!D24, UI!B$5:B$14974,Definition!C$6,UI!D$5:D$14974,Definition!F$3),0)</f>
        <v>0</v>
      </c>
      <c r="O148" s="68">
        <f>IF(compute_ManualOverrideUI="No", COUNTIFS(UI!E$5:E$14974,UCDEffortSpread!D24, UI!B$5:B$14974,Definition!C$6,UI!D$5:D$14974,Definition!G$3),0)</f>
        <v>0</v>
      </c>
      <c r="P148" s="68">
        <f>IF(compute_ManualOverrideUI="No", COUNTIFS(UI!E$5:E$14974,UCDEffortSpread!D24, UI!B$5:B$14974,Definition!C$6,UI!D$5:D$14974,Definition!H$3),0)</f>
        <v>0</v>
      </c>
      <c r="Q148" s="68">
        <f>IF(compute_ManualOverrideUI="No", COUNTIFS(UI!E$5:E$14974,UCDEffortSpread!D24, UI!B$5:B$14974,Definition!C$6,UI!D$5:D$14974,Definition!I$3),0)</f>
        <v>0</v>
      </c>
      <c r="R148" s="202">
        <f>(Definition!M148*Definition!E$6)</f>
        <v>0</v>
      </c>
      <c r="S148" s="202">
        <f>(Definition!N148*Definition!F$6)</f>
        <v>0</v>
      </c>
      <c r="T148" s="202">
        <f>(Definition!O148*Definition!G$6)</f>
        <v>0</v>
      </c>
      <c r="U148" s="202">
        <f>(Definition!P148*Definition!H$6)</f>
        <v>0</v>
      </c>
      <c r="V148" s="202">
        <f>(Definition!Q148*Definition!I$6)</f>
        <v>0</v>
      </c>
      <c r="W148" s="203">
        <f t="shared" si="23"/>
        <v>0</v>
      </c>
      <c r="X148" s="206">
        <f t="shared" si="20"/>
        <v>0</v>
      </c>
    </row>
    <row r="149" spans="6:24">
      <c r="L149" s="423"/>
      <c r="M149" s="68">
        <f>IF(compute_ManualOverrideUI="No", COUNTIFS(UI!E$5:E$14974,UCDEffortSpread!D25, UI!B$5:B$14974,Definition!C$6,UI!D$5:D$14974,Definition!E$3), 0)</f>
        <v>0</v>
      </c>
      <c r="N149" s="68">
        <f>IF(compute_ManualOverrideUI="No", COUNTIFS(UI!E$5:E$14974,UCDEffortSpread!D25, UI!B$5:B$14974,Definition!C$6,UI!D$5:D$14974,Definition!F$3),0)</f>
        <v>0</v>
      </c>
      <c r="O149" s="68">
        <f>IF(compute_ManualOverrideUI="No", COUNTIFS(UI!E$5:E$14974,UCDEffortSpread!D25, UI!B$5:B$14974,Definition!C$6,UI!D$5:D$14974,Definition!G$3),0)</f>
        <v>0</v>
      </c>
      <c r="P149" s="68">
        <f>IF(compute_ManualOverrideUI="No", COUNTIFS(UI!E$5:E$14974,UCDEffortSpread!D25, UI!B$5:B$14974,Definition!C$6,UI!D$5:D$14974,Definition!H$3),0)</f>
        <v>0</v>
      </c>
      <c r="Q149" s="68">
        <f>IF(compute_ManualOverrideUI="No", COUNTIFS(UI!E$5:E$14974,UCDEffortSpread!D25, UI!B$5:B$14974,Definition!C$6,UI!D$5:D$14974,Definition!I$3),0)</f>
        <v>0</v>
      </c>
      <c r="R149" s="202">
        <f>(Definition!M149*Definition!E$6)</f>
        <v>0</v>
      </c>
      <c r="S149" s="202">
        <f>(Definition!N149*Definition!F$6)</f>
        <v>0</v>
      </c>
      <c r="T149" s="202">
        <f>(Definition!O149*Definition!G$6)</f>
        <v>0</v>
      </c>
      <c r="U149" s="202">
        <f>(Definition!P149*Definition!H$6)</f>
        <v>0</v>
      </c>
      <c r="V149" s="202">
        <f>(Definition!Q149*Definition!I$6)</f>
        <v>0</v>
      </c>
      <c r="W149" s="203">
        <f t="shared" si="23"/>
        <v>0</v>
      </c>
      <c r="X149" s="206">
        <f t="shared" si="20"/>
        <v>0</v>
      </c>
    </row>
    <row r="150" spans="6:24">
      <c r="L150" s="423"/>
      <c r="M150" s="68">
        <f>IF(compute_ManualOverrideUI="No", COUNTIFS(UI!E$5:E$14974,UCDEffortSpread!D26, UI!B$5:B$14974,Definition!C$6,UI!D$5:D$14974,Definition!E$3), 0)</f>
        <v>0</v>
      </c>
      <c r="N150" s="68">
        <f>IF(compute_ManualOverrideUI="No", COUNTIFS(UI!E$5:E$14974,UCDEffortSpread!D26, UI!B$5:B$14974,Definition!C$6,UI!D$5:D$14974,Definition!F$3),0)</f>
        <v>0</v>
      </c>
      <c r="O150" s="68">
        <f>IF(compute_ManualOverrideUI="No", COUNTIFS(UI!E$5:E$14974,UCDEffortSpread!D26, UI!B$5:B$14974,Definition!C$6,UI!D$5:D$14974,Definition!G$3),0)</f>
        <v>0</v>
      </c>
      <c r="P150" s="68">
        <f>IF(compute_ManualOverrideUI="No", COUNTIFS(UI!E$5:E$14974,UCDEffortSpread!D26, UI!B$5:B$14974,Definition!C$6,UI!D$5:D$14974,Definition!H$3),0)</f>
        <v>0</v>
      </c>
      <c r="Q150" s="68">
        <f>IF(compute_ManualOverrideUI="No", COUNTIFS(UI!E$5:E$14974,UCDEffortSpread!D26, UI!B$5:B$14974,Definition!C$6,UI!D$5:D$14974,Definition!I$3),0)</f>
        <v>0</v>
      </c>
      <c r="R150" s="202">
        <f>(Definition!M150*Definition!E$6)</f>
        <v>0</v>
      </c>
      <c r="S150" s="202">
        <f>(Definition!N150*Definition!F$6)</f>
        <v>0</v>
      </c>
      <c r="T150" s="202">
        <f>(Definition!O150*Definition!G$6)</f>
        <v>0</v>
      </c>
      <c r="U150" s="202">
        <f>(Definition!P150*Definition!H$6)</f>
        <v>0</v>
      </c>
      <c r="V150" s="202">
        <f>(Definition!Q150*Definition!I$6)</f>
        <v>0</v>
      </c>
      <c r="W150" s="203">
        <f t="shared" si="23"/>
        <v>0</v>
      </c>
      <c r="X150" s="206">
        <f t="shared" si="20"/>
        <v>0</v>
      </c>
    </row>
    <row r="151" spans="6:24">
      <c r="L151" s="423"/>
      <c r="M151" s="68">
        <f>IF(compute_ManualOverrideUI="No", COUNTIFS(UI!E$5:E$14974,UCDEffortSpread!D27, UI!B$5:B$14974,Definition!C$6,UI!D$5:D$14974,Definition!E$3), 0)</f>
        <v>0</v>
      </c>
      <c r="N151" s="68">
        <f>IF(compute_ManualOverrideUI="No", COUNTIFS(UI!E$5:E$14974,UCDEffortSpread!D27, UI!B$5:B$14974,Definition!C$6,UI!D$5:D$14974,Definition!F$3),0)</f>
        <v>0</v>
      </c>
      <c r="O151" s="68">
        <f>IF(compute_ManualOverrideUI="No", COUNTIFS(UI!E$5:E$14974,UCDEffortSpread!D27, UI!B$5:B$14974,Definition!C$6,UI!D$5:D$14974,Definition!G$3),0)</f>
        <v>0</v>
      </c>
      <c r="P151" s="68">
        <f>IF(compute_ManualOverrideUI="No", COUNTIFS(UI!E$5:E$14974,UCDEffortSpread!D27, UI!B$5:B$14974,Definition!C$6,UI!D$5:D$14974,Definition!H$3),0)</f>
        <v>0</v>
      </c>
      <c r="Q151" s="68">
        <f>IF(compute_ManualOverrideUI="No", COUNTIFS(UI!E$5:E$14974,UCDEffortSpread!D27, UI!B$5:B$14974,Definition!C$6,UI!D$5:D$14974,Definition!I$3),0)</f>
        <v>0</v>
      </c>
      <c r="R151" s="202">
        <f>(Definition!M151*Definition!E$6)</f>
        <v>0</v>
      </c>
      <c r="S151" s="202">
        <f>(Definition!N151*Definition!F$6)</f>
        <v>0</v>
      </c>
      <c r="T151" s="202">
        <f>(Definition!O151*Definition!G$6)</f>
        <v>0</v>
      </c>
      <c r="U151" s="202">
        <f>(Definition!P151*Definition!H$6)</f>
        <v>0</v>
      </c>
      <c r="V151" s="202">
        <f>(Definition!Q151*Definition!I$6)</f>
        <v>0</v>
      </c>
      <c r="W151" s="203">
        <f t="shared" si="23"/>
        <v>0</v>
      </c>
      <c r="X151" s="206">
        <f t="shared" si="20"/>
        <v>0</v>
      </c>
    </row>
    <row r="152" spans="6:24" ht="12.75" customHeight="1">
      <c r="L152" s="423"/>
      <c r="M152" s="68">
        <f>IF(compute_ManualOverrideUI="No", COUNTIFS(UI!E$5:E$14974,UCDEffortSpread!D28, UI!B$5:B$14974,Definition!C$6,UI!D$5:D$14974,Definition!E$3), 0)</f>
        <v>0</v>
      </c>
      <c r="N152" s="68">
        <f>IF(compute_ManualOverrideUI="No", COUNTIFS(UI!E$5:E$14974,UCDEffortSpread!D28, UI!B$5:B$14974,Definition!C$6,UI!D$5:D$14974,Definition!F$3),0)</f>
        <v>0</v>
      </c>
      <c r="O152" s="68">
        <f>IF(compute_ManualOverrideUI="No", COUNTIFS(UI!E$5:E$14974,UCDEffortSpread!D28, UI!B$5:B$14974,Definition!C$6,UI!D$5:D$14974,Definition!G$3),0)</f>
        <v>0</v>
      </c>
      <c r="P152" s="68">
        <f>IF(compute_ManualOverrideUI="No", COUNTIFS(UI!E$5:E$14974,UCDEffortSpread!D28, UI!B$5:B$14974,Definition!C$6,UI!D$5:D$14974,Definition!H$3),0)</f>
        <v>0</v>
      </c>
      <c r="Q152" s="68">
        <f>IF(compute_ManualOverrideUI="No", COUNTIFS(UI!E$5:E$14974,UCDEffortSpread!D28, UI!B$5:B$14974,Definition!C$6,UI!D$5:D$14974,Definition!I$3),0)</f>
        <v>0</v>
      </c>
      <c r="R152" s="202">
        <f>(Definition!M152*Definition!E$6)</f>
        <v>0</v>
      </c>
      <c r="S152" s="202">
        <f>(Definition!N152*Definition!F$6)</f>
        <v>0</v>
      </c>
      <c r="T152" s="202">
        <f>(Definition!O152*Definition!G$6)</f>
        <v>0</v>
      </c>
      <c r="U152" s="202">
        <f>(Definition!P152*Definition!H$6)</f>
        <v>0</v>
      </c>
      <c r="V152" s="202">
        <f>(Definition!Q152*Definition!I$6)</f>
        <v>0</v>
      </c>
      <c r="W152" s="203">
        <f t="shared" si="23"/>
        <v>0</v>
      </c>
      <c r="X152" s="206">
        <f t="shared" si="20"/>
        <v>0</v>
      </c>
    </row>
    <row r="153" spans="6:24">
      <c r="L153" s="423"/>
      <c r="M153" s="68">
        <f>IF(compute_ManualOverrideUI="No", COUNTIFS(UI!E$5:E$14974,UCDEffortSpread!D29, UI!B$5:B$14974,Definition!C$6,UI!D$5:D$14974,Definition!E$3), 0)</f>
        <v>0</v>
      </c>
      <c r="N153" s="68">
        <f>IF(compute_ManualOverrideUI="No", COUNTIFS(UI!E$5:E$14974,UCDEffortSpread!D29, UI!B$5:B$14974,Definition!C$6,UI!D$5:D$14974,Definition!F$3),0)</f>
        <v>0</v>
      </c>
      <c r="O153" s="68">
        <f>IF(compute_ManualOverrideUI="No", COUNTIFS(UI!E$5:E$14974,UCDEffortSpread!D29, UI!B$5:B$14974,Definition!C$6,UI!D$5:D$14974,Definition!G$3),0)</f>
        <v>0</v>
      </c>
      <c r="P153" s="68">
        <f>IF(compute_ManualOverrideUI="No", COUNTIFS(UI!E$5:E$14974,UCDEffortSpread!D29, UI!B$5:B$14974,Definition!C$6,UI!D$5:D$14974,Definition!H$3),0)</f>
        <v>0</v>
      </c>
      <c r="Q153" s="68">
        <f>IF(compute_ManualOverrideUI="No", COUNTIFS(UI!E$5:E$14974,UCDEffortSpread!D29, UI!B$5:B$14974,Definition!C$6,UI!D$5:D$14974,Definition!I$3),0)</f>
        <v>0</v>
      </c>
      <c r="R153" s="202">
        <f>(Definition!M153*Definition!E$6)</f>
        <v>0</v>
      </c>
      <c r="S153" s="202">
        <f>(Definition!N153*Definition!F$6)</f>
        <v>0</v>
      </c>
      <c r="T153" s="202">
        <f>(Definition!O153*Definition!G$6)</f>
        <v>0</v>
      </c>
      <c r="U153" s="202">
        <f>(Definition!P153*Definition!H$6)</f>
        <v>0</v>
      </c>
      <c r="V153" s="202">
        <f>(Definition!Q153*Definition!I$6)</f>
        <v>0</v>
      </c>
      <c r="W153" s="203">
        <f t="shared" si="23"/>
        <v>0</v>
      </c>
      <c r="X153" s="206">
        <f t="shared" si="20"/>
        <v>0</v>
      </c>
    </row>
    <row r="154" spans="6:24">
      <c r="L154" s="423"/>
      <c r="M154" s="68">
        <f>IF(compute_ManualOverrideUI="No", COUNTIFS(UI!E$5:E$14974,UCDEffortSpread!D30, UI!B$5:B$14974,Definition!C$6,UI!D$5:D$14974,Definition!E$3), 0)</f>
        <v>0</v>
      </c>
      <c r="N154" s="68">
        <f>IF(compute_ManualOverrideUI="No", COUNTIFS(UI!E$5:E$14974,UCDEffortSpread!D30, UI!B$5:B$14974,Definition!C$6,UI!D$5:D$14974,Definition!F$3),0)</f>
        <v>0</v>
      </c>
      <c r="O154" s="68">
        <f>IF(compute_ManualOverrideUI="No", COUNTIFS(UI!E$5:E$14974,UCDEffortSpread!D30, UI!B$5:B$14974,Definition!C$6,UI!D$5:D$14974,Definition!G$3),0)</f>
        <v>0</v>
      </c>
      <c r="P154" s="68">
        <f>IF(compute_ManualOverrideUI="No", COUNTIFS(UI!E$5:E$14974,UCDEffortSpread!D30, UI!B$5:B$14974,Definition!C$6,UI!D$5:D$14974,Definition!H$3),0)</f>
        <v>0</v>
      </c>
      <c r="Q154" s="68">
        <f>IF(compute_ManualOverrideUI="No", COUNTIFS(UI!E$5:E$14974,UCDEffortSpread!D30, UI!B$5:B$14974,Definition!C$6,UI!D$5:D$14974,Definition!I$3),0)</f>
        <v>0</v>
      </c>
      <c r="R154" s="202">
        <f>(Definition!M154*Definition!E$6)</f>
        <v>0</v>
      </c>
      <c r="S154" s="202">
        <f>(Definition!N154*Definition!F$6)</f>
        <v>0</v>
      </c>
      <c r="T154" s="202">
        <f>(Definition!O154*Definition!G$6)</f>
        <v>0</v>
      </c>
      <c r="U154" s="202">
        <f>(Definition!P154*Definition!H$6)</f>
        <v>0</v>
      </c>
      <c r="V154" s="202">
        <f>(Definition!Q154*Definition!I$6)</f>
        <v>0</v>
      </c>
      <c r="W154" s="203">
        <f t="shared" si="23"/>
        <v>0</v>
      </c>
      <c r="X154" s="206">
        <f t="shared" si="20"/>
        <v>0</v>
      </c>
    </row>
    <row r="155" spans="6:24">
      <c r="L155" s="423"/>
      <c r="M155" s="68">
        <f>IF(compute_ManualOverrideUI="No", COUNTIFS(UI!E$5:E$14974,UCDEffortSpread!D31, UI!B$5:B$14974,Definition!C$6,UI!D$5:D$14974,Definition!E$3), 0)</f>
        <v>0</v>
      </c>
      <c r="N155" s="68">
        <f>IF(compute_ManualOverrideUI="No", COUNTIFS(UI!E$5:E$14974,UCDEffortSpread!D31, UI!B$5:B$14974,Definition!C$6,UI!D$5:D$14974,Definition!F$3),0)</f>
        <v>0</v>
      </c>
      <c r="O155" s="68">
        <f>IF(compute_ManualOverrideUI="No", COUNTIFS(UI!E$5:E$14974,UCDEffortSpread!D31, UI!B$5:B$14974,Definition!C$6,UI!D$5:D$14974,Definition!G$3),0)</f>
        <v>0</v>
      </c>
      <c r="P155" s="68">
        <f>IF(compute_ManualOverrideUI="No", COUNTIFS(UI!E$5:E$14974,UCDEffortSpread!D31, UI!B$5:B$14974,Definition!C$6,UI!D$5:D$14974,Definition!H$3),0)</f>
        <v>0</v>
      </c>
      <c r="Q155" s="68">
        <f>IF(compute_ManualOverrideUI="No", COUNTIFS(UI!E$5:E$14974,UCDEffortSpread!D31, UI!B$5:B$14974,Definition!C$6,UI!D$5:D$14974,Definition!I$3),0)</f>
        <v>0</v>
      </c>
      <c r="R155" s="202">
        <f>(Definition!M155*Definition!E$6)</f>
        <v>0</v>
      </c>
      <c r="S155" s="202">
        <f>(Definition!N155*Definition!F$6)</f>
        <v>0</v>
      </c>
      <c r="T155" s="202">
        <f>(Definition!O155*Definition!G$6)</f>
        <v>0</v>
      </c>
      <c r="U155" s="202">
        <f>(Definition!P155*Definition!H$6)</f>
        <v>0</v>
      </c>
      <c r="V155" s="202">
        <f>(Definition!Q155*Definition!I$6)</f>
        <v>0</v>
      </c>
      <c r="W155" s="203">
        <f t="shared" si="23"/>
        <v>0</v>
      </c>
      <c r="X155" s="206">
        <f t="shared" si="20"/>
        <v>0</v>
      </c>
    </row>
    <row r="156" spans="6:24">
      <c r="L156" s="423"/>
      <c r="M156" s="68">
        <f>IF(compute_ManualOverrideUI="No", COUNTIFS(UI!E$5:E$14974,UCDEffortSpread!D32, UI!B$5:B$14974,Definition!C$6,UI!D$5:D$14974,Definition!E$3), 0)</f>
        <v>0</v>
      </c>
      <c r="N156" s="68">
        <f>IF(compute_ManualOverrideUI="No", COUNTIFS(UI!E$5:E$14974,UCDEffortSpread!D32, UI!B$5:B$14974,Definition!C$6,UI!D$5:D$14974,Definition!F$3),0)</f>
        <v>0</v>
      </c>
      <c r="O156" s="68">
        <f>IF(compute_ManualOverrideUI="No", COUNTIFS(UI!E$5:E$14974,UCDEffortSpread!D32, UI!B$5:B$14974,Definition!C$6,UI!D$5:D$14974,Definition!G$3),0)</f>
        <v>0</v>
      </c>
      <c r="P156" s="68">
        <f>IF(compute_ManualOverrideUI="No", COUNTIFS(UI!E$5:E$14974,UCDEffortSpread!D32, UI!B$5:B$14974,Definition!C$6,UI!D$5:D$14974,Definition!H$3),0)</f>
        <v>0</v>
      </c>
      <c r="Q156" s="68">
        <f>IF(compute_ManualOverrideUI="No", COUNTIFS(UI!E$5:E$14974,UCDEffortSpread!D32, UI!B$5:B$14974,Definition!C$6,UI!D$5:D$14974,Definition!I$3),0)</f>
        <v>0</v>
      </c>
      <c r="R156" s="202">
        <f>(Definition!M156*Definition!E$6)</f>
        <v>0</v>
      </c>
      <c r="S156" s="202">
        <f>(Definition!N156*Definition!F$6)</f>
        <v>0</v>
      </c>
      <c r="T156" s="202">
        <f>(Definition!O156*Definition!G$6)</f>
        <v>0</v>
      </c>
      <c r="U156" s="202">
        <f>(Definition!P156*Definition!H$6)</f>
        <v>0</v>
      </c>
      <c r="V156" s="202">
        <f>(Definition!Q156*Definition!I$6)</f>
        <v>0</v>
      </c>
      <c r="W156" s="203">
        <f t="shared" si="23"/>
        <v>0</v>
      </c>
      <c r="X156" s="206">
        <f t="shared" si="20"/>
        <v>0</v>
      </c>
    </row>
    <row r="157" spans="6:24">
      <c r="F157" s="3"/>
      <c r="L157" s="423"/>
      <c r="M157" s="68">
        <f>IF(compute_ManualOverrideUI="No", COUNTIFS(UI!E$5:E$14974,UCDEffortSpread!D33, UI!B$5:B$14974,Definition!C$6,UI!D$5:D$14974,Definition!E$3), 0)</f>
        <v>0</v>
      </c>
      <c r="N157" s="68">
        <f>IF(compute_ManualOverrideUI="No", COUNTIFS(UI!E$5:E$14974,UCDEffortSpread!D33, UI!B$5:B$14974,Definition!C$6,UI!D$5:D$14974,Definition!F$3),0)</f>
        <v>0</v>
      </c>
      <c r="O157" s="68">
        <f>IF(compute_ManualOverrideUI="No", COUNTIFS(UI!E$5:E$14974,UCDEffortSpread!D33, UI!B$5:B$14974,Definition!C$6,UI!D$5:D$14974,Definition!G$3),0)</f>
        <v>0</v>
      </c>
      <c r="P157" s="68">
        <f>IF(compute_ManualOverrideUI="No", COUNTIFS(UI!E$5:E$14974,UCDEffortSpread!D33, UI!B$5:B$14974,Definition!C$6,UI!D$5:D$14974,Definition!H$3),0)</f>
        <v>0</v>
      </c>
      <c r="Q157" s="68">
        <f>IF(compute_ManualOverrideUI="No", COUNTIFS(UI!E$5:E$14974,UCDEffortSpread!D33, UI!B$5:B$14974,Definition!C$6,UI!D$5:D$14974,Definition!I$3),0)</f>
        <v>0</v>
      </c>
      <c r="R157" s="202">
        <f>(Definition!M157*Definition!E$6)</f>
        <v>0</v>
      </c>
      <c r="S157" s="202">
        <f>(Definition!N157*Definition!F$6)</f>
        <v>0</v>
      </c>
      <c r="T157" s="202">
        <f>(Definition!O157*Definition!G$6)</f>
        <v>0</v>
      </c>
      <c r="U157" s="202">
        <f>(Definition!P157*Definition!H$6)</f>
        <v>0</v>
      </c>
      <c r="V157" s="202">
        <f>(Definition!Q157*Definition!I$6)</f>
        <v>0</v>
      </c>
      <c r="W157" s="203">
        <f t="shared" si="23"/>
        <v>0</v>
      </c>
      <c r="X157" s="206">
        <f t="shared" ref="X157:X178" si="24">IF(W157&lt;&gt;0,SUM(R157:V157)+(effort_UI_PageEffort/AA$28),0)</f>
        <v>0</v>
      </c>
    </row>
    <row r="158" spans="6:24">
      <c r="L158" s="423"/>
      <c r="M158" s="68">
        <f>IF(compute_ManualOverrideUI="No", COUNTIFS(UI!E$5:E$14974,UCDEffortSpread!D34, UI!B$5:B$14974,Definition!C$6,UI!D$5:D$14974,Definition!E$3), 0)</f>
        <v>0</v>
      </c>
      <c r="N158" s="68">
        <f>IF(compute_ManualOverrideUI="No", COUNTIFS(UI!E$5:E$14974,UCDEffortSpread!D34, UI!B$5:B$14974,Definition!C$6,UI!D$5:D$14974,Definition!F$3),0)</f>
        <v>0</v>
      </c>
      <c r="O158" s="68">
        <f>IF(compute_ManualOverrideUI="No", COUNTIFS(UI!E$5:E$14974,UCDEffortSpread!D34, UI!B$5:B$14974,Definition!C$6,UI!D$5:D$14974,Definition!G$3),0)</f>
        <v>0</v>
      </c>
      <c r="P158" s="68">
        <f>IF(compute_ManualOverrideUI="No", COUNTIFS(UI!E$5:E$14974,UCDEffortSpread!D34, UI!B$5:B$14974,Definition!C$6,UI!D$5:D$14974,Definition!H$3),0)</f>
        <v>0</v>
      </c>
      <c r="Q158" s="68">
        <f>IF(compute_ManualOverrideUI="No", COUNTIFS(UI!E$5:E$14974,UCDEffortSpread!D34, UI!B$5:B$14974,Definition!C$6,UI!D$5:D$14974,Definition!I$3),0)</f>
        <v>0</v>
      </c>
      <c r="R158" s="202">
        <f>(Definition!M158*Definition!E$6)</f>
        <v>0</v>
      </c>
      <c r="S158" s="202">
        <f>(Definition!N158*Definition!F$6)</f>
        <v>0</v>
      </c>
      <c r="T158" s="202">
        <f>(Definition!O158*Definition!G$6)</f>
        <v>0</v>
      </c>
      <c r="U158" s="202">
        <f>(Definition!P158*Definition!H$6)</f>
        <v>0</v>
      </c>
      <c r="V158" s="202">
        <f>(Definition!Q158*Definition!I$6)</f>
        <v>0</v>
      </c>
      <c r="W158" s="203">
        <f t="shared" si="23"/>
        <v>0</v>
      </c>
      <c r="X158" s="206">
        <f t="shared" si="24"/>
        <v>0</v>
      </c>
    </row>
    <row r="159" spans="6:24">
      <c r="L159" s="423"/>
      <c r="M159" s="68">
        <f>IF(compute_ManualOverrideUI="No", COUNTIFS(UI!E$5:E$14974,UCDEffortSpread!D35, UI!B$5:B$14974,Definition!C$6,UI!D$5:D$14974,Definition!E$3), 0)</f>
        <v>0</v>
      </c>
      <c r="N159" s="68">
        <f>IF(compute_ManualOverrideUI="No", COUNTIFS(UI!E$5:E$14974,UCDEffortSpread!D35, UI!B$5:B$14974,Definition!C$6,UI!D$5:D$14974,Definition!F$3),0)</f>
        <v>0</v>
      </c>
      <c r="O159" s="68">
        <f>IF(compute_ManualOverrideUI="No", COUNTIFS(UI!E$5:E$14974,UCDEffortSpread!D35, UI!B$5:B$14974,Definition!C$6,UI!D$5:D$14974,Definition!G$3),0)</f>
        <v>0</v>
      </c>
      <c r="P159" s="68">
        <f>IF(compute_ManualOverrideUI="No", COUNTIFS(UI!E$5:E$14974,UCDEffortSpread!D35, UI!B$5:B$14974,Definition!C$6,UI!D$5:D$14974,Definition!H$3),0)</f>
        <v>0</v>
      </c>
      <c r="Q159" s="68">
        <f>IF(compute_ManualOverrideUI="No", COUNTIFS(UI!E$5:E$14974,UCDEffortSpread!D35, UI!B$5:B$14974,Definition!C$6,UI!D$5:D$14974,Definition!I$3),0)</f>
        <v>0</v>
      </c>
      <c r="R159" s="202">
        <f>(Definition!M159*Definition!E$6)</f>
        <v>0</v>
      </c>
      <c r="S159" s="202">
        <f>(Definition!N159*Definition!F$6)</f>
        <v>0</v>
      </c>
      <c r="T159" s="202">
        <f>(Definition!O159*Definition!G$6)</f>
        <v>0</v>
      </c>
      <c r="U159" s="202">
        <f>(Definition!P159*Definition!H$6)</f>
        <v>0</v>
      </c>
      <c r="V159" s="202">
        <f>(Definition!Q159*Definition!I$6)</f>
        <v>0</v>
      </c>
      <c r="W159" s="203">
        <f t="shared" si="23"/>
        <v>0</v>
      </c>
      <c r="X159" s="206">
        <f t="shared" si="24"/>
        <v>0</v>
      </c>
    </row>
    <row r="160" spans="6:24">
      <c r="L160" s="423"/>
      <c r="M160" s="68">
        <f>IF(compute_ManualOverrideUI="No", COUNTIFS(UI!E$5:E$14974,UCDEffortSpread!D36, UI!B$5:B$14974,Definition!C$6,UI!D$5:D$14974,Definition!E$3), 0)</f>
        <v>0</v>
      </c>
      <c r="N160" s="68">
        <f>IF(compute_ManualOverrideUI="No", COUNTIFS(UI!E$5:E$14974,UCDEffortSpread!D36, UI!B$5:B$14974,Definition!C$6,UI!D$5:D$14974,Definition!F$3),0)</f>
        <v>0</v>
      </c>
      <c r="O160" s="68">
        <f>IF(compute_ManualOverrideUI="No", COUNTIFS(UI!E$5:E$14974,UCDEffortSpread!D36, UI!B$5:B$14974,Definition!C$6,UI!D$5:D$14974,Definition!G$3),0)</f>
        <v>0</v>
      </c>
      <c r="P160" s="68">
        <f>IF(compute_ManualOverrideUI="No", COUNTIFS(UI!E$5:E$14974,UCDEffortSpread!D36, UI!B$5:B$14974,Definition!C$6,UI!D$5:D$14974,Definition!H$3),0)</f>
        <v>0</v>
      </c>
      <c r="Q160" s="68">
        <f>IF(compute_ManualOverrideUI="No", COUNTIFS(UI!E$5:E$14974,UCDEffortSpread!D36, UI!B$5:B$14974,Definition!C$6,UI!D$5:D$14974,Definition!I$3),0)</f>
        <v>0</v>
      </c>
      <c r="R160" s="202">
        <f>(Definition!M160*Definition!E$6)</f>
        <v>0</v>
      </c>
      <c r="S160" s="202">
        <f>(Definition!N160*Definition!F$6)</f>
        <v>0</v>
      </c>
      <c r="T160" s="202">
        <f>(Definition!O160*Definition!G$6)</f>
        <v>0</v>
      </c>
      <c r="U160" s="202">
        <f>(Definition!P160*Definition!H$6)</f>
        <v>0</v>
      </c>
      <c r="V160" s="202">
        <f>(Definition!Q160*Definition!I$6)</f>
        <v>0</v>
      </c>
      <c r="W160" s="203">
        <f t="shared" si="23"/>
        <v>0</v>
      </c>
      <c r="X160" s="206">
        <f t="shared" si="24"/>
        <v>0</v>
      </c>
    </row>
    <row r="161" spans="6:24">
      <c r="L161" s="423"/>
      <c r="M161" s="68">
        <f>IF(compute_ManualOverrideUI="No", COUNTIFS(UI!E$5:E$14974,UCDEffortSpread!D37, UI!B$5:B$14974,Definition!C$6,UI!D$5:D$14974,Definition!E$3), 0)</f>
        <v>0</v>
      </c>
      <c r="N161" s="68">
        <f>IF(compute_ManualOverrideUI="No", COUNTIFS(UI!E$5:E$14974,UCDEffortSpread!D37, UI!B$5:B$14974,Definition!C$6,UI!D$5:D$14974,Definition!F$3),0)</f>
        <v>0</v>
      </c>
      <c r="O161" s="68">
        <f>IF(compute_ManualOverrideUI="No", COUNTIFS(UI!E$5:E$14974,UCDEffortSpread!D37, UI!B$5:B$14974,Definition!C$6,UI!D$5:D$14974,Definition!G$3),0)</f>
        <v>0</v>
      </c>
      <c r="P161" s="68">
        <f>IF(compute_ManualOverrideUI="No", COUNTIFS(UI!E$5:E$14974,UCDEffortSpread!D37, UI!B$5:B$14974,Definition!C$6,UI!D$5:D$14974,Definition!H$3),0)</f>
        <v>0</v>
      </c>
      <c r="Q161" s="68">
        <f>IF(compute_ManualOverrideUI="No", COUNTIFS(UI!E$5:E$14974,UCDEffortSpread!D37, UI!B$5:B$14974,Definition!C$6,UI!D$5:D$14974,Definition!I$3),0)</f>
        <v>0</v>
      </c>
      <c r="R161" s="202">
        <f>(Definition!M161*Definition!E$6)</f>
        <v>0</v>
      </c>
      <c r="S161" s="202">
        <f>(Definition!N161*Definition!F$6)</f>
        <v>0</v>
      </c>
      <c r="T161" s="202">
        <f>(Definition!O161*Definition!G$6)</f>
        <v>0</v>
      </c>
      <c r="U161" s="202">
        <f>(Definition!P161*Definition!H$6)</f>
        <v>0</v>
      </c>
      <c r="V161" s="202">
        <f>(Definition!Q161*Definition!I$6)</f>
        <v>0</v>
      </c>
      <c r="W161" s="203">
        <f t="shared" si="23"/>
        <v>0</v>
      </c>
      <c r="X161" s="206">
        <f t="shared" si="24"/>
        <v>0</v>
      </c>
    </row>
    <row r="162" spans="6:24">
      <c r="L162" s="423"/>
      <c r="M162" s="68">
        <f>IF(compute_ManualOverrideUI="No", COUNTIFS(UI!E$5:E$14974,UCDEffortSpread!D38, UI!B$5:B$14974,Definition!C$6,UI!D$5:D$14974,Definition!E$3), 0)</f>
        <v>0</v>
      </c>
      <c r="N162" s="68">
        <f>IF(compute_ManualOverrideUI="No", COUNTIFS(UI!E$5:E$14974,UCDEffortSpread!D38, UI!B$5:B$14974,Definition!C$6,UI!D$5:D$14974,Definition!F$3),0)</f>
        <v>0</v>
      </c>
      <c r="O162" s="68">
        <f>IF(compute_ManualOverrideUI="No", COUNTIFS(UI!E$5:E$14974,UCDEffortSpread!D38, UI!B$5:B$14974,Definition!C$6,UI!D$5:D$14974,Definition!G$3),0)</f>
        <v>0</v>
      </c>
      <c r="P162" s="68">
        <f>IF(compute_ManualOverrideUI="No", COUNTIFS(UI!E$5:E$14974,UCDEffortSpread!D38, UI!B$5:B$14974,Definition!C$6,UI!D$5:D$14974,Definition!H$3),0)</f>
        <v>0</v>
      </c>
      <c r="Q162" s="68">
        <f>IF(compute_ManualOverrideUI="No", COUNTIFS(UI!E$5:E$14974,UCDEffortSpread!D38, UI!B$5:B$14974,Definition!C$6,UI!D$5:D$14974,Definition!I$3),0)</f>
        <v>0</v>
      </c>
      <c r="R162" s="202">
        <f>(Definition!M162*Definition!E$6)</f>
        <v>0</v>
      </c>
      <c r="S162" s="202">
        <f>(Definition!N162*Definition!F$6)</f>
        <v>0</v>
      </c>
      <c r="T162" s="202">
        <f>(Definition!O162*Definition!G$6)</f>
        <v>0</v>
      </c>
      <c r="U162" s="202">
        <f>(Definition!P162*Definition!H$6)</f>
        <v>0</v>
      </c>
      <c r="V162" s="202">
        <f>(Definition!Q162*Definition!I$6)</f>
        <v>0</v>
      </c>
      <c r="W162" s="203">
        <f t="shared" si="23"/>
        <v>0</v>
      </c>
      <c r="X162" s="206">
        <f t="shared" si="24"/>
        <v>0</v>
      </c>
    </row>
    <row r="163" spans="6:24">
      <c r="L163" s="423"/>
      <c r="M163" s="68">
        <f>IF(compute_ManualOverrideUI="No", COUNTIFS(UI!E$5:E$14974,UCDEffortSpread!D39, UI!B$5:B$14974,Definition!C$6,UI!D$5:D$14974,Definition!E$3), 0)</f>
        <v>0</v>
      </c>
      <c r="N163" s="68">
        <f>IF(compute_ManualOverrideUI="No", COUNTIFS(UI!E$5:E$14974,UCDEffortSpread!D39, UI!B$5:B$14974,Definition!C$6,UI!D$5:D$14974,Definition!F$3),0)</f>
        <v>0</v>
      </c>
      <c r="O163" s="68">
        <f>IF(compute_ManualOverrideUI="No", COUNTIFS(UI!E$5:E$14974,UCDEffortSpread!D39, UI!B$5:B$14974,Definition!C$6,UI!D$5:D$14974,Definition!G$3),0)</f>
        <v>0</v>
      </c>
      <c r="P163" s="68">
        <f>IF(compute_ManualOverrideUI="No", COUNTIFS(UI!E$5:E$14974,UCDEffortSpread!D39, UI!B$5:B$14974,Definition!C$6,UI!D$5:D$14974,Definition!H$3),0)</f>
        <v>0</v>
      </c>
      <c r="Q163" s="68">
        <f>IF(compute_ManualOverrideUI="No", COUNTIFS(UI!E$5:E$14974,UCDEffortSpread!D39, UI!B$5:B$14974,Definition!C$6,UI!D$5:D$14974,Definition!I$3),0)</f>
        <v>0</v>
      </c>
      <c r="R163" s="202">
        <f>(Definition!M163*Definition!E$6)</f>
        <v>0</v>
      </c>
      <c r="S163" s="202">
        <f>(Definition!N163*Definition!F$6)</f>
        <v>0</v>
      </c>
      <c r="T163" s="202">
        <f>(Definition!O163*Definition!G$6)</f>
        <v>0</v>
      </c>
      <c r="U163" s="202">
        <f>(Definition!P163*Definition!H$6)</f>
        <v>0</v>
      </c>
      <c r="V163" s="202">
        <f>(Definition!Q163*Definition!I$6)</f>
        <v>0</v>
      </c>
      <c r="W163" s="203">
        <f t="shared" si="23"/>
        <v>0</v>
      </c>
      <c r="X163" s="206">
        <f t="shared" si="24"/>
        <v>0</v>
      </c>
    </row>
    <row r="164" spans="6:24">
      <c r="L164" s="423"/>
      <c r="M164" s="68">
        <f>IF(compute_ManualOverrideUI="No", COUNTIFS(UI!E$5:E$14974,UCDEffortSpread!D40, UI!B$5:B$14974,Definition!C$6,UI!D$5:D$14974,Definition!E$3), 0)</f>
        <v>0</v>
      </c>
      <c r="N164" s="68">
        <f>IF(compute_ManualOverrideUI="No", COUNTIFS(UI!E$5:E$14974,UCDEffortSpread!D40, UI!B$5:B$14974,Definition!C$6,UI!D$5:D$14974,Definition!F$3),0)</f>
        <v>0</v>
      </c>
      <c r="O164" s="68">
        <f>IF(compute_ManualOverrideUI="No", COUNTIFS(UI!E$5:E$14974,UCDEffortSpread!D40, UI!B$5:B$14974,Definition!C$6,UI!D$5:D$14974,Definition!G$3),0)</f>
        <v>0</v>
      </c>
      <c r="P164" s="68">
        <f>IF(compute_ManualOverrideUI="No", COUNTIFS(UI!E$5:E$14974,UCDEffortSpread!D40, UI!B$5:B$14974,Definition!C$6,UI!D$5:D$14974,Definition!H$3),0)</f>
        <v>0</v>
      </c>
      <c r="Q164" s="68">
        <f>IF(compute_ManualOverrideUI="No", COUNTIFS(UI!E$5:E$14974,UCDEffortSpread!D40, UI!B$5:B$14974,Definition!C$6,UI!D$5:D$14974,Definition!I$3),0)</f>
        <v>0</v>
      </c>
      <c r="R164" s="202">
        <f>(Definition!M164*Definition!E$6)</f>
        <v>0</v>
      </c>
      <c r="S164" s="202">
        <f>(Definition!N164*Definition!F$6)</f>
        <v>0</v>
      </c>
      <c r="T164" s="202">
        <f>(Definition!O164*Definition!G$6)</f>
        <v>0</v>
      </c>
      <c r="U164" s="202">
        <f>(Definition!P164*Definition!H$6)</f>
        <v>0</v>
      </c>
      <c r="V164" s="202">
        <f>(Definition!Q164*Definition!I$6)</f>
        <v>0</v>
      </c>
      <c r="W164" s="203">
        <f t="shared" si="23"/>
        <v>0</v>
      </c>
      <c r="X164" s="206">
        <f t="shared" si="24"/>
        <v>0</v>
      </c>
    </row>
    <row r="165" spans="6:24">
      <c r="F165" s="3"/>
      <c r="L165" s="423"/>
      <c r="M165" s="68">
        <f>IF(compute_ManualOverrideUI="No", COUNTIFS(UI!E$5:E$14974,UCDEffortSpread!D41, UI!B$5:B$14974,Definition!C$6,UI!D$5:D$14974,Definition!E$3), 0)</f>
        <v>0</v>
      </c>
      <c r="N165" s="68">
        <f>IF(compute_ManualOverrideUI="No", COUNTIFS(UI!E$5:E$14974,UCDEffortSpread!D41, UI!B$5:B$14974,Definition!C$6,UI!D$5:D$14974,Definition!F$3),0)</f>
        <v>0</v>
      </c>
      <c r="O165" s="68">
        <f>IF(compute_ManualOverrideUI="No", COUNTIFS(UI!E$5:E$14974,UCDEffortSpread!D41, UI!B$5:B$14974,Definition!C$6,UI!D$5:D$14974,Definition!G$3),0)</f>
        <v>0</v>
      </c>
      <c r="P165" s="68">
        <f>IF(compute_ManualOverrideUI="No", COUNTIFS(UI!E$5:E$14974,UCDEffortSpread!D41, UI!B$5:B$14974,Definition!C$6,UI!D$5:D$14974,Definition!H$3),0)</f>
        <v>0</v>
      </c>
      <c r="Q165" s="68">
        <f>IF(compute_ManualOverrideUI="No", COUNTIFS(UI!E$5:E$14974,UCDEffortSpread!D41, UI!B$5:B$14974,Definition!C$6,UI!D$5:D$14974,Definition!I$3),0)</f>
        <v>0</v>
      </c>
      <c r="R165" s="202">
        <f>(Definition!M165*Definition!E$6)</f>
        <v>0</v>
      </c>
      <c r="S165" s="202">
        <f>(Definition!N165*Definition!F$6)</f>
        <v>0</v>
      </c>
      <c r="T165" s="202">
        <f>(Definition!O165*Definition!G$6)</f>
        <v>0</v>
      </c>
      <c r="U165" s="202">
        <f>(Definition!P165*Definition!H$6)</f>
        <v>0</v>
      </c>
      <c r="V165" s="202">
        <f>(Definition!Q165*Definition!I$6)</f>
        <v>0</v>
      </c>
      <c r="W165" s="203">
        <f t="shared" si="23"/>
        <v>0</v>
      </c>
      <c r="X165" s="206">
        <f t="shared" si="24"/>
        <v>0</v>
      </c>
    </row>
    <row r="166" spans="6:24">
      <c r="L166" s="423"/>
      <c r="M166" s="68">
        <f>IF(compute_ManualOverrideUI="No", COUNTIFS(UI!E$5:E$14974,UCDEffortSpread!D42, UI!B$5:B$14974,Definition!C$6,UI!D$5:D$14974,Definition!E$3), 0)</f>
        <v>0</v>
      </c>
      <c r="N166" s="68">
        <f>IF(compute_ManualOverrideUI="No", COUNTIFS(UI!E$5:E$14974,UCDEffortSpread!D42, UI!B$5:B$14974,Definition!C$6,UI!D$5:D$14974,Definition!F$3),0)</f>
        <v>0</v>
      </c>
      <c r="O166" s="68">
        <f>IF(compute_ManualOverrideUI="No", COUNTIFS(UI!E$5:E$14974,UCDEffortSpread!D42, UI!B$5:B$14974,Definition!C$6,UI!D$5:D$14974,Definition!G$3),0)</f>
        <v>0</v>
      </c>
      <c r="P166" s="68">
        <f>IF(compute_ManualOverrideUI="No", COUNTIFS(UI!E$5:E$14974,UCDEffortSpread!D42, UI!B$5:B$14974,Definition!C$6,UI!D$5:D$14974,Definition!H$3),0)</f>
        <v>0</v>
      </c>
      <c r="Q166" s="68">
        <f>IF(compute_ManualOverrideUI="No", COUNTIFS(UI!E$5:E$14974,UCDEffortSpread!D42, UI!B$5:B$14974,Definition!C$6,UI!D$5:D$14974,Definition!I$3),0)</f>
        <v>0</v>
      </c>
      <c r="R166" s="202">
        <f>(Definition!M166*Definition!E$6)</f>
        <v>0</v>
      </c>
      <c r="S166" s="202">
        <f>(Definition!N166*Definition!F$6)</f>
        <v>0</v>
      </c>
      <c r="T166" s="202">
        <f>(Definition!O166*Definition!G$6)</f>
        <v>0</v>
      </c>
      <c r="U166" s="202">
        <f>(Definition!P166*Definition!H$6)</f>
        <v>0</v>
      </c>
      <c r="V166" s="202">
        <f>(Definition!Q166*Definition!I$6)</f>
        <v>0</v>
      </c>
      <c r="W166" s="203">
        <f t="shared" si="23"/>
        <v>0</v>
      </c>
      <c r="X166" s="206">
        <f t="shared" si="24"/>
        <v>0</v>
      </c>
    </row>
    <row r="167" spans="6:24">
      <c r="F167" s="3"/>
      <c r="L167" s="423"/>
      <c r="M167" s="68">
        <f>IF(compute_ManualOverrideUI="No", COUNTIFS(UI!E$5:E$14974,UCDEffortSpread!D43, UI!B$5:B$14974,Definition!C$6,UI!D$5:D$14974,Definition!E$3), 0)</f>
        <v>0</v>
      </c>
      <c r="N167" s="68">
        <f>IF(compute_ManualOverrideUI="No", COUNTIFS(UI!E$5:E$14974,UCDEffortSpread!D43, UI!B$5:B$14974,Definition!C$6,UI!D$5:D$14974,Definition!F$3),0)</f>
        <v>0</v>
      </c>
      <c r="O167" s="68">
        <f>IF(compute_ManualOverrideUI="No", COUNTIFS(UI!E$5:E$14974,UCDEffortSpread!D43, UI!B$5:B$14974,Definition!C$6,UI!D$5:D$14974,Definition!G$3),0)</f>
        <v>0</v>
      </c>
      <c r="P167" s="68">
        <f>IF(compute_ManualOverrideUI="No", COUNTIFS(UI!E$5:E$14974,UCDEffortSpread!D43, UI!B$5:B$14974,Definition!C$6,UI!D$5:D$14974,Definition!H$3),0)</f>
        <v>0</v>
      </c>
      <c r="Q167" s="68">
        <f>IF(compute_ManualOverrideUI="No", COUNTIFS(UI!E$5:E$14974,UCDEffortSpread!D43, UI!B$5:B$14974,Definition!C$6,UI!D$5:D$14974,Definition!I$3),0)</f>
        <v>0</v>
      </c>
      <c r="R167" s="202">
        <f>(Definition!M167*Definition!E$6)</f>
        <v>0</v>
      </c>
      <c r="S167" s="202">
        <f>(Definition!N167*Definition!F$6)</f>
        <v>0</v>
      </c>
      <c r="T167" s="202">
        <f>(Definition!O167*Definition!G$6)</f>
        <v>0</v>
      </c>
      <c r="U167" s="202">
        <f>(Definition!P167*Definition!H$6)</f>
        <v>0</v>
      </c>
      <c r="V167" s="202">
        <f>(Definition!Q167*Definition!I$6)</f>
        <v>0</v>
      </c>
      <c r="W167" s="203">
        <f t="shared" si="23"/>
        <v>0</v>
      </c>
      <c r="X167" s="206">
        <f t="shared" si="24"/>
        <v>0</v>
      </c>
    </row>
    <row r="168" spans="6:24">
      <c r="F168" s="3"/>
      <c r="L168" s="423"/>
      <c r="M168" s="68">
        <f>IF(compute_ManualOverrideUI="No", COUNTIFS(UI!E$5:E$14974,UCDEffortSpread!D44, UI!B$5:B$14974,Definition!C$6,UI!D$5:D$14974,Definition!E$3), 0)</f>
        <v>0</v>
      </c>
      <c r="N168" s="68">
        <f>IF(compute_ManualOverrideUI="No", COUNTIFS(UI!E$5:E$14974,UCDEffortSpread!D44, UI!B$5:B$14974,Definition!C$6,UI!D$5:D$14974,Definition!F$3),0)</f>
        <v>0</v>
      </c>
      <c r="O168" s="68">
        <f>IF(compute_ManualOverrideUI="No", COUNTIFS(UI!E$5:E$14974,UCDEffortSpread!D44, UI!B$5:B$14974,Definition!C$6,UI!D$5:D$14974,Definition!G$3),0)</f>
        <v>0</v>
      </c>
      <c r="P168" s="68">
        <f>IF(compute_ManualOverrideUI="No", COUNTIFS(UI!E$5:E$14974,UCDEffortSpread!D44, UI!B$5:B$14974,Definition!C$6,UI!D$5:D$14974,Definition!H$3),0)</f>
        <v>0</v>
      </c>
      <c r="Q168" s="68">
        <f>IF(compute_ManualOverrideUI="No", COUNTIFS(UI!E$5:E$14974,UCDEffortSpread!D44, UI!B$5:B$14974,Definition!C$6,UI!D$5:D$14974,Definition!I$3),0)</f>
        <v>0</v>
      </c>
      <c r="R168" s="202">
        <f>(Definition!M168*Definition!E$6)</f>
        <v>0</v>
      </c>
      <c r="S168" s="202">
        <f>(Definition!N168*Definition!F$6)</f>
        <v>0</v>
      </c>
      <c r="T168" s="202">
        <f>(Definition!O168*Definition!G$6)</f>
        <v>0</v>
      </c>
      <c r="U168" s="202">
        <f>(Definition!P168*Definition!H$6)</f>
        <v>0</v>
      </c>
      <c r="V168" s="202">
        <f>(Definition!Q168*Definition!I$6)</f>
        <v>0</v>
      </c>
      <c r="W168" s="203">
        <f t="shared" si="23"/>
        <v>0</v>
      </c>
      <c r="X168" s="206">
        <f t="shared" si="24"/>
        <v>0</v>
      </c>
    </row>
    <row r="169" spans="6:24">
      <c r="F169" s="3"/>
      <c r="L169" s="423"/>
      <c r="M169" s="68">
        <f>IF(compute_ManualOverrideUI="No", COUNTIFS(UI!E$5:E$14974,UCDEffortSpread!D45, UI!B$5:B$14974,Definition!C$6,UI!D$5:D$14974,Definition!E$3), 0)</f>
        <v>0</v>
      </c>
      <c r="N169" s="68">
        <f>IF(compute_ManualOverrideUI="No", COUNTIFS(UI!E$5:E$14974,UCDEffortSpread!D45, UI!B$5:B$14974,Definition!C$6,UI!D$5:D$14974,Definition!F$3),0)</f>
        <v>0</v>
      </c>
      <c r="O169" s="68">
        <f>IF(compute_ManualOverrideUI="No", COUNTIFS(UI!E$5:E$14974,UCDEffortSpread!D45, UI!B$5:B$14974,Definition!C$6,UI!D$5:D$14974,Definition!G$3),0)</f>
        <v>0</v>
      </c>
      <c r="P169" s="68">
        <f>IF(compute_ManualOverrideUI="No", COUNTIFS(UI!E$5:E$14974,UCDEffortSpread!D45, UI!B$5:B$14974,Definition!C$6,UI!D$5:D$14974,Definition!H$3),0)</f>
        <v>0</v>
      </c>
      <c r="Q169" s="68">
        <f>IF(compute_ManualOverrideUI="No", COUNTIFS(UI!E$5:E$14974,UCDEffortSpread!D45, UI!B$5:B$14974,Definition!C$6,UI!D$5:D$14974,Definition!I$3),0)</f>
        <v>0</v>
      </c>
      <c r="R169" s="202">
        <f>(Definition!M169*Definition!E$6)</f>
        <v>0</v>
      </c>
      <c r="S169" s="202">
        <f>(Definition!N169*Definition!F$6)</f>
        <v>0</v>
      </c>
      <c r="T169" s="202">
        <f>(Definition!O169*Definition!G$6)</f>
        <v>0</v>
      </c>
      <c r="U169" s="202">
        <f>(Definition!P169*Definition!H$6)</f>
        <v>0</v>
      </c>
      <c r="V169" s="202">
        <f>(Definition!Q169*Definition!I$6)</f>
        <v>0</v>
      </c>
      <c r="W169" s="203">
        <f t="shared" si="23"/>
        <v>0</v>
      </c>
      <c r="X169" s="206">
        <f t="shared" si="24"/>
        <v>0</v>
      </c>
    </row>
    <row r="170" spans="6:24">
      <c r="F170" s="3"/>
      <c r="L170" s="423"/>
      <c r="M170" s="68">
        <f>IF(compute_ManualOverrideUI="No", COUNTIFS(UI!E$5:E$14974,UCDEffortSpread!D46, UI!B$5:B$14974,Definition!C$6,UI!D$5:D$14974,Definition!E$3), 0)</f>
        <v>0</v>
      </c>
      <c r="N170" s="68">
        <f>IF(compute_ManualOverrideUI="No", COUNTIFS(UI!E$5:E$14974,UCDEffortSpread!D46, UI!B$5:B$14974,Definition!C$6,UI!D$5:D$14974,Definition!F$3),0)</f>
        <v>0</v>
      </c>
      <c r="O170" s="68">
        <f>IF(compute_ManualOverrideUI="No", COUNTIFS(UI!E$5:E$14974,UCDEffortSpread!D46, UI!B$5:B$14974,Definition!C$6,UI!D$5:D$14974,Definition!G$3),0)</f>
        <v>0</v>
      </c>
      <c r="P170" s="68">
        <f>IF(compute_ManualOverrideUI="No", COUNTIFS(UI!E$5:E$14974,UCDEffortSpread!D46, UI!B$5:B$14974,Definition!C$6,UI!D$5:D$14974,Definition!H$3),0)</f>
        <v>0</v>
      </c>
      <c r="Q170" s="68">
        <f>IF(compute_ManualOverrideUI="No", COUNTIFS(UI!E$5:E$14974,UCDEffortSpread!D46, UI!B$5:B$14974,Definition!C$6,UI!D$5:D$14974,Definition!I$3),0)</f>
        <v>0</v>
      </c>
      <c r="R170" s="202">
        <f>(Definition!M170*Definition!E$6)</f>
        <v>0</v>
      </c>
      <c r="S170" s="202">
        <f>(Definition!N170*Definition!F$6)</f>
        <v>0</v>
      </c>
      <c r="T170" s="202">
        <f>(Definition!O170*Definition!G$6)</f>
        <v>0</v>
      </c>
      <c r="U170" s="202">
        <f>(Definition!P170*Definition!H$6)</f>
        <v>0</v>
      </c>
      <c r="V170" s="202">
        <f>(Definition!Q170*Definition!I$6)</f>
        <v>0</v>
      </c>
      <c r="W170" s="203">
        <f t="shared" si="23"/>
        <v>0</v>
      </c>
      <c r="X170" s="206">
        <f t="shared" si="24"/>
        <v>0</v>
      </c>
    </row>
    <row r="171" spans="6:24">
      <c r="F171" s="3"/>
      <c r="L171" s="423"/>
      <c r="M171" s="68">
        <f>IF(compute_ManualOverrideUI="No", COUNTIFS(UI!E$5:E$14974,UCDEffortSpread!D47, UI!B$5:B$14974,Definition!C$6,UI!D$5:D$14974,Definition!E$3), 0)</f>
        <v>0</v>
      </c>
      <c r="N171" s="68">
        <f>IF(compute_ManualOverrideUI="No", COUNTIFS(UI!E$5:E$14974,UCDEffortSpread!D47, UI!B$5:B$14974,Definition!C$6,UI!D$5:D$14974,Definition!F$3),0)</f>
        <v>0</v>
      </c>
      <c r="O171" s="68">
        <f>IF(compute_ManualOverrideUI="No", COUNTIFS(UI!E$5:E$14974,UCDEffortSpread!D47, UI!B$5:B$14974,Definition!C$6,UI!D$5:D$14974,Definition!G$3),0)</f>
        <v>0</v>
      </c>
      <c r="P171" s="68">
        <f>IF(compute_ManualOverrideUI="No", COUNTIFS(UI!E$5:E$14974,UCDEffortSpread!D47, UI!B$5:B$14974,Definition!C$6,UI!D$5:D$14974,Definition!H$3),0)</f>
        <v>0</v>
      </c>
      <c r="Q171" s="68">
        <f>IF(compute_ManualOverrideUI="No", COUNTIFS(UI!E$5:E$14974,UCDEffortSpread!D47, UI!B$5:B$14974,Definition!C$6,UI!D$5:D$14974,Definition!I$3),0)</f>
        <v>0</v>
      </c>
      <c r="R171" s="202">
        <f>(Definition!M171*Definition!E$6)</f>
        <v>0</v>
      </c>
      <c r="S171" s="202">
        <f>(Definition!N171*Definition!F$6)</f>
        <v>0</v>
      </c>
      <c r="T171" s="202">
        <f>(Definition!O171*Definition!G$6)</f>
        <v>0</v>
      </c>
      <c r="U171" s="202">
        <f>(Definition!P171*Definition!H$6)</f>
        <v>0</v>
      </c>
      <c r="V171" s="202">
        <f>(Definition!Q171*Definition!I$6)</f>
        <v>0</v>
      </c>
      <c r="W171" s="203">
        <f t="shared" si="23"/>
        <v>0</v>
      </c>
      <c r="X171" s="206">
        <f t="shared" si="24"/>
        <v>0</v>
      </c>
    </row>
    <row r="172" spans="6:24">
      <c r="F172" s="3"/>
      <c r="L172" s="423"/>
      <c r="M172" s="68">
        <f>IF(compute_ManualOverrideUI="No", COUNTIFS(UI!E$5:E$14974,UCDEffortSpread!D48, UI!B$5:B$14974,Definition!C$6,UI!D$5:D$14974,Definition!E$3), 0)</f>
        <v>0</v>
      </c>
      <c r="N172" s="68">
        <f>IF(compute_ManualOverrideUI="No", COUNTIFS(UI!E$5:E$14974,UCDEffortSpread!D48, UI!B$5:B$14974,Definition!C$6,UI!D$5:D$14974,Definition!F$3),0)</f>
        <v>0</v>
      </c>
      <c r="O172" s="68">
        <f>IF(compute_ManualOverrideUI="No", COUNTIFS(UI!E$5:E$14974,UCDEffortSpread!D48, UI!B$5:B$14974,Definition!C$6,UI!D$5:D$14974,Definition!G$3),0)</f>
        <v>0</v>
      </c>
      <c r="P172" s="68">
        <f>IF(compute_ManualOverrideUI="No", COUNTIFS(UI!E$5:E$14974,UCDEffortSpread!D48, UI!B$5:B$14974,Definition!C$6,UI!D$5:D$14974,Definition!H$3),0)</f>
        <v>0</v>
      </c>
      <c r="Q172" s="68">
        <f>IF(compute_ManualOverrideUI="No", COUNTIFS(UI!E$5:E$14974,UCDEffortSpread!D48, UI!B$5:B$14974,Definition!C$6,UI!D$5:D$14974,Definition!I$3),0)</f>
        <v>0</v>
      </c>
      <c r="R172" s="202">
        <f>(Definition!M172*Definition!E$6)</f>
        <v>0</v>
      </c>
      <c r="S172" s="202">
        <f>(Definition!N172*Definition!F$6)</f>
        <v>0</v>
      </c>
      <c r="T172" s="202">
        <f>(Definition!O172*Definition!G$6)</f>
        <v>0</v>
      </c>
      <c r="U172" s="202">
        <f>(Definition!P172*Definition!H$6)</f>
        <v>0</v>
      </c>
      <c r="V172" s="202">
        <f>(Definition!Q172*Definition!I$6)</f>
        <v>0</v>
      </c>
      <c r="W172" s="203">
        <f t="shared" si="23"/>
        <v>0</v>
      </c>
      <c r="X172" s="206">
        <f t="shared" si="24"/>
        <v>0</v>
      </c>
    </row>
    <row r="173" spans="6:24">
      <c r="F173" s="3"/>
      <c r="L173" s="423"/>
      <c r="M173" s="68">
        <f>IF(compute_ManualOverrideUI="No", COUNTIFS(UI!E$5:E$14974,UCDEffortSpread!D49, UI!B$5:B$14974,Definition!C$6,UI!D$5:D$14974,Definition!E$3), 0)</f>
        <v>0</v>
      </c>
      <c r="N173" s="68">
        <f>IF(compute_ManualOverrideUI="No", COUNTIFS(UI!E$5:E$14974,UCDEffortSpread!D49, UI!B$5:B$14974,Definition!C$6,UI!D$5:D$14974,Definition!F$3),0)</f>
        <v>0</v>
      </c>
      <c r="O173" s="68">
        <f>IF(compute_ManualOverrideUI="No", COUNTIFS(UI!E$5:E$14974,UCDEffortSpread!D49, UI!B$5:B$14974,Definition!C$6,UI!D$5:D$14974,Definition!G$3),0)</f>
        <v>0</v>
      </c>
      <c r="P173" s="68">
        <f>IF(compute_ManualOverrideUI="No", COUNTIFS(UI!E$5:E$14974,UCDEffortSpread!D49, UI!B$5:B$14974,Definition!C$6,UI!D$5:D$14974,Definition!H$3),0)</f>
        <v>0</v>
      </c>
      <c r="Q173" s="68">
        <f>IF(compute_ManualOverrideUI="No", COUNTIFS(UI!E$5:E$14974,UCDEffortSpread!D49, UI!B$5:B$14974,Definition!C$6,UI!D$5:D$14974,Definition!I$3),0)</f>
        <v>0</v>
      </c>
      <c r="R173" s="202">
        <f>(Definition!M173*Definition!E$6)</f>
        <v>0</v>
      </c>
      <c r="S173" s="202">
        <f>(Definition!N173*Definition!F$6)</f>
        <v>0</v>
      </c>
      <c r="T173" s="202">
        <f>(Definition!O173*Definition!G$6)</f>
        <v>0</v>
      </c>
      <c r="U173" s="202">
        <f>(Definition!P173*Definition!H$6)</f>
        <v>0</v>
      </c>
      <c r="V173" s="202">
        <f>(Definition!Q173*Definition!I$6)</f>
        <v>0</v>
      </c>
      <c r="W173" s="203">
        <f t="shared" si="23"/>
        <v>0</v>
      </c>
      <c r="X173" s="206">
        <f t="shared" si="24"/>
        <v>0</v>
      </c>
    </row>
    <row r="174" spans="6:24">
      <c r="F174" s="3"/>
      <c r="L174" s="423"/>
      <c r="M174" s="68">
        <f>IF(compute_ManualOverrideUI="No", COUNTIFS(UI!E$5:E$14974,UCDEffortSpread!D50, UI!B$5:B$14974,Definition!C$6,UI!D$5:D$14974,Definition!E$3), 0)</f>
        <v>0</v>
      </c>
      <c r="N174" s="68">
        <f>IF(compute_ManualOverrideUI="No", COUNTIFS(UI!E$5:E$14974,UCDEffortSpread!D50, UI!B$5:B$14974,Definition!C$6,UI!D$5:D$14974,Definition!F$3),0)</f>
        <v>0</v>
      </c>
      <c r="O174" s="68">
        <f>IF(compute_ManualOverrideUI="No", COUNTIFS(UI!E$5:E$14974,UCDEffortSpread!D50, UI!B$5:B$14974,Definition!C$6,UI!D$5:D$14974,Definition!G$3),0)</f>
        <v>0</v>
      </c>
      <c r="P174" s="68">
        <f>IF(compute_ManualOverrideUI="No", COUNTIFS(UI!E$5:E$14974,UCDEffortSpread!D50, UI!B$5:B$14974,Definition!C$6,UI!D$5:D$14974,Definition!H$3),0)</f>
        <v>0</v>
      </c>
      <c r="Q174" s="68">
        <f>IF(compute_ManualOverrideUI="No", COUNTIFS(UI!E$5:E$14974,UCDEffortSpread!D50, UI!B$5:B$14974,Definition!C$6,UI!D$5:D$14974,Definition!I$3),0)</f>
        <v>0</v>
      </c>
      <c r="R174" s="202">
        <f>(Definition!M174*Definition!E$6)</f>
        <v>0</v>
      </c>
      <c r="S174" s="202">
        <f>(Definition!N174*Definition!F$6)</f>
        <v>0</v>
      </c>
      <c r="T174" s="202">
        <f>(Definition!O174*Definition!G$6)</f>
        <v>0</v>
      </c>
      <c r="U174" s="202">
        <f>(Definition!P174*Definition!H$6)</f>
        <v>0</v>
      </c>
      <c r="V174" s="202">
        <f>(Definition!Q174*Definition!I$6)</f>
        <v>0</v>
      </c>
      <c r="W174" s="203">
        <f t="shared" si="23"/>
        <v>0</v>
      </c>
      <c r="X174" s="206">
        <f t="shared" si="24"/>
        <v>0</v>
      </c>
    </row>
    <row r="175" spans="6:24">
      <c r="F175" s="3"/>
      <c r="L175" s="423"/>
      <c r="M175" s="68">
        <f>IF(compute_ManualOverrideUI="No", COUNTIFS(UI!E$5:E$14974,UCDEffortSpread!D51, UI!B$5:B$14974,Definition!C$6,UI!D$5:D$14974,Definition!E$3), 0)</f>
        <v>0</v>
      </c>
      <c r="N175" s="68">
        <f>IF(compute_ManualOverrideUI="No", COUNTIFS(UI!E$5:E$14974,UCDEffortSpread!D51, UI!B$5:B$14974,Definition!C$6,UI!D$5:D$14974,Definition!F$3),0)</f>
        <v>0</v>
      </c>
      <c r="O175" s="68">
        <f>IF(compute_ManualOverrideUI="No", COUNTIFS(UI!E$5:E$14974,UCDEffortSpread!D51, UI!B$5:B$14974,Definition!C$6,UI!D$5:D$14974,Definition!G$3),0)</f>
        <v>0</v>
      </c>
      <c r="P175" s="68">
        <f>IF(compute_ManualOverrideUI="No", COUNTIFS(UI!E$5:E$14974,UCDEffortSpread!D51, UI!B$5:B$14974,Definition!C$6,UI!D$5:D$14974,Definition!H$3),0)</f>
        <v>0</v>
      </c>
      <c r="Q175" s="68">
        <f>IF(compute_ManualOverrideUI="No", COUNTIFS(UI!E$5:E$14974,UCDEffortSpread!D51, UI!B$5:B$14974,Definition!C$6,UI!D$5:D$14974,Definition!I$3),0)</f>
        <v>0</v>
      </c>
      <c r="R175" s="202">
        <f>(Definition!M175*Definition!E$6)</f>
        <v>0</v>
      </c>
      <c r="S175" s="202">
        <f>(Definition!N175*Definition!F$6)</f>
        <v>0</v>
      </c>
      <c r="T175" s="202">
        <f>(Definition!O175*Definition!G$6)</f>
        <v>0</v>
      </c>
      <c r="U175" s="202">
        <f>(Definition!P175*Definition!H$6)</f>
        <v>0</v>
      </c>
      <c r="V175" s="202">
        <f>(Definition!Q175*Definition!I$6)</f>
        <v>0</v>
      </c>
      <c r="W175" s="203">
        <f t="shared" si="23"/>
        <v>0</v>
      </c>
      <c r="X175" s="206">
        <f t="shared" si="24"/>
        <v>0</v>
      </c>
    </row>
    <row r="176" spans="6:24">
      <c r="L176" s="423"/>
      <c r="M176" s="68">
        <f>IF(compute_ManualOverrideUI="No", COUNTIFS(UI!E$5:E$14974,UCDEffortSpread!D52, UI!B$5:B$14974,Definition!C$6,UI!D$5:D$14974,Definition!E$3), 0)</f>
        <v>0</v>
      </c>
      <c r="N176" s="68">
        <f>IF(compute_ManualOverrideUI="No", COUNTIFS(UI!E$5:E$14974,UCDEffortSpread!D52, UI!B$5:B$14974,Definition!C$6,UI!D$5:D$14974,Definition!F$3),0)</f>
        <v>0</v>
      </c>
      <c r="O176" s="68">
        <f>IF(compute_ManualOverrideUI="No", COUNTIFS(UI!E$5:E$14974,UCDEffortSpread!D52, UI!B$5:B$14974,Definition!C$6,UI!D$5:D$14974,Definition!G$3),0)</f>
        <v>0</v>
      </c>
      <c r="P176" s="68">
        <f>IF(compute_ManualOverrideUI="No", COUNTIFS(UI!E$5:E$14974,UCDEffortSpread!D52, UI!B$5:B$14974,Definition!C$6,UI!D$5:D$14974,Definition!H$3),0)</f>
        <v>0</v>
      </c>
      <c r="Q176" s="68">
        <f>IF(compute_ManualOverrideUI="No", COUNTIFS(UI!E$5:E$14974,UCDEffortSpread!D52, UI!B$5:B$14974,Definition!C$6,UI!D$5:D$14974,Definition!I$3),0)</f>
        <v>0</v>
      </c>
      <c r="R176" s="202">
        <f>(Definition!M176*Definition!E$6)</f>
        <v>0</v>
      </c>
      <c r="S176" s="202">
        <f>(Definition!N176*Definition!F$6)</f>
        <v>0</v>
      </c>
      <c r="T176" s="202">
        <f>(Definition!O176*Definition!G$6)</f>
        <v>0</v>
      </c>
      <c r="U176" s="202">
        <f>(Definition!P176*Definition!H$6)</f>
        <v>0</v>
      </c>
      <c r="V176" s="202">
        <f>(Definition!Q176*Definition!I$6)</f>
        <v>0</v>
      </c>
      <c r="W176" s="203">
        <f t="shared" si="23"/>
        <v>0</v>
      </c>
      <c r="X176" s="206">
        <f t="shared" si="24"/>
        <v>0</v>
      </c>
    </row>
    <row r="177" spans="12:25">
      <c r="L177" s="423"/>
      <c r="M177" s="68">
        <f>IF(compute_ManualOverrideUI="No", COUNTIFS(UI!E$5:E$14974,UCDEffortSpread!D53, UI!B$5:B$14974,Definition!C$6,UI!D$5:D$14974,Definition!E$3), 0)</f>
        <v>0</v>
      </c>
      <c r="N177" s="68">
        <f>IF(compute_ManualOverrideUI="No", COUNTIFS(UI!E$5:E$14974,UCDEffortSpread!D53, UI!B$5:B$14974,Definition!C$6,UI!D$5:D$14974,Definition!F$3),0)</f>
        <v>0</v>
      </c>
      <c r="O177" s="68">
        <f>IF(compute_ManualOverrideUI="No", COUNTIFS(UI!E$5:E$14974,UCDEffortSpread!D53, UI!B$5:B$14974,Definition!C$6,UI!D$5:D$14974,Definition!G$3),0)</f>
        <v>0</v>
      </c>
      <c r="P177" s="68">
        <f>IF(compute_ManualOverrideUI="No", COUNTIFS(UI!E$5:E$14974,UCDEffortSpread!D53, UI!B$5:B$14974,Definition!C$6,UI!D$5:D$14974,Definition!H$3),0)</f>
        <v>0</v>
      </c>
      <c r="Q177" s="68">
        <f>IF(compute_ManualOverrideUI="No", COUNTIFS(UI!E$5:E$14974,UCDEffortSpread!D53, UI!B$5:B$14974,Definition!C$6,UI!D$5:D$14974,Definition!I$3),0)</f>
        <v>0</v>
      </c>
      <c r="R177" s="202">
        <f>(Definition!M177*Definition!E$6)</f>
        <v>0</v>
      </c>
      <c r="S177" s="202">
        <f>(Definition!N177*Definition!F$6)</f>
        <v>0</v>
      </c>
      <c r="T177" s="202">
        <f>(Definition!O177*Definition!G$6)</f>
        <v>0</v>
      </c>
      <c r="U177" s="202">
        <f>(Definition!P177*Definition!H$6)</f>
        <v>0</v>
      </c>
      <c r="V177" s="202">
        <f>(Definition!Q177*Definition!I$6)</f>
        <v>0</v>
      </c>
      <c r="W177" s="203">
        <f t="shared" si="23"/>
        <v>0</v>
      </c>
      <c r="X177" s="206">
        <f t="shared" si="24"/>
        <v>0</v>
      </c>
    </row>
    <row r="178" spans="12:25">
      <c r="L178" s="424"/>
      <c r="M178" s="68">
        <f>IF(compute_ManualOverrideUI="No", COUNTIFS(UI!E$5:E$14974,UCDEffortSpread!D54, UI!B$5:B$14974,Definition!C$6,UI!D$5:D$14974,Definition!E$3), 0)</f>
        <v>0</v>
      </c>
      <c r="N178" s="68">
        <f>IF(compute_ManualOverrideUI="No", COUNTIFS(UI!E$5:E$14974,UCDEffortSpread!D54, UI!B$5:B$14974,Definition!C$6,UI!D$5:D$14974,Definition!F$3),0)</f>
        <v>0</v>
      </c>
      <c r="O178" s="68">
        <f>IF(compute_ManualOverrideUI="No", COUNTIFS(UI!E$5:E$14974,UCDEffortSpread!D54, UI!B$5:B$14974,Definition!C$6,UI!D$5:D$14974,Definition!G$3),0)</f>
        <v>0</v>
      </c>
      <c r="P178" s="68">
        <f>IF(compute_ManualOverrideUI="No", COUNTIFS(UI!E$5:E$14974,UCDEffortSpread!D54, UI!B$5:B$14974,Definition!C$6,UI!D$5:D$14974,Definition!H$3),0)</f>
        <v>0</v>
      </c>
      <c r="Q178" s="68">
        <f>IF(compute_ManualOverrideUI="No", COUNTIFS(UI!E$5:E$14974,UCDEffortSpread!D54, UI!B$5:B$14974,Definition!C$6,UI!D$5:D$14974,Definition!I$3),0)</f>
        <v>0</v>
      </c>
      <c r="R178" s="202">
        <f>(Definition!M178*Definition!E$6)</f>
        <v>0</v>
      </c>
      <c r="S178" s="202">
        <f>(Definition!N178*Definition!F$6)</f>
        <v>0</v>
      </c>
      <c r="T178" s="202">
        <f>(Definition!O178*Definition!G$6)</f>
        <v>0</v>
      </c>
      <c r="U178" s="202">
        <f>(Definition!P178*Definition!H$6)</f>
        <v>0</v>
      </c>
      <c r="V178" s="202">
        <f>(Definition!Q178*Definition!I$6)</f>
        <v>0</v>
      </c>
      <c r="W178" s="203">
        <f t="shared" si="23"/>
        <v>0</v>
      </c>
      <c r="X178" s="206">
        <f t="shared" si="24"/>
        <v>0</v>
      </c>
    </row>
    <row r="179" spans="12:25">
      <c r="L179" s="422" t="str">
        <f>C8</f>
        <v>Services</v>
      </c>
      <c r="M179" s="68">
        <f>IF(compute_ManualOverrideSPA="No", COUNTIFS(JSMVC!E$5:E$14987,UCDEffortSpread!D5, JSMVC!B$5:B$14987,Definition!C$8,JSMVC!D$5:D$14987,Definition!E$3),JSMVC!H$16)</f>
        <v>0</v>
      </c>
      <c r="N179" s="68">
        <f>IF(compute_ManualOverrideSPA="No", COUNTIFS(JSMVC!E$5:E$14987,UCDEffortSpread!D5, JSMVC!B$5:B$14987,Definition!C$8,JSMVC!D$5:D$14987,Definition!F$3),JSMVC!I$16)</f>
        <v>0</v>
      </c>
      <c r="O179" s="68">
        <f>IF(compute_ManualOverrideSPA="No", COUNTIFS(JSMVC!E$5:E$14987,UCDEffortSpread!D5, JSMVC!B$5:B$14987,Definition!C$8,JSMVC!D$5:D$14987,Definition!G$3),JSMVC!J$16)</f>
        <v>0</v>
      </c>
      <c r="P179" s="68">
        <f>IF(compute_ManualOverrideSPA="No", COUNTIFS(JSMVC!E$5:E$14987,UCDEffortSpread!D5, JSMVC!B$5:B$14987,Definition!C$8,JSMVC!D$5:D$14987,Definition!H$3),JSMVC!K$16)</f>
        <v>0</v>
      </c>
      <c r="Q179" s="68">
        <f>IF(compute_ManualOverrideSPA="No", COUNTIFS(JSMVC!E$5:E$14987,UCDEffortSpread!D5, JSMVC!B$5:B$14987,Definition!C$8,JSMVC!D$5:D$14987,Definition!I$3),JSMVC!L$16)</f>
        <v>0</v>
      </c>
      <c r="R179" s="203">
        <f>(Definition!M179*Definition!E$8)</f>
        <v>0</v>
      </c>
      <c r="S179" s="203">
        <f>(Definition!N179*Definition!F$8)</f>
        <v>0</v>
      </c>
      <c r="T179" s="203">
        <f>(Definition!O179*Definition!G$8)</f>
        <v>0</v>
      </c>
      <c r="U179" s="203">
        <f>(Definition!P179*Definition!H$8)</f>
        <v>0</v>
      </c>
      <c r="V179" s="203">
        <f>(Definition!Q179*Definition!I$8)</f>
        <v>0</v>
      </c>
      <c r="W179" s="204">
        <f>SUM(R179:V179)</f>
        <v>0</v>
      </c>
      <c r="X179" s="206">
        <f>IF(W179&lt;&gt;0,SUM(R179:V179),0)</f>
        <v>0</v>
      </c>
      <c r="Y179" s="3">
        <f>IF(W179&lt;&gt;0,SUM(R179:V179)+(effort_SPA_Catalogue/AA$29),0)</f>
        <v>0</v>
      </c>
    </row>
    <row r="180" spans="12:25">
      <c r="L180" s="423"/>
      <c r="M180" s="68">
        <f>IF(compute_ManualOverrideSPA="No", COUNTIFS(JSMVC!E$5:E$14987,UCDEffortSpread!D6, JSMVC!B$5:B$14987,Definition!C$8,JSMVC!D$5:D$14987,Definition!E$3),0)</f>
        <v>0</v>
      </c>
      <c r="N180" s="68">
        <f>IF(compute_ManualOverrideSPA="No", COUNTIFS(JSMVC!E$5:E$14987,UCDEffortSpread!D6, JSMVC!B$5:B$14987,Definition!C$8,JSMVC!D$5:D$14987,Definition!F$3),0)</f>
        <v>0</v>
      </c>
      <c r="O180" s="68">
        <f>IF(compute_ManualOverrideSPA="No", COUNTIFS(JSMVC!E$5:E$14987,UCDEffortSpread!D6, JSMVC!B$5:B$14987,Definition!C$8,JSMVC!D$5:D$14987,Definition!G$3),0)</f>
        <v>0</v>
      </c>
      <c r="P180" s="68">
        <f>IF(compute_ManualOverrideSPA="No", COUNTIFS(JSMVC!E$5:E$14987,UCDEffortSpread!D6, JSMVC!B$5:B$14987,Definition!C$8,JSMVC!D$5:D$14987,Definition!H$3),0)</f>
        <v>0</v>
      </c>
      <c r="Q180" s="68">
        <f>IF(compute_ManualOverrideSPA="No", COUNTIFS(JSMVC!E$5:E$14987,UCDEffortSpread!D6, JSMVC!B$5:B$14987,Definition!C$8,JSMVC!D$5:D$14987,Definition!I$3),0)</f>
        <v>0</v>
      </c>
      <c r="R180" s="203">
        <f>(Definition!M180*Definition!E$8)</f>
        <v>0</v>
      </c>
      <c r="S180" s="203">
        <f>(Definition!N180*Definition!F$8)</f>
        <v>0</v>
      </c>
      <c r="T180" s="203">
        <f>(Definition!O180*Definition!G$8)</f>
        <v>0</v>
      </c>
      <c r="U180" s="203">
        <f>(Definition!P180*Definition!H$8)</f>
        <v>0</v>
      </c>
      <c r="V180" s="203">
        <f>(Definition!Q180*Definition!I$8)</f>
        <v>0</v>
      </c>
      <c r="W180" s="204">
        <f t="shared" ref="W180:W193" si="25">SUM(R180:V180)</f>
        <v>0</v>
      </c>
      <c r="X180" s="206">
        <f t="shared" ref="X180:X243" si="26">IF(W180&lt;&gt;0,SUM(R180:V180),0)</f>
        <v>0</v>
      </c>
    </row>
    <row r="181" spans="12:25" ht="12.75" customHeight="1">
      <c r="L181" s="423"/>
      <c r="M181" s="68">
        <f>IF(compute_ManualOverrideSPA="No", COUNTIFS(JSMVC!E$5:E$14987,UCDEffortSpread!D7, JSMVC!B$5:B$14987,Definition!C$8,JSMVC!D$5:D$14987,Definition!E$3),0)</f>
        <v>0</v>
      </c>
      <c r="N181" s="68">
        <f>IF(compute_ManualOverrideSPA="No", COUNTIFS(JSMVC!E$5:E$14987,UCDEffortSpread!D7, JSMVC!B$5:B$14987,Definition!C$8,JSMVC!D$5:D$14987,Definition!F$3),0)</f>
        <v>0</v>
      </c>
      <c r="O181" s="68">
        <f>IF(compute_ManualOverrideSPA="No", COUNTIFS(JSMVC!E$5:E$14987,UCDEffortSpread!D7, JSMVC!B$5:B$14987,Definition!C$8,JSMVC!D$5:D$14987,Definition!G$3),0)</f>
        <v>0</v>
      </c>
      <c r="P181" s="68">
        <f>IF(compute_ManualOverrideSPA="No", COUNTIFS(JSMVC!E$5:E$14987,UCDEffortSpread!D7, JSMVC!B$5:B$14987,Definition!C$8,JSMVC!D$5:D$14987,Definition!H$3),0)</f>
        <v>0</v>
      </c>
      <c r="Q181" s="68">
        <f>IF(compute_ManualOverrideSPA="No", COUNTIFS(JSMVC!E$5:E$14987,UCDEffortSpread!D7, JSMVC!B$5:B$14987,Definition!C$8,JSMVC!D$5:D$14987,Definition!I$3),0)</f>
        <v>0</v>
      </c>
      <c r="R181" s="203">
        <f>(Definition!M181*Definition!E$8)</f>
        <v>0</v>
      </c>
      <c r="S181" s="203">
        <f>(Definition!N181*Definition!F$8)</f>
        <v>0</v>
      </c>
      <c r="T181" s="203">
        <f>(Definition!O181*Definition!G$8)</f>
        <v>0</v>
      </c>
      <c r="U181" s="203">
        <f>(Definition!P181*Definition!H$8)</f>
        <v>0</v>
      </c>
      <c r="V181" s="203">
        <f>(Definition!Q181*Definition!I$8)</f>
        <v>0</v>
      </c>
      <c r="W181" s="204">
        <f t="shared" si="25"/>
        <v>0</v>
      </c>
      <c r="X181" s="206">
        <f t="shared" si="26"/>
        <v>0</v>
      </c>
    </row>
    <row r="182" spans="12:25">
      <c r="L182" s="423"/>
      <c r="M182" s="68">
        <f>IF(compute_ManualOverrideSPA="No", COUNTIFS(JSMVC!E$5:E$14987,UCDEffortSpread!D8, JSMVC!B$5:B$14987,Definition!C$8,JSMVC!D$5:D$14987,Definition!E$3),0)</f>
        <v>0</v>
      </c>
      <c r="N182" s="68">
        <f>IF(compute_ManualOverrideSPA="No", COUNTIFS(JSMVC!E$5:E$14987,UCDEffortSpread!D8, JSMVC!B$5:B$14987,Definition!C$8,JSMVC!D$5:D$14987,Definition!F$3),0)</f>
        <v>0</v>
      </c>
      <c r="O182" s="68">
        <f>IF(compute_ManualOverrideSPA="No", COUNTIFS(JSMVC!E$5:E$14987,UCDEffortSpread!D8, JSMVC!B$5:B$14987,Definition!C$8,JSMVC!D$5:D$14987,Definition!G$3),0)</f>
        <v>0</v>
      </c>
      <c r="P182" s="68">
        <f>IF(compute_ManualOverrideSPA="No", COUNTIFS(JSMVC!E$5:E$14987,UCDEffortSpread!D8, JSMVC!B$5:B$14987,Definition!C$8,JSMVC!D$5:D$14987,Definition!H$3),0)</f>
        <v>0</v>
      </c>
      <c r="Q182" s="68">
        <f>IF(compute_ManualOverrideSPA="No", COUNTIFS(JSMVC!E$5:E$14987,UCDEffortSpread!D8, JSMVC!B$5:B$14987,Definition!C$8,JSMVC!D$5:D$14987,Definition!I$3),0)</f>
        <v>0</v>
      </c>
      <c r="R182" s="203">
        <f>(Definition!M182*Definition!E$8)</f>
        <v>0</v>
      </c>
      <c r="S182" s="203">
        <f>(Definition!N182*Definition!F$8)</f>
        <v>0</v>
      </c>
      <c r="T182" s="203">
        <f>(Definition!O182*Definition!G$8)</f>
        <v>0</v>
      </c>
      <c r="U182" s="203">
        <f>(Definition!P182*Definition!H$8)</f>
        <v>0</v>
      </c>
      <c r="V182" s="203">
        <f>(Definition!Q182*Definition!I$8)</f>
        <v>0</v>
      </c>
      <c r="W182" s="204">
        <f t="shared" si="25"/>
        <v>0</v>
      </c>
      <c r="X182" s="206">
        <f t="shared" si="26"/>
        <v>0</v>
      </c>
    </row>
    <row r="183" spans="12:25">
      <c r="L183" s="423"/>
      <c r="M183" s="68">
        <f>IF(compute_ManualOverrideSPA="No", COUNTIFS(JSMVC!E$5:E$14987,UCDEffortSpread!D9, JSMVC!B$5:B$14987,Definition!C$8,JSMVC!D$5:D$14987,Definition!E$3),0)</f>
        <v>0</v>
      </c>
      <c r="N183" s="68">
        <f>IF(compute_ManualOverrideSPA="No", COUNTIFS(JSMVC!E$5:E$14987,UCDEffortSpread!D9, JSMVC!B$5:B$14987,Definition!C$8,JSMVC!D$5:D$14987,Definition!F$3),0)</f>
        <v>0</v>
      </c>
      <c r="O183" s="68">
        <f>IF(compute_ManualOverrideSPA="No", COUNTIFS(JSMVC!E$5:E$14987,UCDEffortSpread!D9, JSMVC!B$5:B$14987,Definition!C$8,JSMVC!D$5:D$14987,Definition!G$3),0)</f>
        <v>0</v>
      </c>
      <c r="P183" s="68">
        <f>IF(compute_ManualOverrideSPA="No", COUNTIFS(JSMVC!E$5:E$14987,UCDEffortSpread!D9, JSMVC!B$5:B$14987,Definition!C$8,JSMVC!D$5:D$14987,Definition!H$3),0)</f>
        <v>0</v>
      </c>
      <c r="Q183" s="68">
        <f>IF(compute_ManualOverrideSPA="No", COUNTIFS(JSMVC!E$5:E$14987,UCDEffortSpread!D9, JSMVC!B$5:B$14987,Definition!C$8,JSMVC!D$5:D$14987,Definition!I$3),0)</f>
        <v>0</v>
      </c>
      <c r="R183" s="203">
        <f>(Definition!M183*Definition!E$8)</f>
        <v>0</v>
      </c>
      <c r="S183" s="203">
        <f>(Definition!N183*Definition!F$8)</f>
        <v>0</v>
      </c>
      <c r="T183" s="203">
        <f>(Definition!O183*Definition!G$8)</f>
        <v>0</v>
      </c>
      <c r="U183" s="203">
        <f>(Definition!P183*Definition!H$8)</f>
        <v>0</v>
      </c>
      <c r="V183" s="203">
        <f>(Definition!Q183*Definition!I$8)</f>
        <v>0</v>
      </c>
      <c r="W183" s="204">
        <f t="shared" si="25"/>
        <v>0</v>
      </c>
      <c r="X183" s="206">
        <f t="shared" si="26"/>
        <v>0</v>
      </c>
    </row>
    <row r="184" spans="12:25">
      <c r="L184" s="423"/>
      <c r="M184" s="68">
        <f>IF(compute_ManualOverrideSPA="No", COUNTIFS(JSMVC!E$5:E$14987,UCDEffortSpread!D10, JSMVC!B$5:B$14987,Definition!C$8,JSMVC!D$5:D$14987,Definition!E$3),0)</f>
        <v>0</v>
      </c>
      <c r="N184" s="68">
        <f>IF(compute_ManualOverrideSPA="No", COUNTIFS(JSMVC!E$5:E$14987,UCDEffortSpread!D10, JSMVC!B$5:B$14987,Definition!C$8,JSMVC!D$5:D$14987,Definition!F$3),0)</f>
        <v>0</v>
      </c>
      <c r="O184" s="68">
        <f>IF(compute_ManualOverrideSPA="No", COUNTIFS(JSMVC!E$5:E$14987,UCDEffortSpread!D10, JSMVC!B$5:B$14987,Definition!C$8,JSMVC!D$5:D$14987,Definition!G$3),0)</f>
        <v>0</v>
      </c>
      <c r="P184" s="68">
        <f>IF(compute_ManualOverrideSPA="No", COUNTIFS(JSMVC!E$5:E$14987,UCDEffortSpread!D10, JSMVC!B$5:B$14987,Definition!C$8,JSMVC!D$5:D$14987,Definition!H$3),0)</f>
        <v>0</v>
      </c>
      <c r="Q184" s="68">
        <f>IF(compute_ManualOverrideSPA="No", COUNTIFS(JSMVC!E$5:E$14987,UCDEffortSpread!D10, JSMVC!B$5:B$14987,Definition!C$8,JSMVC!D$5:D$14987,Definition!I$3),0)</f>
        <v>0</v>
      </c>
      <c r="R184" s="203">
        <f>(Definition!M184*Definition!E$8)</f>
        <v>0</v>
      </c>
      <c r="S184" s="203">
        <f>(Definition!N184*Definition!F$8)</f>
        <v>0</v>
      </c>
      <c r="T184" s="203">
        <f>(Definition!O184*Definition!G$8)</f>
        <v>0</v>
      </c>
      <c r="U184" s="203">
        <f>(Definition!P184*Definition!H$8)</f>
        <v>0</v>
      </c>
      <c r="V184" s="203">
        <f>(Definition!Q184*Definition!I$8)</f>
        <v>0</v>
      </c>
      <c r="W184" s="204">
        <f t="shared" si="25"/>
        <v>0</v>
      </c>
      <c r="X184" s="206">
        <f t="shared" si="26"/>
        <v>0</v>
      </c>
    </row>
    <row r="185" spans="12:25">
      <c r="L185" s="423"/>
      <c r="M185" s="68">
        <f>IF(compute_ManualOverrideSPA="No", COUNTIFS(JSMVC!E$5:E$14987,UCDEffortSpread!D11, JSMVC!B$5:B$14987,Definition!C$8,JSMVC!D$5:D$14987,Definition!E$3),0)</f>
        <v>0</v>
      </c>
      <c r="N185" s="68">
        <f>IF(compute_ManualOverrideSPA="No", COUNTIFS(JSMVC!E$5:E$14987,UCDEffortSpread!D11, JSMVC!B$5:B$14987,Definition!C$8,JSMVC!D$5:D$14987,Definition!F$3),0)</f>
        <v>0</v>
      </c>
      <c r="O185" s="68">
        <f>IF(compute_ManualOverrideSPA="No", COUNTIFS(JSMVC!E$5:E$14987,UCDEffortSpread!D11, JSMVC!B$5:B$14987,Definition!C$8,JSMVC!D$5:D$14987,Definition!G$3),0)</f>
        <v>0</v>
      </c>
      <c r="P185" s="68">
        <f>IF(compute_ManualOverrideSPA="No", COUNTIFS(JSMVC!E$5:E$14987,UCDEffortSpread!D11, JSMVC!B$5:B$14987,Definition!C$8,JSMVC!D$5:D$14987,Definition!H$3),0)</f>
        <v>0</v>
      </c>
      <c r="Q185" s="68">
        <f>IF(compute_ManualOverrideSPA="No", COUNTIFS(JSMVC!E$5:E$14987,UCDEffortSpread!D11, JSMVC!B$5:B$14987,Definition!C$8,JSMVC!D$5:D$14987,Definition!I$3),0)</f>
        <v>0</v>
      </c>
      <c r="R185" s="203">
        <f>(Definition!M185*Definition!E$8)</f>
        <v>0</v>
      </c>
      <c r="S185" s="203">
        <f>(Definition!N185*Definition!F$8)</f>
        <v>0</v>
      </c>
      <c r="T185" s="203">
        <f>(Definition!O185*Definition!G$8)</f>
        <v>0</v>
      </c>
      <c r="U185" s="203">
        <f>(Definition!P185*Definition!H$8)</f>
        <v>0</v>
      </c>
      <c r="V185" s="203">
        <f>(Definition!Q185*Definition!I$8)</f>
        <v>0</v>
      </c>
      <c r="W185" s="204">
        <f t="shared" si="25"/>
        <v>0</v>
      </c>
      <c r="X185" s="206">
        <f t="shared" si="26"/>
        <v>0</v>
      </c>
    </row>
    <row r="186" spans="12:25">
      <c r="L186" s="423"/>
      <c r="M186" s="68">
        <f>IF(compute_ManualOverrideSPA="No", COUNTIFS(JSMVC!E$5:E$14987,UCDEffortSpread!D12, JSMVC!B$5:B$14987,Definition!C$8,JSMVC!D$5:D$14987,Definition!E$3),0)</f>
        <v>0</v>
      </c>
      <c r="N186" s="68">
        <f>IF(compute_ManualOverrideSPA="No", COUNTIFS(JSMVC!E$5:E$14987,UCDEffortSpread!D12, JSMVC!B$5:B$14987,Definition!C$8,JSMVC!D$5:D$14987,Definition!F$3),0)</f>
        <v>0</v>
      </c>
      <c r="O186" s="68">
        <f>IF(compute_ManualOverrideSPA="No", COUNTIFS(JSMVC!E$5:E$14987,UCDEffortSpread!D12, JSMVC!B$5:B$14987,Definition!C$8,JSMVC!D$5:D$14987,Definition!G$3),0)</f>
        <v>0</v>
      </c>
      <c r="P186" s="68">
        <f>IF(compute_ManualOverrideSPA="No", COUNTIFS(JSMVC!E$5:E$14987,UCDEffortSpread!D12, JSMVC!B$5:B$14987,Definition!C$8,JSMVC!D$5:D$14987,Definition!H$3),0)</f>
        <v>0</v>
      </c>
      <c r="Q186" s="68">
        <f>IF(compute_ManualOverrideSPA="No", COUNTIFS(JSMVC!E$5:E$14987,UCDEffortSpread!D12, JSMVC!B$5:B$14987,Definition!C$8,JSMVC!D$5:D$14987,Definition!I$3),0)</f>
        <v>0</v>
      </c>
      <c r="R186" s="203">
        <f>(Definition!M186*Definition!E$8)</f>
        <v>0</v>
      </c>
      <c r="S186" s="203">
        <f>(Definition!N186*Definition!F$8)</f>
        <v>0</v>
      </c>
      <c r="T186" s="203">
        <f>(Definition!O186*Definition!G$8)</f>
        <v>0</v>
      </c>
      <c r="U186" s="203">
        <f>(Definition!P186*Definition!H$8)</f>
        <v>0</v>
      </c>
      <c r="V186" s="203">
        <f>(Definition!Q186*Definition!I$8)</f>
        <v>0</v>
      </c>
      <c r="W186" s="204">
        <f t="shared" si="25"/>
        <v>0</v>
      </c>
      <c r="X186" s="206">
        <f t="shared" si="26"/>
        <v>0</v>
      </c>
    </row>
    <row r="187" spans="12:25">
      <c r="L187" s="423"/>
      <c r="M187" s="68">
        <f>IF(compute_ManualOverrideSPA="No", COUNTIFS(JSMVC!E$5:E$14987,UCDEffortSpread!D13, JSMVC!B$5:B$14987,Definition!C$8,JSMVC!D$5:D$14987,Definition!E$3),0)</f>
        <v>0</v>
      </c>
      <c r="N187" s="68">
        <f>IF(compute_ManualOverrideSPA="No", COUNTIFS(JSMVC!E$5:E$14987,UCDEffortSpread!D13, JSMVC!B$5:B$14987,Definition!C$8,JSMVC!D$5:D$14987,Definition!F$3),0)</f>
        <v>0</v>
      </c>
      <c r="O187" s="68">
        <f>IF(compute_ManualOverrideSPA="No", COUNTIFS(JSMVC!E$5:E$14987,UCDEffortSpread!D13, JSMVC!B$5:B$14987,Definition!C$8,JSMVC!D$5:D$14987,Definition!G$3),0)</f>
        <v>0</v>
      </c>
      <c r="P187" s="68">
        <f>IF(compute_ManualOverrideSPA="No", COUNTIFS(JSMVC!E$5:E$14987,UCDEffortSpread!D13, JSMVC!B$5:B$14987,Definition!C$8,JSMVC!D$5:D$14987,Definition!H$3),0)</f>
        <v>0</v>
      </c>
      <c r="Q187" s="68">
        <f>IF(compute_ManualOverrideSPA="No", COUNTIFS(JSMVC!E$5:E$14987,UCDEffortSpread!D13, JSMVC!B$5:B$14987,Definition!C$8,JSMVC!D$5:D$14987,Definition!I$3),0)</f>
        <v>0</v>
      </c>
      <c r="R187" s="203">
        <f>(Definition!M187*Definition!E$8)</f>
        <v>0</v>
      </c>
      <c r="S187" s="203">
        <f>(Definition!N187*Definition!F$8)</f>
        <v>0</v>
      </c>
      <c r="T187" s="203">
        <f>(Definition!O187*Definition!G$8)</f>
        <v>0</v>
      </c>
      <c r="U187" s="203">
        <f>(Definition!P187*Definition!H$8)</f>
        <v>0</v>
      </c>
      <c r="V187" s="203">
        <f>(Definition!Q187*Definition!I$8)</f>
        <v>0</v>
      </c>
      <c r="W187" s="204">
        <f t="shared" si="25"/>
        <v>0</v>
      </c>
      <c r="X187" s="206">
        <f t="shared" si="26"/>
        <v>0</v>
      </c>
    </row>
    <row r="188" spans="12:25">
      <c r="L188" s="423"/>
      <c r="M188" s="68">
        <f>IF(compute_ManualOverrideSPA="No", COUNTIFS(JSMVC!E$5:E$14987,UCDEffortSpread!D14, JSMVC!B$5:B$14987,Definition!C$8,JSMVC!D$5:D$14987,Definition!E$3),0)</f>
        <v>0</v>
      </c>
      <c r="N188" s="68">
        <f>IF(compute_ManualOverrideSPA="No", COUNTIFS(JSMVC!E$5:E$14987,UCDEffortSpread!D14, JSMVC!B$5:B$14987,Definition!C$8,JSMVC!D$5:D$14987,Definition!F$3),0)</f>
        <v>0</v>
      </c>
      <c r="O188" s="68">
        <f>IF(compute_ManualOverrideSPA="No", COUNTIFS(JSMVC!E$5:E$14987,UCDEffortSpread!D14, JSMVC!B$5:B$14987,Definition!C$8,JSMVC!D$5:D$14987,Definition!G$3),0)</f>
        <v>0</v>
      </c>
      <c r="P188" s="68">
        <f>IF(compute_ManualOverrideSPA="No", COUNTIFS(JSMVC!E$5:E$14987,UCDEffortSpread!D14, JSMVC!B$5:B$14987,Definition!C$8,JSMVC!D$5:D$14987,Definition!H$3),0)</f>
        <v>0</v>
      </c>
      <c r="Q188" s="68">
        <f>IF(compute_ManualOverrideSPA="No", COUNTIFS(JSMVC!E$5:E$14987,UCDEffortSpread!D14, JSMVC!B$5:B$14987,Definition!C$8,JSMVC!D$5:D$14987,Definition!I$3),0)</f>
        <v>0</v>
      </c>
      <c r="R188" s="203">
        <f>(Definition!M188*Definition!E$8)</f>
        <v>0</v>
      </c>
      <c r="S188" s="203">
        <f>(Definition!N188*Definition!F$8)</f>
        <v>0</v>
      </c>
      <c r="T188" s="203">
        <f>(Definition!O188*Definition!G$8)</f>
        <v>0</v>
      </c>
      <c r="U188" s="203">
        <f>(Definition!P188*Definition!H$8)</f>
        <v>0</v>
      </c>
      <c r="V188" s="203">
        <f>(Definition!Q188*Definition!I$8)</f>
        <v>0</v>
      </c>
      <c r="W188" s="204">
        <f t="shared" si="25"/>
        <v>0</v>
      </c>
      <c r="X188" s="206">
        <f t="shared" si="26"/>
        <v>0</v>
      </c>
    </row>
    <row r="189" spans="12:25">
      <c r="L189" s="423"/>
      <c r="M189" s="68">
        <f>IF(compute_ManualOverrideSPA="No", COUNTIFS(JSMVC!E$5:E$14987,UCDEffortSpread!D15, JSMVC!B$5:B$14987,Definition!C$8,JSMVC!D$5:D$14987,Definition!E$3),0)</f>
        <v>0</v>
      </c>
      <c r="N189" s="68">
        <f>IF(compute_ManualOverrideSPA="No", COUNTIFS(JSMVC!E$5:E$14987,UCDEffortSpread!D15, JSMVC!B$5:B$14987,Definition!C$8,JSMVC!D$5:D$14987,Definition!F$3),0)</f>
        <v>0</v>
      </c>
      <c r="O189" s="68">
        <f>IF(compute_ManualOverrideSPA="No", COUNTIFS(JSMVC!E$5:E$14987,UCDEffortSpread!D15, JSMVC!B$5:B$14987,Definition!C$8,JSMVC!D$5:D$14987,Definition!G$3),0)</f>
        <v>0</v>
      </c>
      <c r="P189" s="68">
        <f>IF(compute_ManualOverrideSPA="No", COUNTIFS(JSMVC!E$5:E$14987,UCDEffortSpread!D15, JSMVC!B$5:B$14987,Definition!C$8,JSMVC!D$5:D$14987,Definition!H$3),0)</f>
        <v>0</v>
      </c>
      <c r="Q189" s="68">
        <f>IF(compute_ManualOverrideSPA="No", COUNTIFS(JSMVC!E$5:E$14987,UCDEffortSpread!D15, JSMVC!B$5:B$14987,Definition!C$8,JSMVC!D$5:D$14987,Definition!I$3),0)</f>
        <v>0</v>
      </c>
      <c r="R189" s="203">
        <f>(Definition!M189*Definition!E$8)</f>
        <v>0</v>
      </c>
      <c r="S189" s="203">
        <f>(Definition!N189*Definition!F$8)</f>
        <v>0</v>
      </c>
      <c r="T189" s="203">
        <f>(Definition!O189*Definition!G$8)</f>
        <v>0</v>
      </c>
      <c r="U189" s="203">
        <f>(Definition!P189*Definition!H$8)</f>
        <v>0</v>
      </c>
      <c r="V189" s="203">
        <f>(Definition!Q189*Definition!I$8)</f>
        <v>0</v>
      </c>
      <c r="W189" s="204">
        <f t="shared" si="25"/>
        <v>0</v>
      </c>
      <c r="X189" s="206">
        <f t="shared" si="26"/>
        <v>0</v>
      </c>
    </row>
    <row r="190" spans="12:25">
      <c r="L190" s="423"/>
      <c r="M190" s="68">
        <f>IF(compute_ManualOverrideSPA="No", COUNTIFS(JSMVC!E$5:E$14987,UCDEffortSpread!D16, JSMVC!B$5:B$14987,Definition!C$8,JSMVC!D$5:D$14987,Definition!E$3),0)</f>
        <v>0</v>
      </c>
      <c r="N190" s="68">
        <f>IF(compute_ManualOverrideSPA="No", COUNTIFS(JSMVC!E$5:E$14987,UCDEffortSpread!D16, JSMVC!B$5:B$14987,Definition!C$8,JSMVC!D$5:D$14987,Definition!F$3),0)</f>
        <v>0</v>
      </c>
      <c r="O190" s="68">
        <f>IF(compute_ManualOverrideSPA="No", COUNTIFS(JSMVC!E$5:E$14987,UCDEffortSpread!D16, JSMVC!B$5:B$14987,Definition!C$8,JSMVC!D$5:D$14987,Definition!G$3),0)</f>
        <v>0</v>
      </c>
      <c r="P190" s="68">
        <f>IF(compute_ManualOverrideSPA="No", COUNTIFS(JSMVC!E$5:E$14987,UCDEffortSpread!D16, JSMVC!B$5:B$14987,Definition!C$8,JSMVC!D$5:D$14987,Definition!H$3),0)</f>
        <v>0</v>
      </c>
      <c r="Q190" s="68">
        <f>IF(compute_ManualOverrideSPA="No", COUNTIFS(JSMVC!E$5:E$14987,UCDEffortSpread!D16, JSMVC!B$5:B$14987,Definition!C$8,JSMVC!D$5:D$14987,Definition!I$3),0)</f>
        <v>0</v>
      </c>
      <c r="R190" s="203">
        <f>(Definition!M190*Definition!E$8)</f>
        <v>0</v>
      </c>
      <c r="S190" s="203">
        <f>(Definition!N190*Definition!F$8)</f>
        <v>0</v>
      </c>
      <c r="T190" s="203">
        <f>(Definition!O190*Definition!G$8)</f>
        <v>0</v>
      </c>
      <c r="U190" s="203">
        <f>(Definition!P190*Definition!H$8)</f>
        <v>0</v>
      </c>
      <c r="V190" s="203">
        <f>(Definition!Q190*Definition!I$8)</f>
        <v>0</v>
      </c>
      <c r="W190" s="204">
        <f t="shared" si="25"/>
        <v>0</v>
      </c>
      <c r="X190" s="206">
        <f t="shared" si="26"/>
        <v>0</v>
      </c>
    </row>
    <row r="191" spans="12:25">
      <c r="L191" s="423"/>
      <c r="M191" s="68">
        <f>IF(compute_ManualOverrideSPA="No", COUNTIFS(JSMVC!E$5:E$14987,UCDEffortSpread!D17, JSMVC!B$5:B$14987,Definition!C$8,JSMVC!D$5:D$14987,Definition!E$3),0)</f>
        <v>0</v>
      </c>
      <c r="N191" s="68">
        <f>IF(compute_ManualOverrideSPA="No", COUNTIFS(JSMVC!E$5:E$14987,UCDEffortSpread!D17, JSMVC!B$5:B$14987,Definition!C$8,JSMVC!D$5:D$14987,Definition!F$3),0)</f>
        <v>0</v>
      </c>
      <c r="O191" s="68">
        <f>IF(compute_ManualOverrideSPA="No", COUNTIFS(JSMVC!E$5:E$14987,UCDEffortSpread!D17, JSMVC!B$5:B$14987,Definition!C$8,JSMVC!D$5:D$14987,Definition!G$3),0)</f>
        <v>0</v>
      </c>
      <c r="P191" s="68">
        <f>IF(compute_ManualOverrideSPA="No", COUNTIFS(JSMVC!E$5:E$14987,UCDEffortSpread!D17, JSMVC!B$5:B$14987,Definition!C$8,JSMVC!D$5:D$14987,Definition!H$3),0)</f>
        <v>0</v>
      </c>
      <c r="Q191" s="68">
        <f>IF(compute_ManualOverrideSPA="No", COUNTIFS(JSMVC!E$5:E$14987,UCDEffortSpread!D17, JSMVC!B$5:B$14987,Definition!C$8,JSMVC!D$5:D$14987,Definition!I$3),0)</f>
        <v>0</v>
      </c>
      <c r="R191" s="203">
        <f>(Definition!M191*Definition!E$8)</f>
        <v>0</v>
      </c>
      <c r="S191" s="203">
        <f>(Definition!N191*Definition!F$8)</f>
        <v>0</v>
      </c>
      <c r="T191" s="203">
        <f>(Definition!O191*Definition!G$8)</f>
        <v>0</v>
      </c>
      <c r="U191" s="203">
        <f>(Definition!P191*Definition!H$8)</f>
        <v>0</v>
      </c>
      <c r="V191" s="203">
        <f>(Definition!Q191*Definition!I$8)</f>
        <v>0</v>
      </c>
      <c r="W191" s="204">
        <f t="shared" si="25"/>
        <v>0</v>
      </c>
      <c r="X191" s="206">
        <f t="shared" si="26"/>
        <v>0</v>
      </c>
    </row>
    <row r="192" spans="12:25">
      <c r="L192" s="423"/>
      <c r="M192" s="68">
        <f>IF(compute_ManualOverrideSPA="No", COUNTIFS(JSMVC!E$5:E$14987,UCDEffortSpread!D18, JSMVC!B$5:B$14987,Definition!C$8,JSMVC!D$5:D$14987,Definition!E$3),0)</f>
        <v>0</v>
      </c>
      <c r="N192" s="68">
        <f>IF(compute_ManualOverrideSPA="No", COUNTIFS(JSMVC!E$5:E$14987,UCDEffortSpread!D18, JSMVC!B$5:B$14987,Definition!C$8,JSMVC!D$5:D$14987,Definition!F$3),0)</f>
        <v>0</v>
      </c>
      <c r="O192" s="68">
        <f>IF(compute_ManualOverrideSPA="No", COUNTIFS(JSMVC!E$5:E$14987,UCDEffortSpread!D18, JSMVC!B$5:B$14987,Definition!C$8,JSMVC!D$5:D$14987,Definition!G$3),0)</f>
        <v>0</v>
      </c>
      <c r="P192" s="68">
        <f>IF(compute_ManualOverrideSPA="No", COUNTIFS(JSMVC!E$5:E$14987,UCDEffortSpread!D18, JSMVC!B$5:B$14987,Definition!C$8,JSMVC!D$5:D$14987,Definition!H$3),0)</f>
        <v>0</v>
      </c>
      <c r="Q192" s="68">
        <f>IF(compute_ManualOverrideSPA="No", COUNTIFS(JSMVC!E$5:E$14987,UCDEffortSpread!D18, JSMVC!B$5:B$14987,Definition!C$8,JSMVC!D$5:D$14987,Definition!I$3),0)</f>
        <v>0</v>
      </c>
      <c r="R192" s="203">
        <f>(Definition!M192*Definition!E$8)</f>
        <v>0</v>
      </c>
      <c r="S192" s="203">
        <f>(Definition!N192*Definition!F$8)</f>
        <v>0</v>
      </c>
      <c r="T192" s="203">
        <f>(Definition!O192*Definition!G$8)</f>
        <v>0</v>
      </c>
      <c r="U192" s="203">
        <f>(Definition!P192*Definition!H$8)</f>
        <v>0</v>
      </c>
      <c r="V192" s="203">
        <f>(Definition!Q192*Definition!I$8)</f>
        <v>0</v>
      </c>
      <c r="W192" s="204">
        <f t="shared" si="25"/>
        <v>0</v>
      </c>
      <c r="X192" s="206">
        <f t="shared" si="26"/>
        <v>0</v>
      </c>
    </row>
    <row r="193" spans="12:24">
      <c r="L193" s="423"/>
      <c r="M193" s="68">
        <f>IF(compute_ManualOverrideSPA="No", COUNTIFS(JSMVC!E$5:E$14987,UCDEffortSpread!D19, JSMVC!B$5:B$14987,Definition!C$8,JSMVC!D$5:D$14987,Definition!E$3),0)</f>
        <v>0</v>
      </c>
      <c r="N193" s="68">
        <f>IF(compute_ManualOverrideSPA="No", COUNTIFS(JSMVC!E$5:E$14987,UCDEffortSpread!D19, JSMVC!B$5:B$14987,Definition!C$8,JSMVC!D$5:D$14987,Definition!F$3),0)</f>
        <v>0</v>
      </c>
      <c r="O193" s="68">
        <f>IF(compute_ManualOverrideSPA="No", COUNTIFS(JSMVC!E$5:E$14987,UCDEffortSpread!D19, JSMVC!B$5:B$14987,Definition!C$8,JSMVC!D$5:D$14987,Definition!G$3),0)</f>
        <v>0</v>
      </c>
      <c r="P193" s="68">
        <f>IF(compute_ManualOverrideSPA="No", COUNTIFS(JSMVC!E$5:E$14987,UCDEffortSpread!D19, JSMVC!B$5:B$14987,Definition!C$8,JSMVC!D$5:D$14987,Definition!H$3),0)</f>
        <v>0</v>
      </c>
      <c r="Q193" s="68">
        <f>IF(compute_ManualOverrideSPA="No", COUNTIFS(JSMVC!E$5:E$14987,UCDEffortSpread!D19, JSMVC!B$5:B$14987,Definition!C$8,JSMVC!D$5:D$14987,Definition!I$3),0)</f>
        <v>0</v>
      </c>
      <c r="R193" s="203">
        <f>(Definition!M193*Definition!E$8)</f>
        <v>0</v>
      </c>
      <c r="S193" s="203">
        <f>(Definition!N193*Definition!F$8)</f>
        <v>0</v>
      </c>
      <c r="T193" s="203">
        <f>(Definition!O193*Definition!G$8)</f>
        <v>0</v>
      </c>
      <c r="U193" s="203">
        <f>(Definition!P193*Definition!H$8)</f>
        <v>0</v>
      </c>
      <c r="V193" s="203">
        <f>(Definition!Q193*Definition!I$8)</f>
        <v>0</v>
      </c>
      <c r="W193" s="204">
        <f t="shared" si="25"/>
        <v>0</v>
      </c>
      <c r="X193" s="206">
        <f t="shared" si="26"/>
        <v>0</v>
      </c>
    </row>
    <row r="194" spans="12:24">
      <c r="L194" s="423"/>
      <c r="M194" s="68">
        <f>IF(compute_ManualOverrideSPA="No", COUNTIFS(JSMVC!E$5:E$14987,UCDEffortSpread!D20, JSMVC!B$5:B$14987,Definition!C$8,JSMVC!D$5:D$14987,Definition!E$3),0)</f>
        <v>0</v>
      </c>
      <c r="N194" s="68">
        <f>IF(compute_ManualOverrideSPA="No", COUNTIFS(JSMVC!E$5:E$14987,UCDEffortSpread!D20, JSMVC!B$5:B$14987,Definition!C$8,JSMVC!D$5:D$14987,Definition!F$3),0)</f>
        <v>0</v>
      </c>
      <c r="O194" s="68">
        <f>IF(compute_ManualOverrideSPA="No", COUNTIFS(JSMVC!E$5:E$14987,UCDEffortSpread!D20, JSMVC!B$5:B$14987,Definition!C$8,JSMVC!D$5:D$14987,Definition!G$3),0)</f>
        <v>0</v>
      </c>
      <c r="P194" s="68">
        <f>IF(compute_ManualOverrideSPA="No", COUNTIFS(JSMVC!E$5:E$14987,UCDEffortSpread!D20, JSMVC!B$5:B$14987,Definition!C$8,JSMVC!D$5:D$14987,Definition!H$3),0)</f>
        <v>0</v>
      </c>
      <c r="Q194" s="68">
        <f>IF(compute_ManualOverrideSPA="No", COUNTIFS(JSMVC!E$5:E$14987,UCDEffortSpread!D20, JSMVC!B$5:B$14987,Definition!C$8,JSMVC!D$5:D$14987,Definition!I$3),0)</f>
        <v>0</v>
      </c>
      <c r="R194" s="203">
        <f>(Definition!M194*Definition!E$8)</f>
        <v>0</v>
      </c>
      <c r="S194" s="203">
        <f>(Definition!N194*Definition!F$8)</f>
        <v>0</v>
      </c>
      <c r="T194" s="203">
        <f>(Definition!O194*Definition!G$8)</f>
        <v>0</v>
      </c>
      <c r="U194" s="203">
        <f>(Definition!P194*Definition!H$8)</f>
        <v>0</v>
      </c>
      <c r="V194" s="203">
        <f>(Definition!Q194*Definition!I$8)</f>
        <v>0</v>
      </c>
      <c r="W194" s="204">
        <f t="shared" ref="W194:W228" si="27">SUM(R194:V194)</f>
        <v>0</v>
      </c>
      <c r="X194" s="206">
        <f t="shared" si="26"/>
        <v>0</v>
      </c>
    </row>
    <row r="195" spans="12:24">
      <c r="L195" s="423"/>
      <c r="M195" s="68">
        <f>IF(compute_ManualOverrideSPA="No", COUNTIFS(JSMVC!E$5:E$14987,UCDEffortSpread!D21, JSMVC!B$5:B$14987,Definition!C$8,JSMVC!D$5:D$14987,Definition!E$3),0)</f>
        <v>0</v>
      </c>
      <c r="N195" s="68">
        <f>IF(compute_ManualOverrideSPA="No", COUNTIFS(JSMVC!E$5:E$14987,UCDEffortSpread!D21, JSMVC!B$5:B$14987,Definition!C$8,JSMVC!D$5:D$14987,Definition!F$3),0)</f>
        <v>0</v>
      </c>
      <c r="O195" s="68">
        <f>IF(compute_ManualOverrideSPA="No", COUNTIFS(JSMVC!E$5:E$14987,UCDEffortSpread!D21, JSMVC!B$5:B$14987,Definition!C$8,JSMVC!D$5:D$14987,Definition!G$3),0)</f>
        <v>0</v>
      </c>
      <c r="P195" s="68">
        <f>IF(compute_ManualOverrideSPA="No", COUNTIFS(JSMVC!E$5:E$14987,UCDEffortSpread!D21, JSMVC!B$5:B$14987,Definition!C$8,JSMVC!D$5:D$14987,Definition!H$3),0)</f>
        <v>0</v>
      </c>
      <c r="Q195" s="68">
        <f>IF(compute_ManualOverrideSPA="No", COUNTIFS(JSMVC!E$5:E$14987,UCDEffortSpread!D21, JSMVC!B$5:B$14987,Definition!C$8,JSMVC!D$5:D$14987,Definition!I$3),0)</f>
        <v>0</v>
      </c>
      <c r="R195" s="203">
        <f>(Definition!M195*Definition!E$8)</f>
        <v>0</v>
      </c>
      <c r="S195" s="203">
        <f>(Definition!N195*Definition!F$8)</f>
        <v>0</v>
      </c>
      <c r="T195" s="203">
        <f>(Definition!O195*Definition!G$8)</f>
        <v>0</v>
      </c>
      <c r="U195" s="203">
        <f>(Definition!P195*Definition!H$8)</f>
        <v>0</v>
      </c>
      <c r="V195" s="203">
        <f>(Definition!Q195*Definition!I$8)</f>
        <v>0</v>
      </c>
      <c r="W195" s="204">
        <f t="shared" si="27"/>
        <v>0</v>
      </c>
      <c r="X195" s="206">
        <f t="shared" si="26"/>
        <v>0</v>
      </c>
    </row>
    <row r="196" spans="12:24">
      <c r="L196" s="423"/>
      <c r="M196" s="68">
        <f>IF(compute_ManualOverrideSPA="No", COUNTIFS(JSMVC!E$5:E$14987,UCDEffortSpread!D22, JSMVC!B$5:B$14987,Definition!C$8,JSMVC!D$5:D$14987,Definition!E$3),0)</f>
        <v>0</v>
      </c>
      <c r="N196" s="68">
        <f>IF(compute_ManualOverrideSPA="No", COUNTIFS(JSMVC!E$5:E$14987,UCDEffortSpread!D22, JSMVC!B$5:B$14987,Definition!C$8,JSMVC!D$5:D$14987,Definition!F$3),0)</f>
        <v>0</v>
      </c>
      <c r="O196" s="68">
        <f>IF(compute_ManualOverrideSPA="No", COUNTIFS(JSMVC!E$5:E$14987,UCDEffortSpread!D22, JSMVC!B$5:B$14987,Definition!C$8,JSMVC!D$5:D$14987,Definition!G$3),0)</f>
        <v>0</v>
      </c>
      <c r="P196" s="68">
        <f>IF(compute_ManualOverrideSPA="No", COUNTIFS(JSMVC!E$5:E$14987,UCDEffortSpread!D22, JSMVC!B$5:B$14987,Definition!C$8,JSMVC!D$5:D$14987,Definition!H$3),0)</f>
        <v>0</v>
      </c>
      <c r="Q196" s="68">
        <f>IF(compute_ManualOverrideSPA="No", COUNTIFS(JSMVC!E$5:E$14987,UCDEffortSpread!D22, JSMVC!B$5:B$14987,Definition!C$8,JSMVC!D$5:D$14987,Definition!I$3),0)</f>
        <v>0</v>
      </c>
      <c r="R196" s="203">
        <f>(Definition!M196*Definition!E$8)</f>
        <v>0</v>
      </c>
      <c r="S196" s="203">
        <f>(Definition!N196*Definition!F$8)</f>
        <v>0</v>
      </c>
      <c r="T196" s="203">
        <f>(Definition!O196*Definition!G$8)</f>
        <v>0</v>
      </c>
      <c r="U196" s="203">
        <f>(Definition!P196*Definition!H$8)</f>
        <v>0</v>
      </c>
      <c r="V196" s="203">
        <f>(Definition!Q196*Definition!I$8)</f>
        <v>0</v>
      </c>
      <c r="W196" s="204">
        <f t="shared" si="27"/>
        <v>0</v>
      </c>
      <c r="X196" s="206">
        <f t="shared" si="26"/>
        <v>0</v>
      </c>
    </row>
    <row r="197" spans="12:24">
      <c r="L197" s="423"/>
      <c r="M197" s="68">
        <f>IF(compute_ManualOverrideSPA="No", COUNTIFS(JSMVC!E$5:E$14987,UCDEffortSpread!D23, JSMVC!B$5:B$14987,Definition!C$8,JSMVC!D$5:D$14987,Definition!E$3),0)</f>
        <v>0</v>
      </c>
      <c r="N197" s="68">
        <f>IF(compute_ManualOverrideSPA="No", COUNTIFS(JSMVC!E$5:E$14987,UCDEffortSpread!D23, JSMVC!B$5:B$14987,Definition!C$8,JSMVC!D$5:D$14987,Definition!F$3),0)</f>
        <v>0</v>
      </c>
      <c r="O197" s="68">
        <f>IF(compute_ManualOverrideSPA="No", COUNTIFS(JSMVC!E$5:E$14987,UCDEffortSpread!D23, JSMVC!B$5:B$14987,Definition!C$8,JSMVC!D$5:D$14987,Definition!G$3),0)</f>
        <v>0</v>
      </c>
      <c r="P197" s="68">
        <f>IF(compute_ManualOverrideSPA="No", COUNTIFS(JSMVC!E$5:E$14987,UCDEffortSpread!D23, JSMVC!B$5:B$14987,Definition!C$8,JSMVC!D$5:D$14987,Definition!H$3),0)</f>
        <v>0</v>
      </c>
      <c r="Q197" s="68">
        <f>IF(compute_ManualOverrideSPA="No", COUNTIFS(JSMVC!E$5:E$14987,UCDEffortSpread!D23, JSMVC!B$5:B$14987,Definition!C$8,JSMVC!D$5:D$14987,Definition!I$3),0)</f>
        <v>0</v>
      </c>
      <c r="R197" s="203">
        <f>(Definition!M197*Definition!E$8)</f>
        <v>0</v>
      </c>
      <c r="S197" s="203">
        <f>(Definition!N197*Definition!F$8)</f>
        <v>0</v>
      </c>
      <c r="T197" s="203">
        <f>(Definition!O197*Definition!G$8)</f>
        <v>0</v>
      </c>
      <c r="U197" s="203">
        <f>(Definition!P197*Definition!H$8)</f>
        <v>0</v>
      </c>
      <c r="V197" s="203">
        <f>(Definition!Q197*Definition!I$8)</f>
        <v>0</v>
      </c>
      <c r="W197" s="204">
        <f t="shared" si="27"/>
        <v>0</v>
      </c>
      <c r="X197" s="206">
        <f t="shared" si="26"/>
        <v>0</v>
      </c>
    </row>
    <row r="198" spans="12:24">
      <c r="L198" s="423"/>
      <c r="M198" s="68">
        <f>IF(compute_ManualOverrideSPA="No", COUNTIFS(JSMVC!E$5:E$14987,UCDEffortSpread!D24, JSMVC!B$5:B$14987,Definition!C$8,JSMVC!D$5:D$14987,Definition!E$3),0)</f>
        <v>0</v>
      </c>
      <c r="N198" s="68">
        <f>IF(compute_ManualOverrideSPA="No", COUNTIFS(JSMVC!E$5:E$14987,UCDEffortSpread!D24, JSMVC!B$5:B$14987,Definition!C$8,JSMVC!D$5:D$14987,Definition!F$3),0)</f>
        <v>0</v>
      </c>
      <c r="O198" s="68">
        <f>IF(compute_ManualOverrideSPA="No", COUNTIFS(JSMVC!E$5:E$14987,UCDEffortSpread!D24, JSMVC!B$5:B$14987,Definition!C$8,JSMVC!D$5:D$14987,Definition!G$3),0)</f>
        <v>0</v>
      </c>
      <c r="P198" s="68">
        <f>IF(compute_ManualOverrideSPA="No", COUNTIFS(JSMVC!E$5:E$14987,UCDEffortSpread!D24, JSMVC!B$5:B$14987,Definition!C$8,JSMVC!D$5:D$14987,Definition!H$3),0)</f>
        <v>0</v>
      </c>
      <c r="Q198" s="68">
        <f>IF(compute_ManualOverrideSPA="No", COUNTIFS(JSMVC!E$5:E$14987,UCDEffortSpread!D24, JSMVC!B$5:B$14987,Definition!C$8,JSMVC!D$5:D$14987,Definition!I$3),0)</f>
        <v>0</v>
      </c>
      <c r="R198" s="203">
        <f>(Definition!M198*Definition!E$8)</f>
        <v>0</v>
      </c>
      <c r="S198" s="203">
        <f>(Definition!N198*Definition!F$8)</f>
        <v>0</v>
      </c>
      <c r="T198" s="203">
        <f>(Definition!O198*Definition!G$8)</f>
        <v>0</v>
      </c>
      <c r="U198" s="203">
        <f>(Definition!P198*Definition!H$8)</f>
        <v>0</v>
      </c>
      <c r="V198" s="203">
        <f>(Definition!Q198*Definition!I$8)</f>
        <v>0</v>
      </c>
      <c r="W198" s="204">
        <f t="shared" si="27"/>
        <v>0</v>
      </c>
      <c r="X198" s="206">
        <f t="shared" si="26"/>
        <v>0</v>
      </c>
    </row>
    <row r="199" spans="12:24">
      <c r="L199" s="423"/>
      <c r="M199" s="68">
        <f>IF(compute_ManualOverrideSPA="No", COUNTIFS(JSMVC!E$5:E$14987,UCDEffortSpread!D25, JSMVC!B$5:B$14987,Definition!C$8,JSMVC!D$5:D$14987,Definition!E$3),0)</f>
        <v>0</v>
      </c>
      <c r="N199" s="68">
        <f>IF(compute_ManualOverrideSPA="No", COUNTIFS(JSMVC!E$5:E$14987,UCDEffortSpread!D25, JSMVC!B$5:B$14987,Definition!C$8,JSMVC!D$5:D$14987,Definition!F$3),0)</f>
        <v>0</v>
      </c>
      <c r="O199" s="68">
        <f>IF(compute_ManualOverrideSPA="No", COUNTIFS(JSMVC!E$5:E$14987,UCDEffortSpread!D25, JSMVC!B$5:B$14987,Definition!C$8,JSMVC!D$5:D$14987,Definition!G$3),0)</f>
        <v>0</v>
      </c>
      <c r="P199" s="68">
        <f>IF(compute_ManualOverrideSPA="No", COUNTIFS(JSMVC!E$5:E$14987,UCDEffortSpread!D25, JSMVC!B$5:B$14987,Definition!C$8,JSMVC!D$5:D$14987,Definition!H$3),0)</f>
        <v>0</v>
      </c>
      <c r="Q199" s="68">
        <f>IF(compute_ManualOverrideSPA="No", COUNTIFS(JSMVC!E$5:E$14987,UCDEffortSpread!D25, JSMVC!B$5:B$14987,Definition!C$8,JSMVC!D$5:D$14987,Definition!I$3),0)</f>
        <v>0</v>
      </c>
      <c r="R199" s="203">
        <f>(Definition!M199*Definition!E$8)</f>
        <v>0</v>
      </c>
      <c r="S199" s="203">
        <f>(Definition!N199*Definition!F$8)</f>
        <v>0</v>
      </c>
      <c r="T199" s="203">
        <f>(Definition!O199*Definition!G$8)</f>
        <v>0</v>
      </c>
      <c r="U199" s="203">
        <f>(Definition!P199*Definition!H$8)</f>
        <v>0</v>
      </c>
      <c r="V199" s="203">
        <f>(Definition!Q199*Definition!I$8)</f>
        <v>0</v>
      </c>
      <c r="W199" s="204">
        <f t="shared" si="27"/>
        <v>0</v>
      </c>
      <c r="X199" s="206">
        <f t="shared" si="26"/>
        <v>0</v>
      </c>
    </row>
    <row r="200" spans="12:24">
      <c r="L200" s="423"/>
      <c r="M200" s="68">
        <f>IF(compute_ManualOverrideSPA="No", COUNTIFS(JSMVC!E$5:E$14987,UCDEffortSpread!D26, JSMVC!B$5:B$14987,Definition!C$8,JSMVC!D$5:D$14987,Definition!E$3),0)</f>
        <v>0</v>
      </c>
      <c r="N200" s="68">
        <f>IF(compute_ManualOverrideSPA="No", COUNTIFS(JSMVC!E$5:E$14987,UCDEffortSpread!D26, JSMVC!B$5:B$14987,Definition!C$8,JSMVC!D$5:D$14987,Definition!F$3),0)</f>
        <v>0</v>
      </c>
      <c r="O200" s="68">
        <f>IF(compute_ManualOverrideSPA="No", COUNTIFS(JSMVC!E$5:E$14987,UCDEffortSpread!D26, JSMVC!B$5:B$14987,Definition!C$8,JSMVC!D$5:D$14987,Definition!G$3),0)</f>
        <v>0</v>
      </c>
      <c r="P200" s="68">
        <f>IF(compute_ManualOverrideSPA="No", COUNTIFS(JSMVC!E$5:E$14987,UCDEffortSpread!D26, JSMVC!B$5:B$14987,Definition!C$8,JSMVC!D$5:D$14987,Definition!H$3),0)</f>
        <v>0</v>
      </c>
      <c r="Q200" s="68">
        <f>IF(compute_ManualOverrideSPA="No", COUNTIFS(JSMVC!E$5:E$14987,UCDEffortSpread!D26, JSMVC!B$5:B$14987,Definition!C$8,JSMVC!D$5:D$14987,Definition!I$3),0)</f>
        <v>0</v>
      </c>
      <c r="R200" s="203">
        <f>(Definition!M200*Definition!E$8)</f>
        <v>0</v>
      </c>
      <c r="S200" s="203">
        <f>(Definition!N200*Definition!F$8)</f>
        <v>0</v>
      </c>
      <c r="T200" s="203">
        <f>(Definition!O200*Definition!G$8)</f>
        <v>0</v>
      </c>
      <c r="U200" s="203">
        <f>(Definition!P200*Definition!H$8)</f>
        <v>0</v>
      </c>
      <c r="V200" s="203">
        <f>(Definition!Q200*Definition!I$8)</f>
        <v>0</v>
      </c>
      <c r="W200" s="204">
        <f t="shared" si="27"/>
        <v>0</v>
      </c>
      <c r="X200" s="206">
        <f t="shared" si="26"/>
        <v>0</v>
      </c>
    </row>
    <row r="201" spans="12:24">
      <c r="L201" s="423"/>
      <c r="M201" s="68">
        <f>IF(compute_ManualOverrideSPA="No", COUNTIFS(JSMVC!E$5:E$14987,UCDEffortSpread!D27, JSMVC!B$5:B$14987,Definition!C$8,JSMVC!D$5:D$14987,Definition!E$3),0)</f>
        <v>0</v>
      </c>
      <c r="N201" s="68">
        <f>IF(compute_ManualOverrideSPA="No", COUNTIFS(JSMVC!E$5:E$14987,UCDEffortSpread!D27, JSMVC!B$5:B$14987,Definition!C$8,JSMVC!D$5:D$14987,Definition!F$3),0)</f>
        <v>0</v>
      </c>
      <c r="O201" s="68">
        <f>IF(compute_ManualOverrideSPA="No", COUNTIFS(JSMVC!E$5:E$14987,UCDEffortSpread!D27, JSMVC!B$5:B$14987,Definition!C$8,JSMVC!D$5:D$14987,Definition!G$3),0)</f>
        <v>0</v>
      </c>
      <c r="P201" s="68">
        <f>IF(compute_ManualOverrideSPA="No", COUNTIFS(JSMVC!E$5:E$14987,UCDEffortSpread!D27, JSMVC!B$5:B$14987,Definition!C$8,JSMVC!D$5:D$14987,Definition!H$3),0)</f>
        <v>0</v>
      </c>
      <c r="Q201" s="68">
        <f>IF(compute_ManualOverrideSPA="No", COUNTIFS(JSMVC!E$5:E$14987,UCDEffortSpread!D27, JSMVC!B$5:B$14987,Definition!C$8,JSMVC!D$5:D$14987,Definition!I$3),0)</f>
        <v>0</v>
      </c>
      <c r="R201" s="203">
        <f>(Definition!M201*Definition!E$8)</f>
        <v>0</v>
      </c>
      <c r="S201" s="203">
        <f>(Definition!N201*Definition!F$8)</f>
        <v>0</v>
      </c>
      <c r="T201" s="203">
        <f>(Definition!O201*Definition!G$8)</f>
        <v>0</v>
      </c>
      <c r="U201" s="203">
        <f>(Definition!P201*Definition!H$8)</f>
        <v>0</v>
      </c>
      <c r="V201" s="203">
        <f>(Definition!Q201*Definition!I$8)</f>
        <v>0</v>
      </c>
      <c r="W201" s="204">
        <f t="shared" si="27"/>
        <v>0</v>
      </c>
      <c r="X201" s="206">
        <f t="shared" si="26"/>
        <v>0</v>
      </c>
    </row>
    <row r="202" spans="12:24">
      <c r="L202" s="423"/>
      <c r="M202" s="68">
        <f>IF(compute_ManualOverrideSPA="No", COUNTIFS(JSMVC!E$5:E$14987,UCDEffortSpread!D28, JSMVC!B$5:B$14987,Definition!C$8,JSMVC!D$5:D$14987,Definition!E$3),0)</f>
        <v>0</v>
      </c>
      <c r="N202" s="68">
        <f>IF(compute_ManualOverrideSPA="No", COUNTIFS(JSMVC!E$5:E$14987,UCDEffortSpread!D28, JSMVC!B$5:B$14987,Definition!C$8,JSMVC!D$5:D$14987,Definition!F$3),0)</f>
        <v>0</v>
      </c>
      <c r="O202" s="68">
        <f>IF(compute_ManualOverrideSPA="No", COUNTIFS(JSMVC!E$5:E$14987,UCDEffortSpread!D28, JSMVC!B$5:B$14987,Definition!C$8,JSMVC!D$5:D$14987,Definition!G$3),0)</f>
        <v>0</v>
      </c>
      <c r="P202" s="68">
        <f>IF(compute_ManualOverrideSPA="No", COUNTIFS(JSMVC!E$5:E$14987,UCDEffortSpread!D28, JSMVC!B$5:B$14987,Definition!C$8,JSMVC!D$5:D$14987,Definition!H$3),0)</f>
        <v>0</v>
      </c>
      <c r="Q202" s="68">
        <f>IF(compute_ManualOverrideSPA="No", COUNTIFS(JSMVC!E$5:E$14987,UCDEffortSpread!D28, JSMVC!B$5:B$14987,Definition!C$8,JSMVC!D$5:D$14987,Definition!I$3),0)</f>
        <v>0</v>
      </c>
      <c r="R202" s="203">
        <f>(Definition!M202*Definition!E$8)</f>
        <v>0</v>
      </c>
      <c r="S202" s="203">
        <f>(Definition!N202*Definition!F$8)</f>
        <v>0</v>
      </c>
      <c r="T202" s="203">
        <f>(Definition!O202*Definition!G$8)</f>
        <v>0</v>
      </c>
      <c r="U202" s="203">
        <f>(Definition!P202*Definition!H$8)</f>
        <v>0</v>
      </c>
      <c r="V202" s="203">
        <f>(Definition!Q202*Definition!I$8)</f>
        <v>0</v>
      </c>
      <c r="W202" s="204">
        <f t="shared" si="27"/>
        <v>0</v>
      </c>
      <c r="X202" s="206">
        <f t="shared" si="26"/>
        <v>0</v>
      </c>
    </row>
    <row r="203" spans="12:24">
      <c r="L203" s="423"/>
      <c r="M203" s="68">
        <f>IF(compute_ManualOverrideSPA="No", COUNTIFS(JSMVC!E$5:E$14987,UCDEffortSpread!D29, JSMVC!B$5:B$14987,Definition!C$8,JSMVC!D$5:D$14987,Definition!E$3),0)</f>
        <v>0</v>
      </c>
      <c r="N203" s="68">
        <f>IF(compute_ManualOverrideSPA="No", COUNTIFS(JSMVC!E$5:E$14987,UCDEffortSpread!D29, JSMVC!B$5:B$14987,Definition!C$8,JSMVC!D$5:D$14987,Definition!F$3),0)</f>
        <v>0</v>
      </c>
      <c r="O203" s="68">
        <f>IF(compute_ManualOverrideSPA="No", COUNTIFS(JSMVC!E$5:E$14987,UCDEffortSpread!D29, JSMVC!B$5:B$14987,Definition!C$8,JSMVC!D$5:D$14987,Definition!G$3),0)</f>
        <v>0</v>
      </c>
      <c r="P203" s="68">
        <f>IF(compute_ManualOverrideSPA="No", COUNTIFS(JSMVC!E$5:E$14987,UCDEffortSpread!D29, JSMVC!B$5:B$14987,Definition!C$8,JSMVC!D$5:D$14987,Definition!H$3),0)</f>
        <v>0</v>
      </c>
      <c r="Q203" s="68">
        <f>IF(compute_ManualOverrideSPA="No", COUNTIFS(JSMVC!E$5:E$14987,UCDEffortSpread!D29, JSMVC!B$5:B$14987,Definition!C$8,JSMVC!D$5:D$14987,Definition!I$3),0)</f>
        <v>0</v>
      </c>
      <c r="R203" s="203">
        <f>(Definition!M203*Definition!E$8)</f>
        <v>0</v>
      </c>
      <c r="S203" s="203">
        <f>(Definition!N203*Definition!F$8)</f>
        <v>0</v>
      </c>
      <c r="T203" s="203">
        <f>(Definition!O203*Definition!G$8)</f>
        <v>0</v>
      </c>
      <c r="U203" s="203">
        <f>(Definition!P203*Definition!H$8)</f>
        <v>0</v>
      </c>
      <c r="V203" s="203">
        <f>(Definition!Q203*Definition!I$8)</f>
        <v>0</v>
      </c>
      <c r="W203" s="204">
        <f t="shared" si="27"/>
        <v>0</v>
      </c>
      <c r="X203" s="206">
        <f t="shared" si="26"/>
        <v>0</v>
      </c>
    </row>
    <row r="204" spans="12:24">
      <c r="L204" s="423"/>
      <c r="M204" s="68">
        <f>IF(compute_ManualOverrideSPA="No", COUNTIFS(JSMVC!E$5:E$14987,UCDEffortSpread!D30, JSMVC!B$5:B$14987,Definition!C$8,JSMVC!D$5:D$14987,Definition!E$3),0)</f>
        <v>0</v>
      </c>
      <c r="N204" s="68">
        <f>IF(compute_ManualOverrideSPA="No", COUNTIFS(JSMVC!E$5:E$14987,UCDEffortSpread!D30, JSMVC!B$5:B$14987,Definition!C$8,JSMVC!D$5:D$14987,Definition!F$3),0)</f>
        <v>0</v>
      </c>
      <c r="O204" s="68">
        <f>IF(compute_ManualOverrideSPA="No", COUNTIFS(JSMVC!E$5:E$14987,UCDEffortSpread!D30, JSMVC!B$5:B$14987,Definition!C$8,JSMVC!D$5:D$14987,Definition!G$3),0)</f>
        <v>0</v>
      </c>
      <c r="P204" s="68">
        <f>IF(compute_ManualOverrideSPA="No", COUNTIFS(JSMVC!E$5:E$14987,UCDEffortSpread!D30, JSMVC!B$5:B$14987,Definition!C$8,JSMVC!D$5:D$14987,Definition!H$3),0)</f>
        <v>0</v>
      </c>
      <c r="Q204" s="68">
        <f>IF(compute_ManualOverrideSPA="No", COUNTIFS(JSMVC!E$5:E$14987,UCDEffortSpread!D30, JSMVC!B$5:B$14987,Definition!C$8,JSMVC!D$5:D$14987,Definition!I$3),0)</f>
        <v>0</v>
      </c>
      <c r="R204" s="203">
        <f>(Definition!M204*Definition!E$8)</f>
        <v>0</v>
      </c>
      <c r="S204" s="203">
        <f>(Definition!N204*Definition!F$8)</f>
        <v>0</v>
      </c>
      <c r="T204" s="203">
        <f>(Definition!O204*Definition!G$8)</f>
        <v>0</v>
      </c>
      <c r="U204" s="203">
        <f>(Definition!P204*Definition!H$8)</f>
        <v>0</v>
      </c>
      <c r="V204" s="203">
        <f>(Definition!Q204*Definition!I$8)</f>
        <v>0</v>
      </c>
      <c r="W204" s="204">
        <f t="shared" si="27"/>
        <v>0</v>
      </c>
      <c r="X204" s="206">
        <f t="shared" si="26"/>
        <v>0</v>
      </c>
    </row>
    <row r="205" spans="12:24">
      <c r="L205" s="423"/>
      <c r="M205" s="68">
        <f>IF(compute_ManualOverrideSPA="No", COUNTIFS(JSMVC!E$5:E$14987,UCDEffortSpread!D31, JSMVC!B$5:B$14987,Definition!C$8,JSMVC!D$5:D$14987,Definition!E$3),0)</f>
        <v>0</v>
      </c>
      <c r="N205" s="68">
        <f>IF(compute_ManualOverrideSPA="No", COUNTIFS(JSMVC!E$5:E$14987,UCDEffortSpread!D31, JSMVC!B$5:B$14987,Definition!C$8,JSMVC!D$5:D$14987,Definition!F$3),0)</f>
        <v>0</v>
      </c>
      <c r="O205" s="68">
        <f>IF(compute_ManualOverrideSPA="No", COUNTIFS(JSMVC!E$5:E$14987,UCDEffortSpread!D31, JSMVC!B$5:B$14987,Definition!C$8,JSMVC!D$5:D$14987,Definition!G$3),0)</f>
        <v>0</v>
      </c>
      <c r="P205" s="68">
        <f>IF(compute_ManualOverrideSPA="No", COUNTIFS(JSMVC!E$5:E$14987,UCDEffortSpread!D31, JSMVC!B$5:B$14987,Definition!C$8,JSMVC!D$5:D$14987,Definition!H$3),0)</f>
        <v>0</v>
      </c>
      <c r="Q205" s="68">
        <f>IF(compute_ManualOverrideSPA="No", COUNTIFS(JSMVC!E$5:E$14987,UCDEffortSpread!D31, JSMVC!B$5:B$14987,Definition!C$8,JSMVC!D$5:D$14987,Definition!I$3),0)</f>
        <v>0</v>
      </c>
      <c r="R205" s="203">
        <f>(Definition!M205*Definition!E$8)</f>
        <v>0</v>
      </c>
      <c r="S205" s="203">
        <f>(Definition!N205*Definition!F$8)</f>
        <v>0</v>
      </c>
      <c r="T205" s="203">
        <f>(Definition!O205*Definition!G$8)</f>
        <v>0</v>
      </c>
      <c r="U205" s="203">
        <f>(Definition!P205*Definition!H$8)</f>
        <v>0</v>
      </c>
      <c r="V205" s="203">
        <f>(Definition!Q205*Definition!I$8)</f>
        <v>0</v>
      </c>
      <c r="W205" s="204">
        <f t="shared" si="27"/>
        <v>0</v>
      </c>
      <c r="X205" s="206">
        <f t="shared" si="26"/>
        <v>0</v>
      </c>
    </row>
    <row r="206" spans="12:24">
      <c r="L206" s="423"/>
      <c r="M206" s="68">
        <f>IF(compute_ManualOverrideSPA="No", COUNTIFS(JSMVC!E$5:E$14987,UCDEffortSpread!D32, JSMVC!B$5:B$14987,Definition!C$8,JSMVC!D$5:D$14987,Definition!E$3),0)</f>
        <v>0</v>
      </c>
      <c r="N206" s="68">
        <f>IF(compute_ManualOverrideSPA="No", COUNTIFS(JSMVC!E$5:E$14987,UCDEffortSpread!D32, JSMVC!B$5:B$14987,Definition!C$8,JSMVC!D$5:D$14987,Definition!F$3),0)</f>
        <v>0</v>
      </c>
      <c r="O206" s="68">
        <f>IF(compute_ManualOverrideSPA="No", COUNTIFS(JSMVC!E$5:E$14987,UCDEffortSpread!D32, JSMVC!B$5:B$14987,Definition!C$8,JSMVC!D$5:D$14987,Definition!G$3),0)</f>
        <v>0</v>
      </c>
      <c r="P206" s="68">
        <f>IF(compute_ManualOverrideSPA="No", COUNTIFS(JSMVC!E$5:E$14987,UCDEffortSpread!D32, JSMVC!B$5:B$14987,Definition!C$8,JSMVC!D$5:D$14987,Definition!H$3),0)</f>
        <v>0</v>
      </c>
      <c r="Q206" s="68">
        <f>IF(compute_ManualOverrideSPA="No", COUNTIFS(JSMVC!E$5:E$14987,UCDEffortSpread!D32, JSMVC!B$5:B$14987,Definition!C$8,JSMVC!D$5:D$14987,Definition!I$3),0)</f>
        <v>0</v>
      </c>
      <c r="R206" s="203">
        <f>(Definition!M206*Definition!E$8)</f>
        <v>0</v>
      </c>
      <c r="S206" s="203">
        <f>(Definition!N206*Definition!F$8)</f>
        <v>0</v>
      </c>
      <c r="T206" s="203">
        <f>(Definition!O206*Definition!G$8)</f>
        <v>0</v>
      </c>
      <c r="U206" s="203">
        <f>(Definition!P206*Definition!H$8)</f>
        <v>0</v>
      </c>
      <c r="V206" s="203">
        <f>(Definition!Q206*Definition!I$8)</f>
        <v>0</v>
      </c>
      <c r="W206" s="204">
        <f t="shared" si="27"/>
        <v>0</v>
      </c>
      <c r="X206" s="206">
        <f t="shared" si="26"/>
        <v>0</v>
      </c>
    </row>
    <row r="207" spans="12:24">
      <c r="L207" s="423"/>
      <c r="M207" s="68">
        <f>IF(compute_ManualOverrideSPA="No", COUNTIFS(JSMVC!E$5:E$14987,UCDEffortSpread!D33, JSMVC!B$5:B$14987,Definition!C$8,JSMVC!D$5:D$14987,Definition!E$3),0)</f>
        <v>0</v>
      </c>
      <c r="N207" s="68">
        <f>IF(compute_ManualOverrideSPA="No", COUNTIFS(JSMVC!E$5:E$14987,UCDEffortSpread!D33, JSMVC!B$5:B$14987,Definition!C$8,JSMVC!D$5:D$14987,Definition!F$3),0)</f>
        <v>0</v>
      </c>
      <c r="O207" s="68">
        <f>IF(compute_ManualOverrideSPA="No", COUNTIFS(JSMVC!E$5:E$14987,UCDEffortSpread!D33, JSMVC!B$5:B$14987,Definition!C$8,JSMVC!D$5:D$14987,Definition!G$3),0)</f>
        <v>0</v>
      </c>
      <c r="P207" s="68">
        <f>IF(compute_ManualOverrideSPA="No", COUNTIFS(JSMVC!E$5:E$14987,UCDEffortSpread!D33, JSMVC!B$5:B$14987,Definition!C$8,JSMVC!D$5:D$14987,Definition!H$3),0)</f>
        <v>0</v>
      </c>
      <c r="Q207" s="68">
        <f>IF(compute_ManualOverrideSPA="No", COUNTIFS(JSMVC!E$5:E$14987,UCDEffortSpread!D33, JSMVC!B$5:B$14987,Definition!C$8,JSMVC!D$5:D$14987,Definition!I$3),0)</f>
        <v>0</v>
      </c>
      <c r="R207" s="203">
        <f>(Definition!M207*Definition!E$8)</f>
        <v>0</v>
      </c>
      <c r="S207" s="203">
        <f>(Definition!N207*Definition!F$8)</f>
        <v>0</v>
      </c>
      <c r="T207" s="203">
        <f>(Definition!O207*Definition!G$8)</f>
        <v>0</v>
      </c>
      <c r="U207" s="203">
        <f>(Definition!P207*Definition!H$8)</f>
        <v>0</v>
      </c>
      <c r="V207" s="203">
        <f>(Definition!Q207*Definition!I$8)</f>
        <v>0</v>
      </c>
      <c r="W207" s="204">
        <f t="shared" si="27"/>
        <v>0</v>
      </c>
      <c r="X207" s="206">
        <f t="shared" si="26"/>
        <v>0</v>
      </c>
    </row>
    <row r="208" spans="12:24">
      <c r="L208" s="423"/>
      <c r="M208" s="68">
        <f>IF(compute_ManualOverrideSPA="No", COUNTIFS(JSMVC!E$5:E$14987,UCDEffortSpread!D34, JSMVC!B$5:B$14987,Definition!C$8,JSMVC!D$5:D$14987,Definition!E$3),0)</f>
        <v>0</v>
      </c>
      <c r="N208" s="68">
        <f>IF(compute_ManualOverrideSPA="No", COUNTIFS(JSMVC!E$5:E$14987,UCDEffortSpread!D34, JSMVC!B$5:B$14987,Definition!C$8,JSMVC!D$5:D$14987,Definition!F$3),0)</f>
        <v>0</v>
      </c>
      <c r="O208" s="68">
        <f>IF(compute_ManualOverrideSPA="No", COUNTIFS(JSMVC!E$5:E$14987,UCDEffortSpread!D34, JSMVC!B$5:B$14987,Definition!C$8,JSMVC!D$5:D$14987,Definition!G$3),0)</f>
        <v>0</v>
      </c>
      <c r="P208" s="68">
        <f>IF(compute_ManualOverrideSPA="No", COUNTIFS(JSMVC!E$5:E$14987,UCDEffortSpread!D34, JSMVC!B$5:B$14987,Definition!C$8,JSMVC!D$5:D$14987,Definition!H$3),0)</f>
        <v>0</v>
      </c>
      <c r="Q208" s="68">
        <f>IF(compute_ManualOverrideSPA="No", COUNTIFS(JSMVC!E$5:E$14987,UCDEffortSpread!D34, JSMVC!B$5:B$14987,Definition!C$8,JSMVC!D$5:D$14987,Definition!I$3),0)</f>
        <v>0</v>
      </c>
      <c r="R208" s="203">
        <f>(Definition!M208*Definition!E$8)</f>
        <v>0</v>
      </c>
      <c r="S208" s="203">
        <f>(Definition!N208*Definition!F$8)</f>
        <v>0</v>
      </c>
      <c r="T208" s="203">
        <f>(Definition!O208*Definition!G$8)</f>
        <v>0</v>
      </c>
      <c r="U208" s="203">
        <f>(Definition!P208*Definition!H$8)</f>
        <v>0</v>
      </c>
      <c r="V208" s="203">
        <f>(Definition!Q208*Definition!I$8)</f>
        <v>0</v>
      </c>
      <c r="W208" s="204">
        <f t="shared" si="27"/>
        <v>0</v>
      </c>
      <c r="X208" s="206">
        <f t="shared" si="26"/>
        <v>0</v>
      </c>
    </row>
    <row r="209" spans="12:24">
      <c r="L209" s="423"/>
      <c r="M209" s="68">
        <f>IF(compute_ManualOverrideSPA="No", COUNTIFS(JSMVC!E$5:E$14987,UCDEffortSpread!D35, JSMVC!B$5:B$14987,Definition!C$8,JSMVC!D$5:D$14987,Definition!E$3),0)</f>
        <v>0</v>
      </c>
      <c r="N209" s="68">
        <f>IF(compute_ManualOverrideSPA="No", COUNTIFS(JSMVC!E$5:E$14987,UCDEffortSpread!D35, JSMVC!B$5:B$14987,Definition!C$8,JSMVC!D$5:D$14987,Definition!F$3),0)</f>
        <v>0</v>
      </c>
      <c r="O209" s="68">
        <f>IF(compute_ManualOverrideSPA="No", COUNTIFS(JSMVC!E$5:E$14987,UCDEffortSpread!D35, JSMVC!B$5:B$14987,Definition!C$8,JSMVC!D$5:D$14987,Definition!G$3),0)</f>
        <v>0</v>
      </c>
      <c r="P209" s="68">
        <f>IF(compute_ManualOverrideSPA="No", COUNTIFS(JSMVC!E$5:E$14987,UCDEffortSpread!D35, JSMVC!B$5:B$14987,Definition!C$8,JSMVC!D$5:D$14987,Definition!H$3),0)</f>
        <v>0</v>
      </c>
      <c r="Q209" s="68">
        <f>IF(compute_ManualOverrideSPA="No", COUNTIFS(JSMVC!E$5:E$14987,UCDEffortSpread!D35, JSMVC!B$5:B$14987,Definition!C$8,JSMVC!D$5:D$14987,Definition!I$3),0)</f>
        <v>0</v>
      </c>
      <c r="R209" s="203">
        <f>(Definition!M209*Definition!E$8)</f>
        <v>0</v>
      </c>
      <c r="S209" s="203">
        <f>(Definition!N209*Definition!F$8)</f>
        <v>0</v>
      </c>
      <c r="T209" s="203">
        <f>(Definition!O209*Definition!G$8)</f>
        <v>0</v>
      </c>
      <c r="U209" s="203">
        <f>(Definition!P209*Definition!H$8)</f>
        <v>0</v>
      </c>
      <c r="V209" s="203">
        <f>(Definition!Q209*Definition!I$8)</f>
        <v>0</v>
      </c>
      <c r="W209" s="204">
        <f t="shared" si="27"/>
        <v>0</v>
      </c>
      <c r="X209" s="206">
        <f t="shared" si="26"/>
        <v>0</v>
      </c>
    </row>
    <row r="210" spans="12:24">
      <c r="L210" s="423"/>
      <c r="M210" s="68">
        <f>IF(compute_ManualOverrideSPA="No", COUNTIFS(JSMVC!E$5:E$14987,UCDEffortSpread!D36, JSMVC!B$5:B$14987,Definition!C$8,JSMVC!D$5:D$14987,Definition!E$3),0)</f>
        <v>0</v>
      </c>
      <c r="N210" s="68">
        <f>IF(compute_ManualOverrideSPA="No", COUNTIFS(JSMVC!E$5:E$14987,UCDEffortSpread!D36, JSMVC!B$5:B$14987,Definition!C$8,JSMVC!D$5:D$14987,Definition!F$3),0)</f>
        <v>0</v>
      </c>
      <c r="O210" s="68">
        <f>IF(compute_ManualOverrideSPA="No", COUNTIFS(JSMVC!E$5:E$14987,UCDEffortSpread!D36, JSMVC!B$5:B$14987,Definition!C$8,JSMVC!D$5:D$14987,Definition!G$3),0)</f>
        <v>0</v>
      </c>
      <c r="P210" s="68">
        <f>IF(compute_ManualOverrideSPA="No", COUNTIFS(JSMVC!E$5:E$14987,UCDEffortSpread!D36, JSMVC!B$5:B$14987,Definition!C$8,JSMVC!D$5:D$14987,Definition!H$3),0)</f>
        <v>0</v>
      </c>
      <c r="Q210" s="68">
        <f>IF(compute_ManualOverrideSPA="No", COUNTIFS(JSMVC!E$5:E$14987,UCDEffortSpread!D36, JSMVC!B$5:B$14987,Definition!C$8,JSMVC!D$5:D$14987,Definition!I$3),0)</f>
        <v>0</v>
      </c>
      <c r="R210" s="203">
        <f>(Definition!M210*Definition!E$8)</f>
        <v>0</v>
      </c>
      <c r="S210" s="203">
        <f>(Definition!N210*Definition!F$8)</f>
        <v>0</v>
      </c>
      <c r="T210" s="203">
        <f>(Definition!O210*Definition!G$8)</f>
        <v>0</v>
      </c>
      <c r="U210" s="203">
        <f>(Definition!P210*Definition!H$8)</f>
        <v>0</v>
      </c>
      <c r="V210" s="203">
        <f>(Definition!Q210*Definition!I$8)</f>
        <v>0</v>
      </c>
      <c r="W210" s="204">
        <f t="shared" si="27"/>
        <v>0</v>
      </c>
      <c r="X210" s="206">
        <f t="shared" si="26"/>
        <v>0</v>
      </c>
    </row>
    <row r="211" spans="12:24">
      <c r="L211" s="423"/>
      <c r="M211" s="68">
        <f>IF(compute_ManualOverrideSPA="No", COUNTIFS(JSMVC!E$5:E$14987,UCDEffortSpread!D37, JSMVC!B$5:B$14987,Definition!C$8,JSMVC!D$5:D$14987,Definition!E$3),0)</f>
        <v>0</v>
      </c>
      <c r="N211" s="68">
        <f>IF(compute_ManualOverrideSPA="No", COUNTIFS(JSMVC!E$5:E$14987,UCDEffortSpread!D37, JSMVC!B$5:B$14987,Definition!C$8,JSMVC!D$5:D$14987,Definition!F$3),0)</f>
        <v>0</v>
      </c>
      <c r="O211" s="68">
        <f>IF(compute_ManualOverrideSPA="No", COUNTIFS(JSMVC!E$5:E$14987,UCDEffortSpread!D37, JSMVC!B$5:B$14987,Definition!C$8,JSMVC!D$5:D$14987,Definition!G$3),0)</f>
        <v>0</v>
      </c>
      <c r="P211" s="68">
        <f>IF(compute_ManualOverrideSPA="No", COUNTIFS(JSMVC!E$5:E$14987,UCDEffortSpread!D37, JSMVC!B$5:B$14987,Definition!C$8,JSMVC!D$5:D$14987,Definition!H$3),0)</f>
        <v>0</v>
      </c>
      <c r="Q211" s="68">
        <f>IF(compute_ManualOverrideSPA="No", COUNTIFS(JSMVC!E$5:E$14987,UCDEffortSpread!D37, JSMVC!B$5:B$14987,Definition!C$8,JSMVC!D$5:D$14987,Definition!I$3),0)</f>
        <v>0</v>
      </c>
      <c r="R211" s="203">
        <f>(Definition!M211*Definition!E$8)</f>
        <v>0</v>
      </c>
      <c r="S211" s="203">
        <f>(Definition!N211*Definition!F$8)</f>
        <v>0</v>
      </c>
      <c r="T211" s="203">
        <f>(Definition!O211*Definition!G$8)</f>
        <v>0</v>
      </c>
      <c r="U211" s="203">
        <f>(Definition!P211*Definition!H$8)</f>
        <v>0</v>
      </c>
      <c r="V211" s="203">
        <f>(Definition!Q211*Definition!I$8)</f>
        <v>0</v>
      </c>
      <c r="W211" s="204">
        <f t="shared" si="27"/>
        <v>0</v>
      </c>
      <c r="X211" s="206">
        <f t="shared" si="26"/>
        <v>0</v>
      </c>
    </row>
    <row r="212" spans="12:24">
      <c r="L212" s="423"/>
      <c r="M212" s="68">
        <f>IF(compute_ManualOverrideSPA="No", COUNTIFS(JSMVC!E$5:E$14987,UCDEffortSpread!D38, JSMVC!B$5:B$14987,Definition!C$8,JSMVC!D$5:D$14987,Definition!E$3),0)</f>
        <v>0</v>
      </c>
      <c r="N212" s="68">
        <f>IF(compute_ManualOverrideSPA="No", COUNTIFS(JSMVC!E$5:E$14987,UCDEffortSpread!D38, JSMVC!B$5:B$14987,Definition!C$8,JSMVC!D$5:D$14987,Definition!F$3),0)</f>
        <v>0</v>
      </c>
      <c r="O212" s="68">
        <f>IF(compute_ManualOverrideSPA="No", COUNTIFS(JSMVC!E$5:E$14987,UCDEffortSpread!D38, JSMVC!B$5:B$14987,Definition!C$8,JSMVC!D$5:D$14987,Definition!G$3),0)</f>
        <v>0</v>
      </c>
      <c r="P212" s="68">
        <f>IF(compute_ManualOverrideSPA="No", COUNTIFS(JSMVC!E$5:E$14987,UCDEffortSpread!D38, JSMVC!B$5:B$14987,Definition!C$8,JSMVC!D$5:D$14987,Definition!H$3),0)</f>
        <v>0</v>
      </c>
      <c r="Q212" s="68">
        <f>IF(compute_ManualOverrideSPA="No", COUNTIFS(JSMVC!E$5:E$14987,UCDEffortSpread!D38, JSMVC!B$5:B$14987,Definition!C$8,JSMVC!D$5:D$14987,Definition!I$3),0)</f>
        <v>0</v>
      </c>
      <c r="R212" s="203">
        <f>(Definition!M212*Definition!E$8)</f>
        <v>0</v>
      </c>
      <c r="S212" s="203">
        <f>(Definition!N212*Definition!F$8)</f>
        <v>0</v>
      </c>
      <c r="T212" s="203">
        <f>(Definition!O212*Definition!G$8)</f>
        <v>0</v>
      </c>
      <c r="U212" s="203">
        <f>(Definition!P212*Definition!H$8)</f>
        <v>0</v>
      </c>
      <c r="V212" s="203">
        <f>(Definition!Q212*Definition!I$8)</f>
        <v>0</v>
      </c>
      <c r="W212" s="204">
        <f t="shared" si="27"/>
        <v>0</v>
      </c>
      <c r="X212" s="206">
        <f t="shared" si="26"/>
        <v>0</v>
      </c>
    </row>
    <row r="213" spans="12:24">
      <c r="L213" s="423"/>
      <c r="M213" s="68">
        <f>IF(compute_ManualOverrideSPA="No", COUNTIFS(JSMVC!E$5:E$14987,UCDEffortSpread!D39, JSMVC!B$5:B$14987,Definition!C$8,JSMVC!D$5:D$14987,Definition!E$3),0)</f>
        <v>0</v>
      </c>
      <c r="N213" s="68">
        <f>IF(compute_ManualOverrideSPA="No", COUNTIFS(JSMVC!E$5:E$14987,UCDEffortSpread!D39, JSMVC!B$5:B$14987,Definition!C$8,JSMVC!D$5:D$14987,Definition!F$3),0)</f>
        <v>0</v>
      </c>
      <c r="O213" s="68">
        <f>IF(compute_ManualOverrideSPA="No", COUNTIFS(JSMVC!E$5:E$14987,UCDEffortSpread!D39, JSMVC!B$5:B$14987,Definition!C$8,JSMVC!D$5:D$14987,Definition!G$3),0)</f>
        <v>0</v>
      </c>
      <c r="P213" s="68">
        <f>IF(compute_ManualOverrideSPA="No", COUNTIFS(JSMVC!E$5:E$14987,UCDEffortSpread!D39, JSMVC!B$5:B$14987,Definition!C$8,JSMVC!D$5:D$14987,Definition!H$3),0)</f>
        <v>0</v>
      </c>
      <c r="Q213" s="68">
        <f>IF(compute_ManualOverrideSPA="No", COUNTIFS(JSMVC!E$5:E$14987,UCDEffortSpread!D39, JSMVC!B$5:B$14987,Definition!C$8,JSMVC!D$5:D$14987,Definition!I$3),0)</f>
        <v>0</v>
      </c>
      <c r="R213" s="203">
        <f>(Definition!M213*Definition!E$8)</f>
        <v>0</v>
      </c>
      <c r="S213" s="203">
        <f>(Definition!N213*Definition!F$8)</f>
        <v>0</v>
      </c>
      <c r="T213" s="203">
        <f>(Definition!O213*Definition!G$8)</f>
        <v>0</v>
      </c>
      <c r="U213" s="203">
        <f>(Definition!P213*Definition!H$8)</f>
        <v>0</v>
      </c>
      <c r="V213" s="203">
        <f>(Definition!Q213*Definition!I$8)</f>
        <v>0</v>
      </c>
      <c r="W213" s="204">
        <f t="shared" si="27"/>
        <v>0</v>
      </c>
      <c r="X213" s="206">
        <f t="shared" si="26"/>
        <v>0</v>
      </c>
    </row>
    <row r="214" spans="12:24">
      <c r="L214" s="423"/>
      <c r="M214" s="68">
        <f>IF(compute_ManualOverrideSPA="No", COUNTIFS(JSMVC!E$5:E$14987,UCDEffortSpread!D40, JSMVC!B$5:B$14987,Definition!C$8,JSMVC!D$5:D$14987,Definition!E$3),0)</f>
        <v>0</v>
      </c>
      <c r="N214" s="68">
        <f>IF(compute_ManualOverrideSPA="No", COUNTIFS(JSMVC!E$5:E$14987,UCDEffortSpread!D40, JSMVC!B$5:B$14987,Definition!C$8,JSMVC!D$5:D$14987,Definition!F$3),0)</f>
        <v>0</v>
      </c>
      <c r="O214" s="68">
        <f>IF(compute_ManualOverrideSPA="No", COUNTIFS(JSMVC!E$5:E$14987,UCDEffortSpread!D40, JSMVC!B$5:B$14987,Definition!C$8,JSMVC!D$5:D$14987,Definition!G$3),0)</f>
        <v>0</v>
      </c>
      <c r="P214" s="68">
        <f>IF(compute_ManualOverrideSPA="No", COUNTIFS(JSMVC!E$5:E$14987,UCDEffortSpread!D40, JSMVC!B$5:B$14987,Definition!C$8,JSMVC!D$5:D$14987,Definition!H$3),0)</f>
        <v>0</v>
      </c>
      <c r="Q214" s="68">
        <f>IF(compute_ManualOverrideSPA="No", COUNTIFS(JSMVC!E$5:E$14987,UCDEffortSpread!D40, JSMVC!B$5:B$14987,Definition!C$8,JSMVC!D$5:D$14987,Definition!I$3),0)</f>
        <v>0</v>
      </c>
      <c r="R214" s="203">
        <f>(Definition!M214*Definition!E$8)</f>
        <v>0</v>
      </c>
      <c r="S214" s="203">
        <f>(Definition!N214*Definition!F$8)</f>
        <v>0</v>
      </c>
      <c r="T214" s="203">
        <f>(Definition!O214*Definition!G$8)</f>
        <v>0</v>
      </c>
      <c r="U214" s="203">
        <f>(Definition!P214*Definition!H$8)</f>
        <v>0</v>
      </c>
      <c r="V214" s="203">
        <f>(Definition!Q214*Definition!I$8)</f>
        <v>0</v>
      </c>
      <c r="W214" s="204">
        <f t="shared" si="27"/>
        <v>0</v>
      </c>
      <c r="X214" s="206">
        <f t="shared" si="26"/>
        <v>0</v>
      </c>
    </row>
    <row r="215" spans="12:24">
      <c r="L215" s="423"/>
      <c r="M215" s="68">
        <f>IF(compute_ManualOverrideSPA="No", COUNTIFS(JSMVC!E$5:E$14987,UCDEffortSpread!D41, JSMVC!B$5:B$14987,Definition!C$8,JSMVC!D$5:D$14987,Definition!E$3),0)</f>
        <v>0</v>
      </c>
      <c r="N215" s="68">
        <f>IF(compute_ManualOverrideSPA="No", COUNTIFS(JSMVC!E$5:E$14987,UCDEffortSpread!D41, JSMVC!B$5:B$14987,Definition!C$8,JSMVC!D$5:D$14987,Definition!F$3),0)</f>
        <v>0</v>
      </c>
      <c r="O215" s="68">
        <f>IF(compute_ManualOverrideSPA="No", COUNTIFS(JSMVC!E$5:E$14987,UCDEffortSpread!D41, JSMVC!B$5:B$14987,Definition!C$8,JSMVC!D$5:D$14987,Definition!G$3),0)</f>
        <v>0</v>
      </c>
      <c r="P215" s="68">
        <f>IF(compute_ManualOverrideSPA="No", COUNTIFS(JSMVC!E$5:E$14987,UCDEffortSpread!D41, JSMVC!B$5:B$14987,Definition!C$8,JSMVC!D$5:D$14987,Definition!H$3),0)</f>
        <v>0</v>
      </c>
      <c r="Q215" s="68">
        <f>IF(compute_ManualOverrideSPA="No", COUNTIFS(JSMVC!E$5:E$14987,UCDEffortSpread!D41, JSMVC!B$5:B$14987,Definition!C$8,JSMVC!D$5:D$14987,Definition!I$3),0)</f>
        <v>0</v>
      </c>
      <c r="R215" s="203">
        <f>(Definition!M215*Definition!E$8)</f>
        <v>0</v>
      </c>
      <c r="S215" s="203">
        <f>(Definition!N215*Definition!F$8)</f>
        <v>0</v>
      </c>
      <c r="T215" s="203">
        <f>(Definition!O215*Definition!G$8)</f>
        <v>0</v>
      </c>
      <c r="U215" s="203">
        <f>(Definition!P215*Definition!H$8)</f>
        <v>0</v>
      </c>
      <c r="V215" s="203">
        <f>(Definition!Q215*Definition!I$8)</f>
        <v>0</v>
      </c>
      <c r="W215" s="204">
        <f t="shared" si="27"/>
        <v>0</v>
      </c>
      <c r="X215" s="206">
        <f t="shared" si="26"/>
        <v>0</v>
      </c>
    </row>
    <row r="216" spans="12:24">
      <c r="L216" s="423"/>
      <c r="M216" s="68">
        <f>IF(compute_ManualOverrideSPA="No", COUNTIFS(JSMVC!E$5:E$14987,UCDEffortSpread!D42, JSMVC!B$5:B$14987,Definition!C$8,JSMVC!D$5:D$14987,Definition!E$3),0)</f>
        <v>0</v>
      </c>
      <c r="N216" s="68">
        <f>IF(compute_ManualOverrideSPA="No", COUNTIFS(JSMVC!E$5:E$14987,UCDEffortSpread!D42, JSMVC!B$5:B$14987,Definition!C$8,JSMVC!D$5:D$14987,Definition!F$3),0)</f>
        <v>0</v>
      </c>
      <c r="O216" s="68">
        <f>IF(compute_ManualOverrideSPA="No", COUNTIFS(JSMVC!E$5:E$14987,UCDEffortSpread!D42, JSMVC!B$5:B$14987,Definition!C$8,JSMVC!D$5:D$14987,Definition!G$3),0)</f>
        <v>0</v>
      </c>
      <c r="P216" s="68">
        <f>IF(compute_ManualOverrideSPA="No", COUNTIFS(JSMVC!E$5:E$14987,UCDEffortSpread!D42, JSMVC!B$5:B$14987,Definition!C$8,JSMVC!D$5:D$14987,Definition!H$3),0)</f>
        <v>0</v>
      </c>
      <c r="Q216" s="68">
        <f>IF(compute_ManualOverrideSPA="No", COUNTIFS(JSMVC!E$5:E$14987,UCDEffortSpread!D42, JSMVC!B$5:B$14987,Definition!C$8,JSMVC!D$5:D$14987,Definition!I$3),0)</f>
        <v>0</v>
      </c>
      <c r="R216" s="203">
        <f>(Definition!M216*Definition!E$8)</f>
        <v>0</v>
      </c>
      <c r="S216" s="203">
        <f>(Definition!N216*Definition!F$8)</f>
        <v>0</v>
      </c>
      <c r="T216" s="203">
        <f>(Definition!O216*Definition!G$8)</f>
        <v>0</v>
      </c>
      <c r="U216" s="203">
        <f>(Definition!P216*Definition!H$8)</f>
        <v>0</v>
      </c>
      <c r="V216" s="203">
        <f>(Definition!Q216*Definition!I$8)</f>
        <v>0</v>
      </c>
      <c r="W216" s="204">
        <f t="shared" si="27"/>
        <v>0</v>
      </c>
      <c r="X216" s="206">
        <f t="shared" si="26"/>
        <v>0</v>
      </c>
    </row>
    <row r="217" spans="12:24">
      <c r="L217" s="423"/>
      <c r="M217" s="68">
        <f>IF(compute_ManualOverrideSPA="No", COUNTIFS(JSMVC!E$5:E$14987,UCDEffortSpread!D43, JSMVC!B$5:B$14987,Definition!C$8,JSMVC!D$5:D$14987,Definition!E$3),0)</f>
        <v>0</v>
      </c>
      <c r="N217" s="68">
        <f>IF(compute_ManualOverrideSPA="No", COUNTIFS(JSMVC!E$5:E$14987,UCDEffortSpread!D43, JSMVC!B$5:B$14987,Definition!C$8,JSMVC!D$5:D$14987,Definition!F$3),0)</f>
        <v>0</v>
      </c>
      <c r="O217" s="68">
        <f>IF(compute_ManualOverrideSPA="No", COUNTIFS(JSMVC!E$5:E$14987,UCDEffortSpread!D43, JSMVC!B$5:B$14987,Definition!C$8,JSMVC!D$5:D$14987,Definition!G$3),0)</f>
        <v>0</v>
      </c>
      <c r="P217" s="68">
        <f>IF(compute_ManualOverrideSPA="No", COUNTIFS(JSMVC!E$5:E$14987,UCDEffortSpread!D43, JSMVC!B$5:B$14987,Definition!C$8,JSMVC!D$5:D$14987,Definition!H$3),0)</f>
        <v>0</v>
      </c>
      <c r="Q217" s="68">
        <f>IF(compute_ManualOverrideSPA="No", COUNTIFS(JSMVC!E$5:E$14987,UCDEffortSpread!D43, JSMVC!B$5:B$14987,Definition!C$8,JSMVC!D$5:D$14987,Definition!I$3),0)</f>
        <v>0</v>
      </c>
      <c r="R217" s="203">
        <f>(Definition!M217*Definition!E$8)</f>
        <v>0</v>
      </c>
      <c r="S217" s="203">
        <f>(Definition!N217*Definition!F$8)</f>
        <v>0</v>
      </c>
      <c r="T217" s="203">
        <f>(Definition!O217*Definition!G$8)</f>
        <v>0</v>
      </c>
      <c r="U217" s="203">
        <f>(Definition!P217*Definition!H$8)</f>
        <v>0</v>
      </c>
      <c r="V217" s="203">
        <f>(Definition!Q217*Definition!I$8)</f>
        <v>0</v>
      </c>
      <c r="W217" s="204">
        <f t="shared" si="27"/>
        <v>0</v>
      </c>
      <c r="X217" s="206">
        <f t="shared" si="26"/>
        <v>0</v>
      </c>
    </row>
    <row r="218" spans="12:24">
      <c r="L218" s="423"/>
      <c r="M218" s="68">
        <f>IF(compute_ManualOverrideSPA="No", COUNTIFS(JSMVC!E$5:E$14987,UCDEffortSpread!D44, JSMVC!B$5:B$14987,Definition!C$8,JSMVC!D$5:D$14987,Definition!E$3),0)</f>
        <v>0</v>
      </c>
      <c r="N218" s="68">
        <f>IF(compute_ManualOverrideSPA="No", COUNTIFS(JSMVC!E$5:E$14987,UCDEffortSpread!D44, JSMVC!B$5:B$14987,Definition!C$8,JSMVC!D$5:D$14987,Definition!F$3),0)</f>
        <v>0</v>
      </c>
      <c r="O218" s="68">
        <f>IF(compute_ManualOverrideSPA="No", COUNTIFS(JSMVC!E$5:E$14987,UCDEffortSpread!D44, JSMVC!B$5:B$14987,Definition!C$8,JSMVC!D$5:D$14987,Definition!G$3),0)</f>
        <v>0</v>
      </c>
      <c r="P218" s="68">
        <f>IF(compute_ManualOverrideSPA="No", COUNTIFS(JSMVC!E$5:E$14987,UCDEffortSpread!D44, JSMVC!B$5:B$14987,Definition!C$8,JSMVC!D$5:D$14987,Definition!H$3),0)</f>
        <v>0</v>
      </c>
      <c r="Q218" s="68">
        <f>IF(compute_ManualOverrideSPA="No", COUNTIFS(JSMVC!E$5:E$14987,UCDEffortSpread!D44, JSMVC!B$5:B$14987,Definition!C$8,JSMVC!D$5:D$14987,Definition!I$3),0)</f>
        <v>0</v>
      </c>
      <c r="R218" s="203">
        <f>(Definition!M218*Definition!E$8)</f>
        <v>0</v>
      </c>
      <c r="S218" s="203">
        <f>(Definition!N218*Definition!F$8)</f>
        <v>0</v>
      </c>
      <c r="T218" s="203">
        <f>(Definition!O218*Definition!G$8)</f>
        <v>0</v>
      </c>
      <c r="U218" s="203">
        <f>(Definition!P218*Definition!H$8)</f>
        <v>0</v>
      </c>
      <c r="V218" s="203">
        <f>(Definition!Q218*Definition!I$8)</f>
        <v>0</v>
      </c>
      <c r="W218" s="204">
        <f t="shared" si="27"/>
        <v>0</v>
      </c>
      <c r="X218" s="206">
        <f t="shared" si="26"/>
        <v>0</v>
      </c>
    </row>
    <row r="219" spans="12:24">
      <c r="L219" s="423"/>
      <c r="M219" s="68">
        <f>IF(compute_ManualOverrideSPA="No", COUNTIFS(JSMVC!E$5:E$14987,UCDEffortSpread!D45, JSMVC!B$5:B$14987,Definition!C$8,JSMVC!D$5:D$14987,Definition!E$3),0)</f>
        <v>0</v>
      </c>
      <c r="N219" s="68">
        <f>IF(compute_ManualOverrideSPA="No", COUNTIFS(JSMVC!E$5:E$14987,UCDEffortSpread!D45, JSMVC!B$5:B$14987,Definition!C$8,JSMVC!D$5:D$14987,Definition!F$3),0)</f>
        <v>0</v>
      </c>
      <c r="O219" s="68">
        <f>IF(compute_ManualOverrideSPA="No", COUNTIFS(JSMVC!E$5:E$14987,UCDEffortSpread!D45, JSMVC!B$5:B$14987,Definition!C$8,JSMVC!D$5:D$14987,Definition!G$3),0)</f>
        <v>0</v>
      </c>
      <c r="P219" s="68">
        <f>IF(compute_ManualOverrideSPA="No", COUNTIFS(JSMVC!E$5:E$14987,UCDEffortSpread!D45, JSMVC!B$5:B$14987,Definition!C$8,JSMVC!D$5:D$14987,Definition!H$3),0)</f>
        <v>0</v>
      </c>
      <c r="Q219" s="68">
        <f>IF(compute_ManualOverrideSPA="No", COUNTIFS(JSMVC!E$5:E$14987,UCDEffortSpread!D45, JSMVC!B$5:B$14987,Definition!C$8,JSMVC!D$5:D$14987,Definition!I$3),0)</f>
        <v>0</v>
      </c>
      <c r="R219" s="203">
        <f>(Definition!M219*Definition!E$8)</f>
        <v>0</v>
      </c>
      <c r="S219" s="203">
        <f>(Definition!N219*Definition!F$8)</f>
        <v>0</v>
      </c>
      <c r="T219" s="203">
        <f>(Definition!O219*Definition!G$8)</f>
        <v>0</v>
      </c>
      <c r="U219" s="203">
        <f>(Definition!P219*Definition!H$8)</f>
        <v>0</v>
      </c>
      <c r="V219" s="203">
        <f>(Definition!Q219*Definition!I$8)</f>
        <v>0</v>
      </c>
      <c r="W219" s="204">
        <f t="shared" si="27"/>
        <v>0</v>
      </c>
      <c r="X219" s="206">
        <f t="shared" si="26"/>
        <v>0</v>
      </c>
    </row>
    <row r="220" spans="12:24">
      <c r="L220" s="423"/>
      <c r="M220" s="68">
        <f>IF(compute_ManualOverrideSPA="No", COUNTIFS(JSMVC!E$5:E$14987,UCDEffortSpread!D46, JSMVC!B$5:B$14987,Definition!C$8,JSMVC!D$5:D$14987,Definition!E$3),0)</f>
        <v>0</v>
      </c>
      <c r="N220" s="68">
        <f>IF(compute_ManualOverrideSPA="No", COUNTIFS(JSMVC!E$5:E$14987,UCDEffortSpread!D46, JSMVC!B$5:B$14987,Definition!C$8,JSMVC!D$5:D$14987,Definition!F$3),0)</f>
        <v>0</v>
      </c>
      <c r="O220" s="68">
        <f>IF(compute_ManualOverrideSPA="No", COUNTIFS(JSMVC!E$5:E$14987,UCDEffortSpread!D46, JSMVC!B$5:B$14987,Definition!C$8,JSMVC!D$5:D$14987,Definition!G$3),0)</f>
        <v>0</v>
      </c>
      <c r="P220" s="68">
        <f>IF(compute_ManualOverrideSPA="No", COUNTIFS(JSMVC!E$5:E$14987,UCDEffortSpread!D46, JSMVC!B$5:B$14987,Definition!C$8,JSMVC!D$5:D$14987,Definition!H$3),0)</f>
        <v>0</v>
      </c>
      <c r="Q220" s="68">
        <f>IF(compute_ManualOverrideSPA="No", COUNTIFS(JSMVC!E$5:E$14987,UCDEffortSpread!D46, JSMVC!B$5:B$14987,Definition!C$8,JSMVC!D$5:D$14987,Definition!I$3),0)</f>
        <v>0</v>
      </c>
      <c r="R220" s="203">
        <f>(Definition!M220*Definition!E$8)</f>
        <v>0</v>
      </c>
      <c r="S220" s="203">
        <f>(Definition!N220*Definition!F$8)</f>
        <v>0</v>
      </c>
      <c r="T220" s="203">
        <f>(Definition!O220*Definition!G$8)</f>
        <v>0</v>
      </c>
      <c r="U220" s="203">
        <f>(Definition!P220*Definition!H$8)</f>
        <v>0</v>
      </c>
      <c r="V220" s="203">
        <f>(Definition!Q220*Definition!I$8)</f>
        <v>0</v>
      </c>
      <c r="W220" s="204">
        <f t="shared" si="27"/>
        <v>0</v>
      </c>
      <c r="X220" s="206">
        <f t="shared" si="26"/>
        <v>0</v>
      </c>
    </row>
    <row r="221" spans="12:24">
      <c r="L221" s="423"/>
      <c r="M221" s="68">
        <f>IF(compute_ManualOverrideSPA="No", COUNTIFS(JSMVC!E$5:E$14987,UCDEffortSpread!D47, JSMVC!B$5:B$14987,Definition!C$8,JSMVC!D$5:D$14987,Definition!E$3),0)</f>
        <v>0</v>
      </c>
      <c r="N221" s="68">
        <f>IF(compute_ManualOverrideSPA="No", COUNTIFS(JSMVC!E$5:E$14987,UCDEffortSpread!D47, JSMVC!B$5:B$14987,Definition!C$8,JSMVC!D$5:D$14987,Definition!F$3),0)</f>
        <v>0</v>
      </c>
      <c r="O221" s="68">
        <f>IF(compute_ManualOverrideSPA="No", COUNTIFS(JSMVC!E$5:E$14987,UCDEffortSpread!D47, JSMVC!B$5:B$14987,Definition!C$8,JSMVC!D$5:D$14987,Definition!G$3),0)</f>
        <v>0</v>
      </c>
      <c r="P221" s="68">
        <f>IF(compute_ManualOverrideSPA="No", COUNTIFS(JSMVC!E$5:E$14987,UCDEffortSpread!D47, JSMVC!B$5:B$14987,Definition!C$8,JSMVC!D$5:D$14987,Definition!H$3),0)</f>
        <v>0</v>
      </c>
      <c r="Q221" s="68">
        <f>IF(compute_ManualOverrideSPA="No", COUNTIFS(JSMVC!E$5:E$14987,UCDEffortSpread!D47, JSMVC!B$5:B$14987,Definition!C$8,JSMVC!D$5:D$14987,Definition!I$3),0)</f>
        <v>0</v>
      </c>
      <c r="R221" s="203">
        <f>(Definition!M221*Definition!E$8)</f>
        <v>0</v>
      </c>
      <c r="S221" s="203">
        <f>(Definition!N221*Definition!F$8)</f>
        <v>0</v>
      </c>
      <c r="T221" s="203">
        <f>(Definition!O221*Definition!G$8)</f>
        <v>0</v>
      </c>
      <c r="U221" s="203">
        <f>(Definition!P221*Definition!H$8)</f>
        <v>0</v>
      </c>
      <c r="V221" s="203">
        <f>(Definition!Q221*Definition!I$8)</f>
        <v>0</v>
      </c>
      <c r="W221" s="204">
        <f t="shared" si="27"/>
        <v>0</v>
      </c>
      <c r="X221" s="206">
        <f t="shared" si="26"/>
        <v>0</v>
      </c>
    </row>
    <row r="222" spans="12:24">
      <c r="L222" s="423"/>
      <c r="M222" s="68">
        <f>IF(compute_ManualOverrideSPA="No", COUNTIFS(JSMVC!E$5:E$14987,UCDEffortSpread!D48, JSMVC!B$5:B$14987,Definition!C$8,JSMVC!D$5:D$14987,Definition!E$3),0)</f>
        <v>0</v>
      </c>
      <c r="N222" s="68">
        <f>IF(compute_ManualOverrideSPA="No", COUNTIFS(JSMVC!E$5:E$14987,UCDEffortSpread!D48, JSMVC!B$5:B$14987,Definition!C$8,JSMVC!D$5:D$14987,Definition!F$3),0)</f>
        <v>0</v>
      </c>
      <c r="O222" s="68">
        <f>IF(compute_ManualOverrideSPA="No", COUNTIFS(JSMVC!E$5:E$14987,UCDEffortSpread!D48, JSMVC!B$5:B$14987,Definition!C$8,JSMVC!D$5:D$14987,Definition!G$3),0)</f>
        <v>0</v>
      </c>
      <c r="P222" s="68">
        <f>IF(compute_ManualOverrideSPA="No", COUNTIFS(JSMVC!E$5:E$14987,UCDEffortSpread!D48, JSMVC!B$5:B$14987,Definition!C$8,JSMVC!D$5:D$14987,Definition!H$3),0)</f>
        <v>0</v>
      </c>
      <c r="Q222" s="68">
        <f>IF(compute_ManualOverrideSPA="No", COUNTIFS(JSMVC!E$5:E$14987,UCDEffortSpread!D48, JSMVC!B$5:B$14987,Definition!C$8,JSMVC!D$5:D$14987,Definition!I$3),0)</f>
        <v>0</v>
      </c>
      <c r="R222" s="203">
        <f>(Definition!M222*Definition!E$8)</f>
        <v>0</v>
      </c>
      <c r="S222" s="203">
        <f>(Definition!N222*Definition!F$8)</f>
        <v>0</v>
      </c>
      <c r="T222" s="203">
        <f>(Definition!O222*Definition!G$8)</f>
        <v>0</v>
      </c>
      <c r="U222" s="203">
        <f>(Definition!P222*Definition!H$8)</f>
        <v>0</v>
      </c>
      <c r="V222" s="203">
        <f>(Definition!Q222*Definition!I$8)</f>
        <v>0</v>
      </c>
      <c r="W222" s="204">
        <f t="shared" si="27"/>
        <v>0</v>
      </c>
      <c r="X222" s="206">
        <f t="shared" si="26"/>
        <v>0</v>
      </c>
    </row>
    <row r="223" spans="12:24">
      <c r="L223" s="423"/>
      <c r="M223" s="68">
        <f>IF(compute_ManualOverrideSPA="No", COUNTIFS(JSMVC!E$5:E$14987,UCDEffortSpread!D49, JSMVC!B$5:B$14987,Definition!C$8,JSMVC!D$5:D$14987,Definition!E$3),0)</f>
        <v>0</v>
      </c>
      <c r="N223" s="68">
        <f>IF(compute_ManualOverrideSPA="No", COUNTIFS(JSMVC!E$5:E$14987,UCDEffortSpread!D49, JSMVC!B$5:B$14987,Definition!C$8,JSMVC!D$5:D$14987,Definition!F$3),0)</f>
        <v>0</v>
      </c>
      <c r="O223" s="68">
        <f>IF(compute_ManualOverrideSPA="No", COUNTIFS(JSMVC!E$5:E$14987,UCDEffortSpread!D49, JSMVC!B$5:B$14987,Definition!C$8,JSMVC!D$5:D$14987,Definition!G$3),0)</f>
        <v>0</v>
      </c>
      <c r="P223" s="68">
        <f>IF(compute_ManualOverrideSPA="No", COUNTIFS(JSMVC!E$5:E$14987,UCDEffortSpread!D49, JSMVC!B$5:B$14987,Definition!C$8,JSMVC!D$5:D$14987,Definition!H$3),0)</f>
        <v>0</v>
      </c>
      <c r="Q223" s="68">
        <f>IF(compute_ManualOverrideSPA="No", COUNTIFS(JSMVC!E$5:E$14987,UCDEffortSpread!D49, JSMVC!B$5:B$14987,Definition!C$8,JSMVC!D$5:D$14987,Definition!I$3),0)</f>
        <v>0</v>
      </c>
      <c r="R223" s="203">
        <f>(Definition!M223*Definition!E$8)</f>
        <v>0</v>
      </c>
      <c r="S223" s="203">
        <f>(Definition!N223*Definition!F$8)</f>
        <v>0</v>
      </c>
      <c r="T223" s="203">
        <f>(Definition!O223*Definition!G$8)</f>
        <v>0</v>
      </c>
      <c r="U223" s="203">
        <f>(Definition!P223*Definition!H$8)</f>
        <v>0</v>
      </c>
      <c r="V223" s="203">
        <f>(Definition!Q223*Definition!I$8)</f>
        <v>0</v>
      </c>
      <c r="W223" s="204">
        <f t="shared" si="27"/>
        <v>0</v>
      </c>
      <c r="X223" s="206">
        <f t="shared" si="26"/>
        <v>0</v>
      </c>
    </row>
    <row r="224" spans="12:24">
      <c r="L224" s="423"/>
      <c r="M224" s="68">
        <f>IF(compute_ManualOverrideSPA="No", COUNTIFS(JSMVC!E$5:E$14987,UCDEffortSpread!D50, JSMVC!B$5:B$14987,Definition!C$8,JSMVC!D$5:D$14987,Definition!E$3),0)</f>
        <v>0</v>
      </c>
      <c r="N224" s="68">
        <f>IF(compute_ManualOverrideSPA="No", COUNTIFS(JSMVC!E$5:E$14987,UCDEffortSpread!D50, JSMVC!B$5:B$14987,Definition!C$8,JSMVC!D$5:D$14987,Definition!F$3),0)</f>
        <v>0</v>
      </c>
      <c r="O224" s="68">
        <f>IF(compute_ManualOverrideSPA="No", COUNTIFS(JSMVC!E$5:E$14987,UCDEffortSpread!D50, JSMVC!B$5:B$14987,Definition!C$8,JSMVC!D$5:D$14987,Definition!G$3),0)</f>
        <v>0</v>
      </c>
      <c r="P224" s="68">
        <f>IF(compute_ManualOverrideSPA="No", COUNTIFS(JSMVC!E$5:E$14987,UCDEffortSpread!D50, JSMVC!B$5:B$14987,Definition!C$8,JSMVC!D$5:D$14987,Definition!H$3),0)</f>
        <v>0</v>
      </c>
      <c r="Q224" s="68">
        <f>IF(compute_ManualOverrideSPA="No", COUNTIFS(JSMVC!E$5:E$14987,UCDEffortSpread!D50, JSMVC!B$5:B$14987,Definition!C$8,JSMVC!D$5:D$14987,Definition!I$3),0)</f>
        <v>0</v>
      </c>
      <c r="R224" s="203">
        <f>(Definition!M224*Definition!E$8)</f>
        <v>0</v>
      </c>
      <c r="S224" s="203">
        <f>(Definition!N224*Definition!F$8)</f>
        <v>0</v>
      </c>
      <c r="T224" s="203">
        <f>(Definition!O224*Definition!G$8)</f>
        <v>0</v>
      </c>
      <c r="U224" s="203">
        <f>(Definition!P224*Definition!H$8)</f>
        <v>0</v>
      </c>
      <c r="V224" s="203">
        <f>(Definition!Q224*Definition!I$8)</f>
        <v>0</v>
      </c>
      <c r="W224" s="204">
        <f t="shared" si="27"/>
        <v>0</v>
      </c>
      <c r="X224" s="206">
        <f t="shared" si="26"/>
        <v>0</v>
      </c>
    </row>
    <row r="225" spans="12:24">
      <c r="L225" s="423"/>
      <c r="M225" s="68">
        <f>IF(compute_ManualOverrideSPA="No", COUNTIFS(JSMVC!E$5:E$14987,UCDEffortSpread!D51, JSMVC!B$5:B$14987,Definition!C$8,JSMVC!D$5:D$14987,Definition!E$3),0)</f>
        <v>0</v>
      </c>
      <c r="N225" s="68">
        <f>IF(compute_ManualOverrideSPA="No", COUNTIFS(JSMVC!E$5:E$14987,UCDEffortSpread!D51, JSMVC!B$5:B$14987,Definition!C$8,JSMVC!D$5:D$14987,Definition!F$3),0)</f>
        <v>0</v>
      </c>
      <c r="O225" s="68">
        <f>IF(compute_ManualOverrideSPA="No", COUNTIFS(JSMVC!E$5:E$14987,UCDEffortSpread!D51, JSMVC!B$5:B$14987,Definition!C$8,JSMVC!D$5:D$14987,Definition!G$3),0)</f>
        <v>0</v>
      </c>
      <c r="P225" s="68">
        <f>IF(compute_ManualOverrideSPA="No", COUNTIFS(JSMVC!E$5:E$14987,UCDEffortSpread!D51, JSMVC!B$5:B$14987,Definition!C$8,JSMVC!D$5:D$14987,Definition!H$3),0)</f>
        <v>0</v>
      </c>
      <c r="Q225" s="68">
        <f>IF(compute_ManualOverrideSPA="No", COUNTIFS(JSMVC!E$5:E$14987,UCDEffortSpread!D51, JSMVC!B$5:B$14987,Definition!C$8,JSMVC!D$5:D$14987,Definition!I$3),0)</f>
        <v>0</v>
      </c>
      <c r="R225" s="203">
        <f>(Definition!M225*Definition!E$8)</f>
        <v>0</v>
      </c>
      <c r="S225" s="203">
        <f>(Definition!N225*Definition!F$8)</f>
        <v>0</v>
      </c>
      <c r="T225" s="203">
        <f>(Definition!O225*Definition!G$8)</f>
        <v>0</v>
      </c>
      <c r="U225" s="203">
        <f>(Definition!P225*Definition!H$8)</f>
        <v>0</v>
      </c>
      <c r="V225" s="203">
        <f>(Definition!Q225*Definition!I$8)</f>
        <v>0</v>
      </c>
      <c r="W225" s="204">
        <f t="shared" si="27"/>
        <v>0</v>
      </c>
      <c r="X225" s="206">
        <f t="shared" si="26"/>
        <v>0</v>
      </c>
    </row>
    <row r="226" spans="12:24">
      <c r="L226" s="423"/>
      <c r="M226" s="68">
        <f>IF(compute_ManualOverrideSPA="No", COUNTIFS(JSMVC!E$5:E$14987,UCDEffortSpread!D52, JSMVC!B$5:B$14987,Definition!C$8,JSMVC!D$5:D$14987,Definition!E$3),0)</f>
        <v>0</v>
      </c>
      <c r="N226" s="68">
        <f>IF(compute_ManualOverrideSPA="No", COUNTIFS(JSMVC!E$5:E$14987,UCDEffortSpread!D52, JSMVC!B$5:B$14987,Definition!C$8,JSMVC!D$5:D$14987,Definition!F$3),0)</f>
        <v>0</v>
      </c>
      <c r="O226" s="68">
        <f>IF(compute_ManualOverrideSPA="No", COUNTIFS(JSMVC!E$5:E$14987,UCDEffortSpread!D52, JSMVC!B$5:B$14987,Definition!C$8,JSMVC!D$5:D$14987,Definition!G$3),0)</f>
        <v>0</v>
      </c>
      <c r="P226" s="68">
        <f>IF(compute_ManualOverrideSPA="No", COUNTIFS(JSMVC!E$5:E$14987,UCDEffortSpread!D52, JSMVC!B$5:B$14987,Definition!C$8,JSMVC!D$5:D$14987,Definition!H$3),0)</f>
        <v>0</v>
      </c>
      <c r="Q226" s="68">
        <f>IF(compute_ManualOverrideSPA="No", COUNTIFS(JSMVC!E$5:E$14987,UCDEffortSpread!D52, JSMVC!B$5:B$14987,Definition!C$8,JSMVC!D$5:D$14987,Definition!I$3),0)</f>
        <v>0</v>
      </c>
      <c r="R226" s="203">
        <f>(Definition!M226*Definition!E$8)</f>
        <v>0</v>
      </c>
      <c r="S226" s="203">
        <f>(Definition!N226*Definition!F$8)</f>
        <v>0</v>
      </c>
      <c r="T226" s="203">
        <f>(Definition!O226*Definition!G$8)</f>
        <v>0</v>
      </c>
      <c r="U226" s="203">
        <f>(Definition!P226*Definition!H$8)</f>
        <v>0</v>
      </c>
      <c r="V226" s="203">
        <f>(Definition!Q226*Definition!I$8)</f>
        <v>0</v>
      </c>
      <c r="W226" s="204">
        <f t="shared" si="27"/>
        <v>0</v>
      </c>
      <c r="X226" s="206">
        <f t="shared" si="26"/>
        <v>0</v>
      </c>
    </row>
    <row r="227" spans="12:24">
      <c r="L227" s="423"/>
      <c r="M227" s="68">
        <f>IF(compute_ManualOverrideSPA="No", COUNTIFS(JSMVC!E$5:E$14987,UCDEffortSpread!D53, JSMVC!B$5:B$14987,Definition!C$8,JSMVC!D$5:D$14987,Definition!E$3),0)</f>
        <v>0</v>
      </c>
      <c r="N227" s="68">
        <f>IF(compute_ManualOverrideSPA="No", COUNTIFS(JSMVC!E$5:E$14987,UCDEffortSpread!D53, JSMVC!B$5:B$14987,Definition!C$8,JSMVC!D$5:D$14987,Definition!F$3),0)</f>
        <v>0</v>
      </c>
      <c r="O227" s="68">
        <f>IF(compute_ManualOverrideSPA="No", COUNTIFS(JSMVC!E$5:E$14987,UCDEffortSpread!D53, JSMVC!B$5:B$14987,Definition!C$8,JSMVC!D$5:D$14987,Definition!G$3),0)</f>
        <v>0</v>
      </c>
      <c r="P227" s="68">
        <f>IF(compute_ManualOverrideSPA="No", COUNTIFS(JSMVC!E$5:E$14987,UCDEffortSpread!D53, JSMVC!B$5:B$14987,Definition!C$8,JSMVC!D$5:D$14987,Definition!H$3),0)</f>
        <v>0</v>
      </c>
      <c r="Q227" s="68">
        <f>IF(compute_ManualOverrideSPA="No", COUNTIFS(JSMVC!E$5:E$14987,UCDEffortSpread!D53, JSMVC!B$5:B$14987,Definition!C$8,JSMVC!D$5:D$14987,Definition!I$3),0)</f>
        <v>0</v>
      </c>
      <c r="R227" s="203">
        <f>(Definition!M227*Definition!E$8)</f>
        <v>0</v>
      </c>
      <c r="S227" s="203">
        <f>(Definition!N227*Definition!F$8)</f>
        <v>0</v>
      </c>
      <c r="T227" s="203">
        <f>(Definition!O227*Definition!G$8)</f>
        <v>0</v>
      </c>
      <c r="U227" s="203">
        <f>(Definition!P227*Definition!H$8)</f>
        <v>0</v>
      </c>
      <c r="V227" s="203">
        <f>(Definition!Q227*Definition!I$8)</f>
        <v>0</v>
      </c>
      <c r="W227" s="204">
        <f t="shared" si="27"/>
        <v>0</v>
      </c>
      <c r="X227" s="206">
        <f t="shared" si="26"/>
        <v>0</v>
      </c>
    </row>
    <row r="228" spans="12:24">
      <c r="L228" s="424"/>
      <c r="M228" s="68">
        <f>IF(compute_ManualOverrideSPA="No", COUNTIFS(JSMVC!E$5:E$14987,UCDEffortSpread!D54, JSMVC!B$5:B$14987,Definition!C$8,JSMVC!D$5:D$14987,Definition!E$3),0)</f>
        <v>0</v>
      </c>
      <c r="N228" s="68">
        <f>IF(compute_ManualOverrideSPA="No", COUNTIFS(JSMVC!E$5:E$14987,UCDEffortSpread!D54, JSMVC!B$5:B$14987,Definition!C$8,JSMVC!D$5:D$14987,Definition!F$3),0)</f>
        <v>0</v>
      </c>
      <c r="O228" s="68">
        <f>IF(compute_ManualOverrideSPA="No", COUNTIFS(JSMVC!E$5:E$14987,UCDEffortSpread!D54, JSMVC!B$5:B$14987,Definition!C$8,JSMVC!D$5:D$14987,Definition!G$3),0)</f>
        <v>0</v>
      </c>
      <c r="P228" s="68">
        <f>IF(compute_ManualOverrideSPA="No", COUNTIFS(JSMVC!E$5:E$14987,UCDEffortSpread!D54, JSMVC!B$5:B$14987,Definition!C$8,JSMVC!D$5:D$14987,Definition!H$3),0)</f>
        <v>0</v>
      </c>
      <c r="Q228" s="68">
        <f>IF(compute_ManualOverrideSPA="No", COUNTIFS(JSMVC!E$5:E$14987,UCDEffortSpread!D54, JSMVC!B$5:B$14987,Definition!C$8,JSMVC!D$5:D$14987,Definition!I$3),0)</f>
        <v>0</v>
      </c>
      <c r="R228" s="203">
        <f>(Definition!M228*Definition!E$8)</f>
        <v>0</v>
      </c>
      <c r="S228" s="203">
        <f>(Definition!N228*Definition!F$8)</f>
        <v>0</v>
      </c>
      <c r="T228" s="203">
        <f>(Definition!O228*Definition!G$8)</f>
        <v>0</v>
      </c>
      <c r="U228" s="203">
        <f>(Definition!P228*Definition!H$8)</f>
        <v>0</v>
      </c>
      <c r="V228" s="203">
        <f>(Definition!Q228*Definition!I$8)</f>
        <v>0</v>
      </c>
      <c r="W228" s="204">
        <f t="shared" si="27"/>
        <v>0</v>
      </c>
      <c r="X228" s="206">
        <f t="shared" si="26"/>
        <v>0</v>
      </c>
    </row>
    <row r="229" spans="12:24">
      <c r="L229" s="422" t="str">
        <f>C9</f>
        <v>Views</v>
      </c>
      <c r="M229" s="254">
        <f>IF(compute_ManualOverrideSPA="No", COUNTIFS(JSMVC!E$5:E$14987,UCDEffortSpread!D5, JSMVC!B$5:B$14987,Definition!C$9,JSMVC!D$5:D$14987,Definition!E$3),JSMVC!H$17)</f>
        <v>0</v>
      </c>
      <c r="N229" s="68">
        <f>IF(compute_ManualOverrideSPA="No", COUNTIFS(JSMVC!E$5:E$14987,UCDEffortSpread!D5, JSMVC!B$5:B$14987,Definition!C$9,JSMVC!D$5:D$14987,Definition!F$3),JSMVC!I$17)</f>
        <v>0</v>
      </c>
      <c r="O229" s="68">
        <f>IF(compute_ManualOverrideSPA="No", COUNTIFS(JSMVC!E$5:E$14987,UCDEffortSpread!D5, JSMVC!B$5:B$14987,Definition!C$9,JSMVC!D$5:D$14987,Definition!G$3),JSMVC!J$17)</f>
        <v>0</v>
      </c>
      <c r="P229" s="68">
        <f>IF(compute_ManualOverrideSPA="No", COUNTIFS(JSMVC!E$5:E$14987,UCDEffortSpread!D5, JSMVC!B$5:B$14987,Definition!C$9,JSMVC!D$5:D$14987,Definition!H$3),JSMVC!K$17)</f>
        <v>0</v>
      </c>
      <c r="Q229" s="68">
        <f>IF(compute_ManualOverrideSPA="No", COUNTIFS(JSMVC!E$5:E$14987,UCDEffortSpread!D5, JSMVC!B$5:B$14987,Definition!C$9,JSMVC!D$5:D$14987,Definition!I$3),JSMVC!L$17)</f>
        <v>0</v>
      </c>
      <c r="R229" s="204">
        <f>(Definition!M229*Definition!E$9)</f>
        <v>0</v>
      </c>
      <c r="S229" s="204">
        <f>(Definition!N229*Definition!F$9)</f>
        <v>0</v>
      </c>
      <c r="T229" s="204">
        <f>(Definition!O229*Definition!G$9)</f>
        <v>0</v>
      </c>
      <c r="U229" s="204">
        <f>(Definition!P229*Definition!H$9)</f>
        <v>0</v>
      </c>
      <c r="V229" s="204">
        <f>(Definition!Q229*Definition!I$9)</f>
        <v>0</v>
      </c>
      <c r="W229" s="203">
        <f>SUM(R229:V229)</f>
        <v>0</v>
      </c>
      <c r="X229" s="206">
        <f>IF(W229&lt;&gt;0,SUM(R229:V229),0)</f>
        <v>0</v>
      </c>
    </row>
    <row r="230" spans="12:24">
      <c r="L230" s="423"/>
      <c r="M230" s="254">
        <f>IF(compute_ManualOverrideSPA="No", COUNTIFS(JSMVC!E$5:E$14987,UCDEffortSpread!D6, JSMVC!B$5:B$14987,Definition!C$9,JSMVC!D$5:D$14987,Definition!E$3),0)</f>
        <v>0</v>
      </c>
      <c r="N230" s="68">
        <f>IF(compute_ManualOverrideSPA="No", COUNTIFS(JSMVC!E$5:E$14987,UCDEffortSpread!D6, JSMVC!B$5:B$14987,Definition!C$9,JSMVC!D$5:D$14987,Definition!F$3),0)</f>
        <v>0</v>
      </c>
      <c r="O230" s="68">
        <f>IF(compute_ManualOverrideSPA="No", COUNTIFS(JSMVC!E$5:E$14987,UCDEffortSpread!D6, JSMVC!B$5:B$14987,Definition!C$9,JSMVC!D$5:D$14987,Definition!G$3),0)</f>
        <v>0</v>
      </c>
      <c r="P230" s="68">
        <f>IF(compute_ManualOverrideSPA="No", COUNTIFS(JSMVC!E$5:E$14987,UCDEffortSpread!D6, JSMVC!B$5:B$14987,Definition!C$9,JSMVC!D$5:D$14987,Definition!H$3),0)</f>
        <v>0</v>
      </c>
      <c r="Q230" s="68">
        <f>IF(compute_ManualOverrideSPA="No", COUNTIFS(JSMVC!E$5:E$14987,UCDEffortSpread!D6, JSMVC!B$5:B$14987,Definition!C$9,JSMVC!D$5:D$14987,Definition!I$3),0)</f>
        <v>0</v>
      </c>
      <c r="R230" s="204">
        <f>(Definition!M230*Definition!E$9)</f>
        <v>0</v>
      </c>
      <c r="S230" s="204">
        <f>(Definition!N230*Definition!F$9)</f>
        <v>0</v>
      </c>
      <c r="T230" s="204">
        <f>(Definition!O230*Definition!G$9)</f>
        <v>0</v>
      </c>
      <c r="U230" s="204">
        <f>(Definition!P230*Definition!H$9)</f>
        <v>0</v>
      </c>
      <c r="V230" s="204">
        <f>(Definition!Q230*Definition!I$9)</f>
        <v>0</v>
      </c>
      <c r="W230" s="203">
        <f t="shared" ref="W230:W243" si="28">SUM(R230:V230)</f>
        <v>0</v>
      </c>
      <c r="X230" s="206">
        <f t="shared" si="26"/>
        <v>0</v>
      </c>
    </row>
    <row r="231" spans="12:24">
      <c r="L231" s="423"/>
      <c r="M231" s="254">
        <f>IF(compute_ManualOverrideSPA="No", COUNTIFS(JSMVC!E$5:E$14987,UCDEffortSpread!D7, JSMVC!B$5:B$14987,Definition!C$9,JSMVC!D$5:D$14987,Definition!E$3),0)</f>
        <v>0</v>
      </c>
      <c r="N231" s="68">
        <f>IF(compute_ManualOverrideSPA="No", COUNTIFS(JSMVC!E$5:E$14987,UCDEffortSpread!D7, JSMVC!B$5:B$14987,Definition!C$9,JSMVC!D$5:D$14987,Definition!F$3),0)</f>
        <v>0</v>
      </c>
      <c r="O231" s="68">
        <f>IF(compute_ManualOverrideSPA="No", COUNTIFS(JSMVC!E$5:E$14987,UCDEffortSpread!D7, JSMVC!B$5:B$14987,Definition!C$9,JSMVC!D$5:D$14987,Definition!G$3),0)</f>
        <v>0</v>
      </c>
      <c r="P231" s="68">
        <f>IF(compute_ManualOverrideSPA="No", COUNTIFS(JSMVC!E$5:E$14987,UCDEffortSpread!D7, JSMVC!B$5:B$14987,Definition!C$9,JSMVC!D$5:D$14987,Definition!H$3),0)</f>
        <v>0</v>
      </c>
      <c r="Q231" s="68">
        <f>IF(compute_ManualOverrideSPA="No", COUNTIFS(JSMVC!E$5:E$14987,UCDEffortSpread!D7, JSMVC!B$5:B$14987,Definition!C$9,JSMVC!D$5:D$14987,Definition!I$3),0)</f>
        <v>0</v>
      </c>
      <c r="R231" s="204">
        <f>(Definition!M231*Definition!E$9)</f>
        <v>0</v>
      </c>
      <c r="S231" s="204">
        <f>(Definition!N231*Definition!F$9)</f>
        <v>0</v>
      </c>
      <c r="T231" s="204">
        <f>(Definition!O231*Definition!G$9)</f>
        <v>0</v>
      </c>
      <c r="U231" s="204">
        <f>(Definition!P231*Definition!H$9)</f>
        <v>0</v>
      </c>
      <c r="V231" s="204">
        <f>(Definition!Q231*Definition!I$9)</f>
        <v>0</v>
      </c>
      <c r="W231" s="203">
        <f t="shared" si="28"/>
        <v>0</v>
      </c>
      <c r="X231" s="206">
        <f t="shared" si="26"/>
        <v>0</v>
      </c>
    </row>
    <row r="232" spans="12:24">
      <c r="L232" s="423"/>
      <c r="M232" s="254">
        <f>IF(compute_ManualOverrideSPA="No", COUNTIFS(JSMVC!E$5:E$14987,UCDEffortSpread!D8, JSMVC!B$5:B$14987,Definition!C$9,JSMVC!D$5:D$14987,Definition!E$3),0)</f>
        <v>0</v>
      </c>
      <c r="N232" s="68">
        <f>IF(compute_ManualOverrideSPA="No", COUNTIFS(JSMVC!E$5:E$14987,UCDEffortSpread!D8, JSMVC!B$5:B$14987,Definition!C$9,JSMVC!D$5:D$14987,Definition!F$3),0)</f>
        <v>0</v>
      </c>
      <c r="O232" s="68">
        <f>IF(compute_ManualOverrideSPA="No", COUNTIFS(JSMVC!E$5:E$14987,UCDEffortSpread!D8, JSMVC!B$5:B$14987,Definition!C$9,JSMVC!D$5:D$14987,Definition!G$3),0)</f>
        <v>0</v>
      </c>
      <c r="P232" s="68">
        <f>IF(compute_ManualOverrideSPA="No", COUNTIFS(JSMVC!E$5:E$14987,UCDEffortSpread!D8, JSMVC!B$5:B$14987,Definition!C$9,JSMVC!D$5:D$14987,Definition!H$3),0)</f>
        <v>0</v>
      </c>
      <c r="Q232" s="68">
        <f>IF(compute_ManualOverrideSPA="No", COUNTIFS(JSMVC!E$5:E$14987,UCDEffortSpread!D8, JSMVC!B$5:B$14987,Definition!C$9,JSMVC!D$5:D$14987,Definition!I$3),0)</f>
        <v>0</v>
      </c>
      <c r="R232" s="204">
        <f>(Definition!M232*Definition!E$9)</f>
        <v>0</v>
      </c>
      <c r="S232" s="204">
        <f>(Definition!N232*Definition!F$9)</f>
        <v>0</v>
      </c>
      <c r="T232" s="204">
        <f>(Definition!O232*Definition!G$9)</f>
        <v>0</v>
      </c>
      <c r="U232" s="204">
        <f>(Definition!P232*Definition!H$9)</f>
        <v>0</v>
      </c>
      <c r="V232" s="204">
        <f>(Definition!Q232*Definition!I$9)</f>
        <v>0</v>
      </c>
      <c r="W232" s="203">
        <f t="shared" si="28"/>
        <v>0</v>
      </c>
      <c r="X232" s="206">
        <f t="shared" si="26"/>
        <v>0</v>
      </c>
    </row>
    <row r="233" spans="12:24">
      <c r="L233" s="423"/>
      <c r="M233" s="254">
        <f>IF(compute_ManualOverrideSPA="No", COUNTIFS(JSMVC!E$5:E$14987,UCDEffortSpread!D9, JSMVC!B$5:B$14987,Definition!C$9,JSMVC!D$5:D$14987,Definition!E$3),0)</f>
        <v>0</v>
      </c>
      <c r="N233" s="68">
        <f>IF(compute_ManualOverrideSPA="No", COUNTIFS(JSMVC!E$5:E$14987,UCDEffortSpread!D9, JSMVC!B$5:B$14987,Definition!C$9,JSMVC!D$5:D$14987,Definition!F$3),0)</f>
        <v>0</v>
      </c>
      <c r="O233" s="68">
        <f>IF(compute_ManualOverrideSPA="No", COUNTIFS(JSMVC!E$5:E$14987,UCDEffortSpread!D9, JSMVC!B$5:B$14987,Definition!C$9,JSMVC!D$5:D$14987,Definition!G$3),0)</f>
        <v>0</v>
      </c>
      <c r="P233" s="68">
        <f>IF(compute_ManualOverrideSPA="No", COUNTIFS(JSMVC!E$5:E$14987,UCDEffortSpread!D9, JSMVC!B$5:B$14987,Definition!C$9,JSMVC!D$5:D$14987,Definition!H$3),0)</f>
        <v>0</v>
      </c>
      <c r="Q233" s="68">
        <f>IF(compute_ManualOverrideSPA="No", COUNTIFS(JSMVC!E$5:E$14987,UCDEffortSpread!D9, JSMVC!B$5:B$14987,Definition!C$9,JSMVC!D$5:D$14987,Definition!I$3),0)</f>
        <v>0</v>
      </c>
      <c r="R233" s="204">
        <f>(Definition!M233*Definition!E$9)</f>
        <v>0</v>
      </c>
      <c r="S233" s="204">
        <f>(Definition!N233*Definition!F$9)</f>
        <v>0</v>
      </c>
      <c r="T233" s="204">
        <f>(Definition!O233*Definition!G$9)</f>
        <v>0</v>
      </c>
      <c r="U233" s="204">
        <f>(Definition!P233*Definition!H$9)</f>
        <v>0</v>
      </c>
      <c r="V233" s="204">
        <f>(Definition!Q233*Definition!I$9)</f>
        <v>0</v>
      </c>
      <c r="W233" s="203">
        <f t="shared" si="28"/>
        <v>0</v>
      </c>
      <c r="X233" s="206">
        <f t="shared" si="26"/>
        <v>0</v>
      </c>
    </row>
    <row r="234" spans="12:24">
      <c r="L234" s="423"/>
      <c r="M234" s="254">
        <f>IF(compute_ManualOverrideSPA="No", COUNTIFS(JSMVC!E$5:E$14987,UCDEffortSpread!D10, JSMVC!B$5:B$14987,Definition!C$9,JSMVC!D$5:D$14987,Definition!E$3),0)</f>
        <v>0</v>
      </c>
      <c r="N234" s="68">
        <f>IF(compute_ManualOverrideSPA="No", COUNTIFS(JSMVC!E$5:E$14987,UCDEffortSpread!D10, JSMVC!B$5:B$14987,Definition!C$9,JSMVC!D$5:D$14987,Definition!F$3),0)</f>
        <v>0</v>
      </c>
      <c r="O234" s="68">
        <f>IF(compute_ManualOverrideSPA="No", COUNTIFS(JSMVC!E$5:E$14987,UCDEffortSpread!D10, JSMVC!B$5:B$14987,Definition!C$9,JSMVC!D$5:D$14987,Definition!G$3),0)</f>
        <v>0</v>
      </c>
      <c r="P234" s="68">
        <f>IF(compute_ManualOverrideSPA="No", COUNTIFS(JSMVC!E$5:E$14987,UCDEffortSpread!D10, JSMVC!B$5:B$14987,Definition!C$9,JSMVC!D$5:D$14987,Definition!H$3),0)</f>
        <v>0</v>
      </c>
      <c r="Q234" s="68">
        <f>IF(compute_ManualOverrideSPA="No", COUNTIFS(JSMVC!E$5:E$14987,UCDEffortSpread!D10, JSMVC!B$5:B$14987,Definition!C$9,JSMVC!D$5:D$14987,Definition!I$3),0)</f>
        <v>0</v>
      </c>
      <c r="R234" s="204">
        <f>(Definition!M234*Definition!E$9)</f>
        <v>0</v>
      </c>
      <c r="S234" s="204">
        <f>(Definition!N234*Definition!F$9)</f>
        <v>0</v>
      </c>
      <c r="T234" s="204">
        <f>(Definition!O234*Definition!G$9)</f>
        <v>0</v>
      </c>
      <c r="U234" s="204">
        <f>(Definition!P234*Definition!H$9)</f>
        <v>0</v>
      </c>
      <c r="V234" s="204">
        <f>(Definition!Q234*Definition!I$9)</f>
        <v>0</v>
      </c>
      <c r="W234" s="203">
        <f t="shared" si="28"/>
        <v>0</v>
      </c>
      <c r="X234" s="206">
        <f t="shared" si="26"/>
        <v>0</v>
      </c>
    </row>
    <row r="235" spans="12:24">
      <c r="L235" s="423"/>
      <c r="M235" s="254">
        <f>IF(compute_ManualOverrideSPA="No", COUNTIFS(JSMVC!E$5:E$14987,UCDEffortSpread!D11, JSMVC!B$5:B$14987,Definition!C$9,JSMVC!D$5:D$14987,Definition!E$3),0)</f>
        <v>0</v>
      </c>
      <c r="N235" s="68">
        <f>IF(compute_ManualOverrideSPA="No", COUNTIFS(JSMVC!E$5:E$14987,UCDEffortSpread!D11, JSMVC!B$5:B$14987,Definition!C$9,JSMVC!D$5:D$14987,Definition!F$3),0)</f>
        <v>0</v>
      </c>
      <c r="O235" s="68">
        <f>IF(compute_ManualOverrideSPA="No", COUNTIFS(JSMVC!E$5:E$14987,UCDEffortSpread!D11, JSMVC!B$5:B$14987,Definition!C$9,JSMVC!D$5:D$14987,Definition!G$3),0)</f>
        <v>0</v>
      </c>
      <c r="P235" s="68">
        <f>IF(compute_ManualOverrideSPA="No", COUNTIFS(JSMVC!E$5:E$14987,UCDEffortSpread!D11, JSMVC!B$5:B$14987,Definition!C$9,JSMVC!D$5:D$14987,Definition!H$3),0)</f>
        <v>0</v>
      </c>
      <c r="Q235" s="68">
        <f>IF(compute_ManualOverrideSPA="No", COUNTIFS(JSMVC!E$5:E$14987,UCDEffortSpread!D11, JSMVC!B$5:B$14987,Definition!C$9,JSMVC!D$5:D$14987,Definition!I$3),0)</f>
        <v>0</v>
      </c>
      <c r="R235" s="204">
        <f>(Definition!M235*Definition!E$9)</f>
        <v>0</v>
      </c>
      <c r="S235" s="204">
        <f>(Definition!N235*Definition!F$9)</f>
        <v>0</v>
      </c>
      <c r="T235" s="204">
        <f>(Definition!O235*Definition!G$9)</f>
        <v>0</v>
      </c>
      <c r="U235" s="204">
        <f>(Definition!P235*Definition!H$9)</f>
        <v>0</v>
      </c>
      <c r="V235" s="204">
        <f>(Definition!Q235*Definition!I$9)</f>
        <v>0</v>
      </c>
      <c r="W235" s="203">
        <f t="shared" si="28"/>
        <v>0</v>
      </c>
      <c r="X235" s="206">
        <f t="shared" si="26"/>
        <v>0</v>
      </c>
    </row>
    <row r="236" spans="12:24">
      <c r="L236" s="423"/>
      <c r="M236" s="254">
        <f>IF(compute_ManualOverrideSPA="No", COUNTIFS(JSMVC!E$5:E$14987,UCDEffortSpread!D12, JSMVC!B$5:B$14987,Definition!C$9,JSMVC!D$5:D$14987,Definition!E$3),0)</f>
        <v>0</v>
      </c>
      <c r="N236" s="68">
        <f>IF(compute_ManualOverrideSPA="No", COUNTIFS(JSMVC!E$5:E$14987,UCDEffortSpread!D12, JSMVC!B$5:B$14987,Definition!C$9,JSMVC!D$5:D$14987,Definition!F$3),0)</f>
        <v>0</v>
      </c>
      <c r="O236" s="68">
        <f>IF(compute_ManualOverrideSPA="No", COUNTIFS(JSMVC!E$5:E$14987,UCDEffortSpread!D12, JSMVC!B$5:B$14987,Definition!C$9,JSMVC!D$5:D$14987,Definition!G$3),0)</f>
        <v>0</v>
      </c>
      <c r="P236" s="68">
        <f>IF(compute_ManualOverrideSPA="No", COUNTIFS(JSMVC!E$5:E$14987,UCDEffortSpread!D12, JSMVC!B$5:B$14987,Definition!C$9,JSMVC!D$5:D$14987,Definition!H$3),0)</f>
        <v>0</v>
      </c>
      <c r="Q236" s="68">
        <f>IF(compute_ManualOverrideSPA="No", COUNTIFS(JSMVC!E$5:E$14987,UCDEffortSpread!D12, JSMVC!B$5:B$14987,Definition!C$9,JSMVC!D$5:D$14987,Definition!I$3),0)</f>
        <v>0</v>
      </c>
      <c r="R236" s="204">
        <f>(Definition!M236*Definition!E$9)</f>
        <v>0</v>
      </c>
      <c r="S236" s="204">
        <f>(Definition!N236*Definition!F$9)</f>
        <v>0</v>
      </c>
      <c r="T236" s="204">
        <f>(Definition!O236*Definition!G$9)</f>
        <v>0</v>
      </c>
      <c r="U236" s="204">
        <f>(Definition!P236*Definition!H$9)</f>
        <v>0</v>
      </c>
      <c r="V236" s="204">
        <f>(Definition!Q236*Definition!I$9)</f>
        <v>0</v>
      </c>
      <c r="W236" s="203">
        <f t="shared" si="28"/>
        <v>0</v>
      </c>
      <c r="X236" s="206">
        <f t="shared" si="26"/>
        <v>0</v>
      </c>
    </row>
    <row r="237" spans="12:24">
      <c r="L237" s="423"/>
      <c r="M237" s="254">
        <f>IF(compute_ManualOverrideSPA="No", COUNTIFS(JSMVC!E$5:E$14987,UCDEffortSpread!D13, JSMVC!B$5:B$14987,Definition!C$9,JSMVC!D$5:D$14987,Definition!E$3),0)</f>
        <v>0</v>
      </c>
      <c r="N237" s="68">
        <f>IF(compute_ManualOverrideSPA="No", COUNTIFS(JSMVC!E$5:E$14987,UCDEffortSpread!D13, JSMVC!B$5:B$14987,Definition!C$9,JSMVC!D$5:D$14987,Definition!F$3),0)</f>
        <v>0</v>
      </c>
      <c r="O237" s="68">
        <f>IF(compute_ManualOverrideSPA="No", COUNTIFS(JSMVC!E$5:E$14987,UCDEffortSpread!D13, JSMVC!B$5:B$14987,Definition!C$9,JSMVC!D$5:D$14987,Definition!G$3),0)</f>
        <v>0</v>
      </c>
      <c r="P237" s="68">
        <f>IF(compute_ManualOverrideSPA="No", COUNTIFS(JSMVC!E$5:E$14987,UCDEffortSpread!D13, JSMVC!B$5:B$14987,Definition!C$9,JSMVC!D$5:D$14987,Definition!H$3),0)</f>
        <v>0</v>
      </c>
      <c r="Q237" s="68">
        <f>IF(compute_ManualOverrideSPA="No", COUNTIFS(JSMVC!E$5:E$14987,UCDEffortSpread!D13, JSMVC!B$5:B$14987,Definition!C$9,JSMVC!D$5:D$14987,Definition!I$3),0)</f>
        <v>0</v>
      </c>
      <c r="R237" s="204">
        <f>(Definition!M237*Definition!E$9)</f>
        <v>0</v>
      </c>
      <c r="S237" s="204">
        <f>(Definition!N237*Definition!F$9)</f>
        <v>0</v>
      </c>
      <c r="T237" s="204">
        <f>(Definition!O237*Definition!G$9)</f>
        <v>0</v>
      </c>
      <c r="U237" s="204">
        <f>(Definition!P237*Definition!H$9)</f>
        <v>0</v>
      </c>
      <c r="V237" s="204">
        <f>(Definition!Q237*Definition!I$9)</f>
        <v>0</v>
      </c>
      <c r="W237" s="203">
        <f t="shared" si="28"/>
        <v>0</v>
      </c>
      <c r="X237" s="206">
        <f t="shared" si="26"/>
        <v>0</v>
      </c>
    </row>
    <row r="238" spans="12:24">
      <c r="L238" s="423"/>
      <c r="M238" s="254">
        <f>IF(compute_ManualOverrideSPA="No", COUNTIFS(JSMVC!E$5:E$14987,UCDEffortSpread!D14, JSMVC!B$5:B$14987,Definition!C$9,JSMVC!D$5:D$14987,Definition!E$3),0)</f>
        <v>0</v>
      </c>
      <c r="N238" s="68">
        <f>IF(compute_ManualOverrideSPA="No", COUNTIFS(JSMVC!E$5:E$14987,UCDEffortSpread!D14, JSMVC!B$5:B$14987,Definition!C$9,JSMVC!D$5:D$14987,Definition!F$3),0)</f>
        <v>0</v>
      </c>
      <c r="O238" s="68">
        <f>IF(compute_ManualOverrideSPA="No", COUNTIFS(JSMVC!E$5:E$14987,UCDEffortSpread!D14, JSMVC!B$5:B$14987,Definition!C$9,JSMVC!D$5:D$14987,Definition!G$3),0)</f>
        <v>0</v>
      </c>
      <c r="P238" s="68">
        <f>IF(compute_ManualOverrideSPA="No", COUNTIFS(JSMVC!E$5:E$14987,UCDEffortSpread!D14, JSMVC!B$5:B$14987,Definition!C$9,JSMVC!D$5:D$14987,Definition!H$3),0)</f>
        <v>0</v>
      </c>
      <c r="Q238" s="68">
        <f>IF(compute_ManualOverrideSPA="No", COUNTIFS(JSMVC!E$5:E$14987,UCDEffortSpread!D14, JSMVC!B$5:B$14987,Definition!C$9,JSMVC!D$5:D$14987,Definition!I$3),0)</f>
        <v>0</v>
      </c>
      <c r="R238" s="204">
        <f>(Definition!M238*Definition!E$9)</f>
        <v>0</v>
      </c>
      <c r="S238" s="204">
        <f>(Definition!N238*Definition!F$9)</f>
        <v>0</v>
      </c>
      <c r="T238" s="204">
        <f>(Definition!O238*Definition!G$9)</f>
        <v>0</v>
      </c>
      <c r="U238" s="204">
        <f>(Definition!P238*Definition!H$9)</f>
        <v>0</v>
      </c>
      <c r="V238" s="204">
        <f>(Definition!Q238*Definition!I$9)</f>
        <v>0</v>
      </c>
      <c r="W238" s="203">
        <f t="shared" si="28"/>
        <v>0</v>
      </c>
      <c r="X238" s="206">
        <f t="shared" si="26"/>
        <v>0</v>
      </c>
    </row>
    <row r="239" spans="12:24">
      <c r="L239" s="423"/>
      <c r="M239" s="254">
        <f>IF(compute_ManualOverrideSPA="No", COUNTIFS(JSMVC!E$5:E$14987,UCDEffortSpread!D15, JSMVC!B$5:B$14987,Definition!C$9,JSMVC!D$5:D$14987,Definition!E$3),0)</f>
        <v>0</v>
      </c>
      <c r="N239" s="68">
        <f>IF(compute_ManualOverrideSPA="No", COUNTIFS(JSMVC!E$5:E$14987,UCDEffortSpread!D15, JSMVC!B$5:B$14987,Definition!C$9,JSMVC!D$5:D$14987,Definition!F$3),0)</f>
        <v>0</v>
      </c>
      <c r="O239" s="68">
        <f>IF(compute_ManualOverrideSPA="No", COUNTIFS(JSMVC!E$5:E$14987,UCDEffortSpread!D15, JSMVC!B$5:B$14987,Definition!C$9,JSMVC!D$5:D$14987,Definition!G$3),0)</f>
        <v>0</v>
      </c>
      <c r="P239" s="68">
        <f>IF(compute_ManualOverrideSPA="No", COUNTIFS(JSMVC!E$5:E$14987,UCDEffortSpread!D15, JSMVC!B$5:B$14987,Definition!C$9,JSMVC!D$5:D$14987,Definition!H$3),0)</f>
        <v>0</v>
      </c>
      <c r="Q239" s="68">
        <f>IF(compute_ManualOverrideSPA="No", COUNTIFS(JSMVC!E$5:E$14987,UCDEffortSpread!D15, JSMVC!B$5:B$14987,Definition!C$9,JSMVC!D$5:D$14987,Definition!I$3),0)</f>
        <v>0</v>
      </c>
      <c r="R239" s="204">
        <f>(Definition!M239*Definition!E$9)</f>
        <v>0</v>
      </c>
      <c r="S239" s="204">
        <f>(Definition!N239*Definition!F$9)</f>
        <v>0</v>
      </c>
      <c r="T239" s="204">
        <f>(Definition!O239*Definition!G$9)</f>
        <v>0</v>
      </c>
      <c r="U239" s="204">
        <f>(Definition!P239*Definition!H$9)</f>
        <v>0</v>
      </c>
      <c r="V239" s="204">
        <f>(Definition!Q239*Definition!I$9)</f>
        <v>0</v>
      </c>
      <c r="W239" s="203">
        <f t="shared" si="28"/>
        <v>0</v>
      </c>
      <c r="X239" s="206">
        <f t="shared" si="26"/>
        <v>0</v>
      </c>
    </row>
    <row r="240" spans="12:24">
      <c r="L240" s="423"/>
      <c r="M240" s="254">
        <f>IF(compute_ManualOverrideSPA="No", COUNTIFS(JSMVC!E$5:E$14987,UCDEffortSpread!D16, JSMVC!B$5:B$14987,Definition!C$9,JSMVC!D$5:D$14987,Definition!E$3),0)</f>
        <v>0</v>
      </c>
      <c r="N240" s="68">
        <f>IF(compute_ManualOverrideSPA="No", COUNTIFS(JSMVC!E$5:E$14987,UCDEffortSpread!D16, JSMVC!B$5:B$14987,Definition!C$9,JSMVC!D$5:D$14987,Definition!F$3),0)</f>
        <v>0</v>
      </c>
      <c r="O240" s="68">
        <f>IF(compute_ManualOverrideSPA="No", COUNTIFS(JSMVC!E$5:E$14987,UCDEffortSpread!D16, JSMVC!B$5:B$14987,Definition!C$9,JSMVC!D$5:D$14987,Definition!G$3),0)</f>
        <v>0</v>
      </c>
      <c r="P240" s="68">
        <f>IF(compute_ManualOverrideSPA="No", COUNTIFS(JSMVC!E$5:E$14987,UCDEffortSpread!D16, JSMVC!B$5:B$14987,Definition!C$9,JSMVC!D$5:D$14987,Definition!H$3),0)</f>
        <v>0</v>
      </c>
      <c r="Q240" s="68">
        <f>IF(compute_ManualOverrideSPA="No", COUNTIFS(JSMVC!E$5:E$14987,UCDEffortSpread!D16, JSMVC!B$5:B$14987,Definition!C$9,JSMVC!D$5:D$14987,Definition!I$3),0)</f>
        <v>0</v>
      </c>
      <c r="R240" s="204">
        <f>(Definition!M240*Definition!E$9)</f>
        <v>0</v>
      </c>
      <c r="S240" s="204">
        <f>(Definition!N240*Definition!F$9)</f>
        <v>0</v>
      </c>
      <c r="T240" s="204">
        <f>(Definition!O240*Definition!G$9)</f>
        <v>0</v>
      </c>
      <c r="U240" s="204">
        <f>(Definition!P240*Definition!H$9)</f>
        <v>0</v>
      </c>
      <c r="V240" s="204">
        <f>(Definition!Q240*Definition!I$9)</f>
        <v>0</v>
      </c>
      <c r="W240" s="203">
        <f t="shared" si="28"/>
        <v>0</v>
      </c>
      <c r="X240" s="206">
        <f t="shared" si="26"/>
        <v>0</v>
      </c>
    </row>
    <row r="241" spans="12:24">
      <c r="L241" s="423"/>
      <c r="M241" s="254">
        <f>IF(compute_ManualOverrideSPA="No", COUNTIFS(JSMVC!E$5:E$14987,UCDEffortSpread!D17, JSMVC!B$5:B$14987,Definition!C$9,JSMVC!D$5:D$14987,Definition!E$3),0)</f>
        <v>0</v>
      </c>
      <c r="N241" s="68">
        <f>IF(compute_ManualOverrideSPA="No", COUNTIFS(JSMVC!E$5:E$14987,UCDEffortSpread!D17, JSMVC!B$5:B$14987,Definition!C$9,JSMVC!D$5:D$14987,Definition!F$3),0)</f>
        <v>0</v>
      </c>
      <c r="O241" s="68">
        <f>IF(compute_ManualOverrideSPA="No", COUNTIFS(JSMVC!E$5:E$14987,UCDEffortSpread!D17, JSMVC!B$5:B$14987,Definition!C$9,JSMVC!D$5:D$14987,Definition!G$3),0)</f>
        <v>0</v>
      </c>
      <c r="P241" s="68">
        <f>IF(compute_ManualOverrideSPA="No", COUNTIFS(JSMVC!E$5:E$14987,UCDEffortSpread!D17, JSMVC!B$5:B$14987,Definition!C$9,JSMVC!D$5:D$14987,Definition!H$3),0)</f>
        <v>0</v>
      </c>
      <c r="Q241" s="68">
        <f>IF(compute_ManualOverrideSPA="No", COUNTIFS(JSMVC!E$5:E$14987,UCDEffortSpread!D17, JSMVC!B$5:B$14987,Definition!C$9,JSMVC!D$5:D$14987,Definition!I$3),0)</f>
        <v>0</v>
      </c>
      <c r="R241" s="204">
        <f>(Definition!M241*Definition!E$9)</f>
        <v>0</v>
      </c>
      <c r="S241" s="204">
        <f>(Definition!N241*Definition!F$9)</f>
        <v>0</v>
      </c>
      <c r="T241" s="204">
        <f>(Definition!O241*Definition!G$9)</f>
        <v>0</v>
      </c>
      <c r="U241" s="204">
        <f>(Definition!P241*Definition!H$9)</f>
        <v>0</v>
      </c>
      <c r="V241" s="204">
        <f>(Definition!Q241*Definition!I$9)</f>
        <v>0</v>
      </c>
      <c r="W241" s="203">
        <f t="shared" si="28"/>
        <v>0</v>
      </c>
      <c r="X241" s="206">
        <f t="shared" si="26"/>
        <v>0</v>
      </c>
    </row>
    <row r="242" spans="12:24">
      <c r="L242" s="423"/>
      <c r="M242" s="254">
        <f>IF(compute_ManualOverrideSPA="No", COUNTIFS(JSMVC!E$5:E$14987,UCDEffortSpread!D18, JSMVC!B$5:B$14987,Definition!C$9,JSMVC!D$5:D$14987,Definition!E$3),0)</f>
        <v>0</v>
      </c>
      <c r="N242" s="68">
        <f>IF(compute_ManualOverrideSPA="No", COUNTIFS(JSMVC!E$5:E$14987,UCDEffortSpread!D18, JSMVC!B$5:B$14987,Definition!C$9,JSMVC!D$5:D$14987,Definition!F$3),0)</f>
        <v>0</v>
      </c>
      <c r="O242" s="68">
        <f>IF(compute_ManualOverrideSPA="No", COUNTIFS(JSMVC!E$5:E$14987,UCDEffortSpread!D18, JSMVC!B$5:B$14987,Definition!C$9,JSMVC!D$5:D$14987,Definition!G$3),0)</f>
        <v>0</v>
      </c>
      <c r="P242" s="68">
        <f>IF(compute_ManualOverrideSPA="No", COUNTIFS(JSMVC!E$5:E$14987,UCDEffortSpread!D18, JSMVC!B$5:B$14987,Definition!C$9,JSMVC!D$5:D$14987,Definition!H$3),0)</f>
        <v>0</v>
      </c>
      <c r="Q242" s="68">
        <f>IF(compute_ManualOverrideSPA="No", COUNTIFS(JSMVC!E$5:E$14987,UCDEffortSpread!D18, JSMVC!B$5:B$14987,Definition!C$9,JSMVC!D$5:D$14987,Definition!I$3),0)</f>
        <v>0</v>
      </c>
      <c r="R242" s="204">
        <f>(Definition!M242*Definition!E$9)</f>
        <v>0</v>
      </c>
      <c r="S242" s="204">
        <f>(Definition!N242*Definition!F$9)</f>
        <v>0</v>
      </c>
      <c r="T242" s="204">
        <f>(Definition!O242*Definition!G$9)</f>
        <v>0</v>
      </c>
      <c r="U242" s="204">
        <f>(Definition!P242*Definition!H$9)</f>
        <v>0</v>
      </c>
      <c r="V242" s="204">
        <f>(Definition!Q242*Definition!I$9)</f>
        <v>0</v>
      </c>
      <c r="W242" s="203">
        <f t="shared" si="28"/>
        <v>0</v>
      </c>
      <c r="X242" s="206">
        <f t="shared" si="26"/>
        <v>0</v>
      </c>
    </row>
    <row r="243" spans="12:24">
      <c r="L243" s="423"/>
      <c r="M243" s="254">
        <f>IF(compute_ManualOverrideSPA="No", COUNTIFS(JSMVC!E$5:E$14987,UCDEffortSpread!D19, JSMVC!B$5:B$14987,Definition!C$9,JSMVC!D$5:D$14987,Definition!E$3),0)</f>
        <v>0</v>
      </c>
      <c r="N243" s="68">
        <f>IF(compute_ManualOverrideSPA="No", COUNTIFS(JSMVC!E$5:E$14987,UCDEffortSpread!D19, JSMVC!B$5:B$14987,Definition!C$9,JSMVC!D$5:D$14987,Definition!F$3),0)</f>
        <v>0</v>
      </c>
      <c r="O243" s="68">
        <f>IF(compute_ManualOverrideSPA="No", COUNTIFS(JSMVC!E$5:E$14987,UCDEffortSpread!D19, JSMVC!B$5:B$14987,Definition!C$9,JSMVC!D$5:D$14987,Definition!G$3),0)</f>
        <v>0</v>
      </c>
      <c r="P243" s="68">
        <f>IF(compute_ManualOverrideSPA="No", COUNTIFS(JSMVC!E$5:E$14987,UCDEffortSpread!D19, JSMVC!B$5:B$14987,Definition!C$9,JSMVC!D$5:D$14987,Definition!H$3),0)</f>
        <v>0</v>
      </c>
      <c r="Q243" s="68">
        <f>IF(compute_ManualOverrideSPA="No", COUNTIFS(JSMVC!E$5:E$14987,UCDEffortSpread!D19, JSMVC!B$5:B$14987,Definition!C$9,JSMVC!D$5:D$14987,Definition!I$3),0)</f>
        <v>0</v>
      </c>
      <c r="R243" s="204">
        <f>(Definition!M243*Definition!E$9)</f>
        <v>0</v>
      </c>
      <c r="S243" s="204">
        <f>(Definition!N243*Definition!F$9)</f>
        <v>0</v>
      </c>
      <c r="T243" s="204">
        <f>(Definition!O243*Definition!G$9)</f>
        <v>0</v>
      </c>
      <c r="U243" s="204">
        <f>(Definition!P243*Definition!H$9)</f>
        <v>0</v>
      </c>
      <c r="V243" s="204">
        <f>(Definition!Q243*Definition!I$9)</f>
        <v>0</v>
      </c>
      <c r="W243" s="203">
        <f t="shared" si="28"/>
        <v>0</v>
      </c>
      <c r="X243" s="206">
        <f t="shared" si="26"/>
        <v>0</v>
      </c>
    </row>
    <row r="244" spans="12:24">
      <c r="L244" s="423"/>
      <c r="M244" s="254">
        <f>IF(compute_ManualOverrideSPA="No", COUNTIFS(JSMVC!E$5:E$14987,UCDEffortSpread!D20, JSMVC!B$5:B$14987,Definition!C$9,JSMVC!D$5:D$14987,Definition!E$3),0)</f>
        <v>0</v>
      </c>
      <c r="N244" s="68">
        <f>IF(compute_ManualOverrideSPA="No", COUNTIFS(JSMVC!E$5:E$14987,UCDEffortSpread!D20, JSMVC!B$5:B$14987,Definition!C$9,JSMVC!D$5:D$14987,Definition!F$3),0)</f>
        <v>0</v>
      </c>
      <c r="O244" s="68">
        <f>IF(compute_ManualOverrideSPA="No", COUNTIFS(JSMVC!E$5:E$14987,UCDEffortSpread!D20, JSMVC!B$5:B$14987,Definition!C$9,JSMVC!D$5:D$14987,Definition!G$3),0)</f>
        <v>0</v>
      </c>
      <c r="P244" s="68">
        <f>IF(compute_ManualOverrideSPA="No", COUNTIFS(JSMVC!E$5:E$14987,UCDEffortSpread!D20, JSMVC!B$5:B$14987,Definition!C$9,JSMVC!D$5:D$14987,Definition!H$3),0)</f>
        <v>0</v>
      </c>
      <c r="Q244" s="68">
        <f>IF(compute_ManualOverrideSPA="No", COUNTIFS(JSMVC!E$5:E$14987,UCDEffortSpread!D20, JSMVC!B$5:B$14987,Definition!C$9,JSMVC!D$5:D$14987,Definition!I$3),0)</f>
        <v>0</v>
      </c>
      <c r="R244" s="204">
        <f>(Definition!M244*Definition!E$9)</f>
        <v>0</v>
      </c>
      <c r="S244" s="204">
        <f>(Definition!N244*Definition!F$9)</f>
        <v>0</v>
      </c>
      <c r="T244" s="204">
        <f>(Definition!O244*Definition!G$9)</f>
        <v>0</v>
      </c>
      <c r="U244" s="204">
        <f>(Definition!P244*Definition!H$9)</f>
        <v>0</v>
      </c>
      <c r="V244" s="204">
        <f>(Definition!Q244*Definition!I$9)</f>
        <v>0</v>
      </c>
      <c r="W244" s="203">
        <f t="shared" ref="W244:W278" si="29">SUM(R244:V244)</f>
        <v>0</v>
      </c>
      <c r="X244" s="206">
        <f t="shared" ref="X244:X307" si="30">IF(W244&lt;&gt;0,SUM(R244:V244),0)</f>
        <v>0</v>
      </c>
    </row>
    <row r="245" spans="12:24">
      <c r="L245" s="423"/>
      <c r="M245" s="254">
        <f>IF(compute_ManualOverrideSPA="No", COUNTIFS(JSMVC!E$5:E$14987,UCDEffortSpread!D21, JSMVC!B$5:B$14987,Definition!C$9,JSMVC!D$5:D$14987,Definition!E$3),0)</f>
        <v>0</v>
      </c>
      <c r="N245" s="68">
        <f>IF(compute_ManualOverrideSPA="No", COUNTIFS(JSMVC!E$5:E$14987,UCDEffortSpread!D21, JSMVC!B$5:B$14987,Definition!C$9,JSMVC!D$5:D$14987,Definition!F$3),0)</f>
        <v>0</v>
      </c>
      <c r="O245" s="68">
        <f>IF(compute_ManualOverrideSPA="No", COUNTIFS(JSMVC!E$5:E$14987,UCDEffortSpread!D21, JSMVC!B$5:B$14987,Definition!C$9,JSMVC!D$5:D$14987,Definition!G$3),0)</f>
        <v>0</v>
      </c>
      <c r="P245" s="68">
        <f>IF(compute_ManualOverrideSPA="No", COUNTIFS(JSMVC!E$5:E$14987,UCDEffortSpread!D21, JSMVC!B$5:B$14987,Definition!C$9,JSMVC!D$5:D$14987,Definition!H$3),0)</f>
        <v>0</v>
      </c>
      <c r="Q245" s="68">
        <f>IF(compute_ManualOverrideSPA="No", COUNTIFS(JSMVC!E$5:E$14987,UCDEffortSpread!D21, JSMVC!B$5:B$14987,Definition!C$9,JSMVC!D$5:D$14987,Definition!I$3),0)</f>
        <v>0</v>
      </c>
      <c r="R245" s="204">
        <f>(Definition!M245*Definition!E$9)</f>
        <v>0</v>
      </c>
      <c r="S245" s="204">
        <f>(Definition!N245*Definition!F$9)</f>
        <v>0</v>
      </c>
      <c r="T245" s="204">
        <f>(Definition!O245*Definition!G$9)</f>
        <v>0</v>
      </c>
      <c r="U245" s="204">
        <f>(Definition!P245*Definition!H$9)</f>
        <v>0</v>
      </c>
      <c r="V245" s="204">
        <f>(Definition!Q245*Definition!I$9)</f>
        <v>0</v>
      </c>
      <c r="W245" s="203">
        <f t="shared" si="29"/>
        <v>0</v>
      </c>
      <c r="X245" s="206">
        <f t="shared" si="30"/>
        <v>0</v>
      </c>
    </row>
    <row r="246" spans="12:24">
      <c r="L246" s="423"/>
      <c r="M246" s="254">
        <f>IF(compute_ManualOverrideSPA="No", COUNTIFS(JSMVC!E$5:E$14987,UCDEffortSpread!D22, JSMVC!B$5:B$14987,Definition!C$9,JSMVC!D$5:D$14987,Definition!E$3),0)</f>
        <v>0</v>
      </c>
      <c r="N246" s="68">
        <f>IF(compute_ManualOverrideSPA="No", COUNTIFS(JSMVC!E$5:E$14987,UCDEffortSpread!D22, JSMVC!B$5:B$14987,Definition!C$9,JSMVC!D$5:D$14987,Definition!F$3),0)</f>
        <v>0</v>
      </c>
      <c r="O246" s="68">
        <f>IF(compute_ManualOverrideSPA="No", COUNTIFS(JSMVC!E$5:E$14987,UCDEffortSpread!D22, JSMVC!B$5:B$14987,Definition!C$9,JSMVC!D$5:D$14987,Definition!G$3),0)</f>
        <v>0</v>
      </c>
      <c r="P246" s="68">
        <f>IF(compute_ManualOverrideSPA="No", COUNTIFS(JSMVC!E$5:E$14987,UCDEffortSpread!D22, JSMVC!B$5:B$14987,Definition!C$9,JSMVC!D$5:D$14987,Definition!H$3),0)</f>
        <v>0</v>
      </c>
      <c r="Q246" s="68">
        <f>IF(compute_ManualOverrideSPA="No", COUNTIFS(JSMVC!E$5:E$14987,UCDEffortSpread!D22, JSMVC!B$5:B$14987,Definition!C$9,JSMVC!D$5:D$14987,Definition!I$3),0)</f>
        <v>0</v>
      </c>
      <c r="R246" s="204">
        <f>(Definition!M246*Definition!E$9)</f>
        <v>0</v>
      </c>
      <c r="S246" s="204">
        <f>(Definition!N246*Definition!F$9)</f>
        <v>0</v>
      </c>
      <c r="T246" s="204">
        <f>(Definition!O246*Definition!G$9)</f>
        <v>0</v>
      </c>
      <c r="U246" s="204">
        <f>(Definition!P246*Definition!H$9)</f>
        <v>0</v>
      </c>
      <c r="V246" s="204">
        <f>(Definition!Q246*Definition!I$9)</f>
        <v>0</v>
      </c>
      <c r="W246" s="203">
        <f t="shared" si="29"/>
        <v>0</v>
      </c>
      <c r="X246" s="206">
        <f t="shared" si="30"/>
        <v>0</v>
      </c>
    </row>
    <row r="247" spans="12:24">
      <c r="L247" s="423"/>
      <c r="M247" s="254">
        <f>IF(compute_ManualOverrideSPA="No", COUNTIFS(JSMVC!E$5:E$14987,UCDEffortSpread!D23, JSMVC!B$5:B$14987,Definition!C$9,JSMVC!D$5:D$14987,Definition!E$3),0)</f>
        <v>0</v>
      </c>
      <c r="N247" s="68">
        <f>IF(compute_ManualOverrideSPA="No", COUNTIFS(JSMVC!E$5:E$14987,UCDEffortSpread!D23, JSMVC!B$5:B$14987,Definition!C$9,JSMVC!D$5:D$14987,Definition!F$3),0)</f>
        <v>0</v>
      </c>
      <c r="O247" s="68">
        <f>IF(compute_ManualOverrideSPA="No", COUNTIFS(JSMVC!E$5:E$14987,UCDEffortSpread!D23, JSMVC!B$5:B$14987,Definition!C$9,JSMVC!D$5:D$14987,Definition!G$3),0)</f>
        <v>0</v>
      </c>
      <c r="P247" s="68">
        <f>IF(compute_ManualOverrideSPA="No", COUNTIFS(JSMVC!E$5:E$14987,UCDEffortSpread!D23, JSMVC!B$5:B$14987,Definition!C$9,JSMVC!D$5:D$14987,Definition!H$3),0)</f>
        <v>0</v>
      </c>
      <c r="Q247" s="68">
        <f>IF(compute_ManualOverrideSPA="No", COUNTIFS(JSMVC!E$5:E$14987,UCDEffortSpread!D23, JSMVC!B$5:B$14987,Definition!C$9,JSMVC!D$5:D$14987,Definition!I$3),0)</f>
        <v>0</v>
      </c>
      <c r="R247" s="204">
        <f>(Definition!M247*Definition!E$9)</f>
        <v>0</v>
      </c>
      <c r="S247" s="204">
        <f>(Definition!N247*Definition!F$9)</f>
        <v>0</v>
      </c>
      <c r="T247" s="204">
        <f>(Definition!O247*Definition!G$9)</f>
        <v>0</v>
      </c>
      <c r="U247" s="204">
        <f>(Definition!P247*Definition!H$9)</f>
        <v>0</v>
      </c>
      <c r="V247" s="204">
        <f>(Definition!Q247*Definition!I$9)</f>
        <v>0</v>
      </c>
      <c r="W247" s="203">
        <f t="shared" si="29"/>
        <v>0</v>
      </c>
      <c r="X247" s="206">
        <f t="shared" si="30"/>
        <v>0</v>
      </c>
    </row>
    <row r="248" spans="12:24">
      <c r="L248" s="423"/>
      <c r="M248" s="254">
        <f>IF(compute_ManualOverrideSPA="No", COUNTIFS(JSMVC!E$5:E$14987,UCDEffortSpread!D24, JSMVC!B$5:B$14987,Definition!C$9,JSMVC!D$5:D$14987,Definition!E$3),0)</f>
        <v>0</v>
      </c>
      <c r="N248" s="68">
        <f>IF(compute_ManualOverrideSPA="No", COUNTIFS(JSMVC!E$5:E$14987,UCDEffortSpread!D24, JSMVC!B$5:B$14987,Definition!C$9,JSMVC!D$5:D$14987,Definition!F$3),0)</f>
        <v>0</v>
      </c>
      <c r="O248" s="68">
        <f>IF(compute_ManualOverrideSPA="No", COUNTIFS(JSMVC!E$5:E$14987,UCDEffortSpread!D24, JSMVC!B$5:B$14987,Definition!C$9,JSMVC!D$5:D$14987,Definition!G$3),0)</f>
        <v>0</v>
      </c>
      <c r="P248" s="68">
        <f>IF(compute_ManualOverrideSPA="No", COUNTIFS(JSMVC!E$5:E$14987,UCDEffortSpread!D24, JSMVC!B$5:B$14987,Definition!C$9,JSMVC!D$5:D$14987,Definition!H$3),0)</f>
        <v>0</v>
      </c>
      <c r="Q248" s="68">
        <f>IF(compute_ManualOverrideSPA="No", COUNTIFS(JSMVC!E$5:E$14987,UCDEffortSpread!D24, JSMVC!B$5:B$14987,Definition!C$9,JSMVC!D$5:D$14987,Definition!I$3),0)</f>
        <v>0</v>
      </c>
      <c r="R248" s="204">
        <f>(Definition!M248*Definition!E$9)</f>
        <v>0</v>
      </c>
      <c r="S248" s="204">
        <f>(Definition!N248*Definition!F$9)</f>
        <v>0</v>
      </c>
      <c r="T248" s="204">
        <f>(Definition!O248*Definition!G$9)</f>
        <v>0</v>
      </c>
      <c r="U248" s="204">
        <f>(Definition!P248*Definition!H$9)</f>
        <v>0</v>
      </c>
      <c r="V248" s="204">
        <f>(Definition!Q248*Definition!I$9)</f>
        <v>0</v>
      </c>
      <c r="W248" s="203">
        <f t="shared" si="29"/>
        <v>0</v>
      </c>
      <c r="X248" s="206">
        <f t="shared" si="30"/>
        <v>0</v>
      </c>
    </row>
    <row r="249" spans="12:24">
      <c r="L249" s="423"/>
      <c r="M249" s="254">
        <f>IF(compute_ManualOverrideSPA="No", COUNTIFS(JSMVC!E$5:E$14987,UCDEffortSpread!D25, JSMVC!B$5:B$14987,Definition!C$9,JSMVC!D$5:D$14987,Definition!E$3),0)</f>
        <v>0</v>
      </c>
      <c r="N249" s="68">
        <f>IF(compute_ManualOverrideSPA="No", COUNTIFS(JSMVC!E$5:E$14987,UCDEffortSpread!D25, JSMVC!B$5:B$14987,Definition!C$9,JSMVC!D$5:D$14987,Definition!F$3),0)</f>
        <v>0</v>
      </c>
      <c r="O249" s="68">
        <f>IF(compute_ManualOverrideSPA="No", COUNTIFS(JSMVC!E$5:E$14987,UCDEffortSpread!D25, JSMVC!B$5:B$14987,Definition!C$9,JSMVC!D$5:D$14987,Definition!G$3),0)</f>
        <v>0</v>
      </c>
      <c r="P249" s="68">
        <f>IF(compute_ManualOverrideSPA="No", COUNTIFS(JSMVC!E$5:E$14987,UCDEffortSpread!D25, JSMVC!B$5:B$14987,Definition!C$9,JSMVC!D$5:D$14987,Definition!H$3),0)</f>
        <v>0</v>
      </c>
      <c r="Q249" s="68">
        <f>IF(compute_ManualOverrideSPA="No", COUNTIFS(JSMVC!E$5:E$14987,UCDEffortSpread!D25, JSMVC!B$5:B$14987,Definition!C$9,JSMVC!D$5:D$14987,Definition!I$3),0)</f>
        <v>0</v>
      </c>
      <c r="R249" s="204">
        <f>(Definition!M249*Definition!E$9)</f>
        <v>0</v>
      </c>
      <c r="S249" s="204">
        <f>(Definition!N249*Definition!F$9)</f>
        <v>0</v>
      </c>
      <c r="T249" s="204">
        <f>(Definition!O249*Definition!G$9)</f>
        <v>0</v>
      </c>
      <c r="U249" s="204">
        <f>(Definition!P249*Definition!H$9)</f>
        <v>0</v>
      </c>
      <c r="V249" s="204">
        <f>(Definition!Q249*Definition!I$9)</f>
        <v>0</v>
      </c>
      <c r="W249" s="203">
        <f t="shared" si="29"/>
        <v>0</v>
      </c>
      <c r="X249" s="206">
        <f t="shared" si="30"/>
        <v>0</v>
      </c>
    </row>
    <row r="250" spans="12:24">
      <c r="L250" s="423"/>
      <c r="M250" s="254">
        <f>IF(compute_ManualOverrideSPA="No", COUNTIFS(JSMVC!E$5:E$14987,UCDEffortSpread!D26, JSMVC!B$5:B$14987,Definition!C$9,JSMVC!D$5:D$14987,Definition!E$3),0)</f>
        <v>0</v>
      </c>
      <c r="N250" s="68">
        <f>IF(compute_ManualOverrideSPA="No", COUNTIFS(JSMVC!E$5:E$14987,UCDEffortSpread!D26, JSMVC!B$5:B$14987,Definition!C$9,JSMVC!D$5:D$14987,Definition!F$3),0)</f>
        <v>0</v>
      </c>
      <c r="O250" s="68">
        <f>IF(compute_ManualOverrideSPA="No", COUNTIFS(JSMVC!E$5:E$14987,UCDEffortSpread!D26, JSMVC!B$5:B$14987,Definition!C$9,JSMVC!D$5:D$14987,Definition!G$3),0)</f>
        <v>0</v>
      </c>
      <c r="P250" s="68">
        <f>IF(compute_ManualOverrideSPA="No", COUNTIFS(JSMVC!E$5:E$14987,UCDEffortSpread!D26, JSMVC!B$5:B$14987,Definition!C$9,JSMVC!D$5:D$14987,Definition!H$3),0)</f>
        <v>0</v>
      </c>
      <c r="Q250" s="68">
        <f>IF(compute_ManualOverrideSPA="No", COUNTIFS(JSMVC!E$5:E$14987,UCDEffortSpread!D26, JSMVC!B$5:B$14987,Definition!C$9,JSMVC!D$5:D$14987,Definition!I$3),0)</f>
        <v>0</v>
      </c>
      <c r="R250" s="204">
        <f>(Definition!M250*Definition!E$9)</f>
        <v>0</v>
      </c>
      <c r="S250" s="204">
        <f>(Definition!N250*Definition!F$9)</f>
        <v>0</v>
      </c>
      <c r="T250" s="204">
        <f>(Definition!O250*Definition!G$9)</f>
        <v>0</v>
      </c>
      <c r="U250" s="204">
        <f>(Definition!P250*Definition!H$9)</f>
        <v>0</v>
      </c>
      <c r="V250" s="204">
        <f>(Definition!Q250*Definition!I$9)</f>
        <v>0</v>
      </c>
      <c r="W250" s="203">
        <f t="shared" si="29"/>
        <v>0</v>
      </c>
      <c r="X250" s="206">
        <f t="shared" si="30"/>
        <v>0</v>
      </c>
    </row>
    <row r="251" spans="12:24">
      <c r="L251" s="423"/>
      <c r="M251" s="254">
        <f>IF(compute_ManualOverrideSPA="No", COUNTIFS(JSMVC!E$5:E$14987,UCDEffortSpread!D27, JSMVC!B$5:B$14987,Definition!C$9,JSMVC!D$5:D$14987,Definition!E$3),0)</f>
        <v>0</v>
      </c>
      <c r="N251" s="68">
        <f>IF(compute_ManualOverrideSPA="No", COUNTIFS(JSMVC!E$5:E$14987,UCDEffortSpread!D27, JSMVC!B$5:B$14987,Definition!C$9,JSMVC!D$5:D$14987,Definition!F$3),0)</f>
        <v>0</v>
      </c>
      <c r="O251" s="68">
        <f>IF(compute_ManualOverrideSPA="No", COUNTIFS(JSMVC!E$5:E$14987,UCDEffortSpread!D27, JSMVC!B$5:B$14987,Definition!C$9,JSMVC!D$5:D$14987,Definition!G$3),0)</f>
        <v>0</v>
      </c>
      <c r="P251" s="68">
        <f>IF(compute_ManualOverrideSPA="No", COUNTIFS(JSMVC!E$5:E$14987,UCDEffortSpread!D27, JSMVC!B$5:B$14987,Definition!C$9,JSMVC!D$5:D$14987,Definition!H$3),0)</f>
        <v>0</v>
      </c>
      <c r="Q251" s="68">
        <f>IF(compute_ManualOverrideSPA="No", COUNTIFS(JSMVC!E$5:E$14987,UCDEffortSpread!D27, JSMVC!B$5:B$14987,Definition!C$9,JSMVC!D$5:D$14987,Definition!I$3),0)</f>
        <v>0</v>
      </c>
      <c r="R251" s="204">
        <f>(Definition!M251*Definition!E$9)</f>
        <v>0</v>
      </c>
      <c r="S251" s="204">
        <f>(Definition!N251*Definition!F$9)</f>
        <v>0</v>
      </c>
      <c r="T251" s="204">
        <f>(Definition!O251*Definition!G$9)</f>
        <v>0</v>
      </c>
      <c r="U251" s="204">
        <f>(Definition!P251*Definition!H$9)</f>
        <v>0</v>
      </c>
      <c r="V251" s="204">
        <f>(Definition!Q251*Definition!I$9)</f>
        <v>0</v>
      </c>
      <c r="W251" s="203">
        <f t="shared" si="29"/>
        <v>0</v>
      </c>
      <c r="X251" s="206">
        <f t="shared" si="30"/>
        <v>0</v>
      </c>
    </row>
    <row r="252" spans="12:24">
      <c r="L252" s="423"/>
      <c r="M252" s="254">
        <f>IF(compute_ManualOverrideSPA="No", COUNTIFS(JSMVC!E$5:E$14987,UCDEffortSpread!D28, JSMVC!B$5:B$14987,Definition!C$9,JSMVC!D$5:D$14987,Definition!E$3),0)</f>
        <v>0</v>
      </c>
      <c r="N252" s="68">
        <f>IF(compute_ManualOverrideSPA="No", COUNTIFS(JSMVC!E$5:E$14987,UCDEffortSpread!D28, JSMVC!B$5:B$14987,Definition!C$9,JSMVC!D$5:D$14987,Definition!F$3),0)</f>
        <v>0</v>
      </c>
      <c r="O252" s="68">
        <f>IF(compute_ManualOverrideSPA="No", COUNTIFS(JSMVC!E$5:E$14987,UCDEffortSpread!D28, JSMVC!B$5:B$14987,Definition!C$9,JSMVC!D$5:D$14987,Definition!G$3),0)</f>
        <v>0</v>
      </c>
      <c r="P252" s="68">
        <f>IF(compute_ManualOverrideSPA="No", COUNTIFS(JSMVC!E$5:E$14987,UCDEffortSpread!D28, JSMVC!B$5:B$14987,Definition!C$9,JSMVC!D$5:D$14987,Definition!H$3),0)</f>
        <v>0</v>
      </c>
      <c r="Q252" s="68">
        <f>IF(compute_ManualOverrideSPA="No", COUNTIFS(JSMVC!E$5:E$14987,UCDEffortSpread!D28, JSMVC!B$5:B$14987,Definition!C$9,JSMVC!D$5:D$14987,Definition!I$3),0)</f>
        <v>0</v>
      </c>
      <c r="R252" s="204">
        <f>(Definition!M252*Definition!E$9)</f>
        <v>0</v>
      </c>
      <c r="S252" s="204">
        <f>(Definition!N252*Definition!F$9)</f>
        <v>0</v>
      </c>
      <c r="T252" s="204">
        <f>(Definition!O252*Definition!G$9)</f>
        <v>0</v>
      </c>
      <c r="U252" s="204">
        <f>(Definition!P252*Definition!H$9)</f>
        <v>0</v>
      </c>
      <c r="V252" s="204">
        <f>(Definition!Q252*Definition!I$9)</f>
        <v>0</v>
      </c>
      <c r="W252" s="203">
        <f t="shared" si="29"/>
        <v>0</v>
      </c>
      <c r="X252" s="206">
        <f t="shared" si="30"/>
        <v>0</v>
      </c>
    </row>
    <row r="253" spans="12:24">
      <c r="L253" s="423"/>
      <c r="M253" s="254">
        <f>IF(compute_ManualOverrideSPA="No", COUNTIFS(JSMVC!E$5:E$14987,UCDEffortSpread!D29, JSMVC!B$5:B$14987,Definition!C$9,JSMVC!D$5:D$14987,Definition!E$3),0)</f>
        <v>0</v>
      </c>
      <c r="N253" s="68">
        <f>IF(compute_ManualOverrideSPA="No", COUNTIFS(JSMVC!E$5:E$14987,UCDEffortSpread!D29, JSMVC!B$5:B$14987,Definition!C$9,JSMVC!D$5:D$14987,Definition!F$3),0)</f>
        <v>0</v>
      </c>
      <c r="O253" s="68">
        <f>IF(compute_ManualOverrideSPA="No", COUNTIFS(JSMVC!E$5:E$14987,UCDEffortSpread!D29, JSMVC!B$5:B$14987,Definition!C$9,JSMVC!D$5:D$14987,Definition!G$3),0)</f>
        <v>0</v>
      </c>
      <c r="P253" s="68">
        <f>IF(compute_ManualOverrideSPA="No", COUNTIFS(JSMVC!E$5:E$14987,UCDEffortSpread!D29, JSMVC!B$5:B$14987,Definition!C$9,JSMVC!D$5:D$14987,Definition!H$3),0)</f>
        <v>0</v>
      </c>
      <c r="Q253" s="68">
        <f>IF(compute_ManualOverrideSPA="No", COUNTIFS(JSMVC!E$5:E$14987,UCDEffortSpread!D29, JSMVC!B$5:B$14987,Definition!C$9,JSMVC!D$5:D$14987,Definition!I$3),0)</f>
        <v>0</v>
      </c>
      <c r="R253" s="204">
        <f>(Definition!M253*Definition!E$9)</f>
        <v>0</v>
      </c>
      <c r="S253" s="204">
        <f>(Definition!N253*Definition!F$9)</f>
        <v>0</v>
      </c>
      <c r="T253" s="204">
        <f>(Definition!O253*Definition!G$9)</f>
        <v>0</v>
      </c>
      <c r="U253" s="204">
        <f>(Definition!P253*Definition!H$9)</f>
        <v>0</v>
      </c>
      <c r="V253" s="204">
        <f>(Definition!Q253*Definition!I$9)</f>
        <v>0</v>
      </c>
      <c r="W253" s="203">
        <f t="shared" si="29"/>
        <v>0</v>
      </c>
      <c r="X253" s="206">
        <f t="shared" si="30"/>
        <v>0</v>
      </c>
    </row>
    <row r="254" spans="12:24">
      <c r="L254" s="423"/>
      <c r="M254" s="254">
        <f>IF(compute_ManualOverrideSPA="No", COUNTIFS(JSMVC!E$5:E$14987,UCDEffortSpread!D30, JSMVC!B$5:B$14987,Definition!C$9,JSMVC!D$5:D$14987,Definition!E$3),0)</f>
        <v>0</v>
      </c>
      <c r="N254" s="68">
        <f>IF(compute_ManualOverrideSPA="No", COUNTIFS(JSMVC!E$5:E$14987,UCDEffortSpread!D30, JSMVC!B$5:B$14987,Definition!C$9,JSMVC!D$5:D$14987,Definition!F$3),0)</f>
        <v>0</v>
      </c>
      <c r="O254" s="68">
        <f>IF(compute_ManualOverrideSPA="No", COUNTIFS(JSMVC!E$5:E$14987,UCDEffortSpread!D30, JSMVC!B$5:B$14987,Definition!C$9,JSMVC!D$5:D$14987,Definition!G$3),0)</f>
        <v>0</v>
      </c>
      <c r="P254" s="68">
        <f>IF(compute_ManualOverrideSPA="No", COUNTIFS(JSMVC!E$5:E$14987,UCDEffortSpread!D30, JSMVC!B$5:B$14987,Definition!C$9,JSMVC!D$5:D$14987,Definition!H$3),0)</f>
        <v>0</v>
      </c>
      <c r="Q254" s="68">
        <f>IF(compute_ManualOverrideSPA="No", COUNTIFS(JSMVC!E$5:E$14987,UCDEffortSpread!D30, JSMVC!B$5:B$14987,Definition!C$9,JSMVC!D$5:D$14987,Definition!I$3),0)</f>
        <v>0</v>
      </c>
      <c r="R254" s="204">
        <f>(Definition!M254*Definition!E$9)</f>
        <v>0</v>
      </c>
      <c r="S254" s="204">
        <f>(Definition!N254*Definition!F$9)</f>
        <v>0</v>
      </c>
      <c r="T254" s="204">
        <f>(Definition!O254*Definition!G$9)</f>
        <v>0</v>
      </c>
      <c r="U254" s="204">
        <f>(Definition!P254*Definition!H$9)</f>
        <v>0</v>
      </c>
      <c r="V254" s="204">
        <f>(Definition!Q254*Definition!I$9)</f>
        <v>0</v>
      </c>
      <c r="W254" s="203">
        <f t="shared" si="29"/>
        <v>0</v>
      </c>
      <c r="X254" s="206">
        <f t="shared" si="30"/>
        <v>0</v>
      </c>
    </row>
    <row r="255" spans="12:24">
      <c r="L255" s="423"/>
      <c r="M255" s="254">
        <f>IF(compute_ManualOverrideSPA="No", COUNTIFS(JSMVC!E$5:E$14987,UCDEffortSpread!D31, JSMVC!B$5:B$14987,Definition!C$9,JSMVC!D$5:D$14987,Definition!E$3),0)</f>
        <v>0</v>
      </c>
      <c r="N255" s="68">
        <f>IF(compute_ManualOverrideSPA="No", COUNTIFS(JSMVC!E$5:E$14987,UCDEffortSpread!D31, JSMVC!B$5:B$14987,Definition!C$9,JSMVC!D$5:D$14987,Definition!F$3),0)</f>
        <v>0</v>
      </c>
      <c r="O255" s="68">
        <f>IF(compute_ManualOverrideSPA="No", COUNTIFS(JSMVC!E$5:E$14987,UCDEffortSpread!D31, JSMVC!B$5:B$14987,Definition!C$9,JSMVC!D$5:D$14987,Definition!G$3),0)</f>
        <v>0</v>
      </c>
      <c r="P255" s="68">
        <f>IF(compute_ManualOverrideSPA="No", COUNTIFS(JSMVC!E$5:E$14987,UCDEffortSpread!D31, JSMVC!B$5:B$14987,Definition!C$9,JSMVC!D$5:D$14987,Definition!H$3),0)</f>
        <v>0</v>
      </c>
      <c r="Q255" s="68">
        <f>IF(compute_ManualOverrideSPA="No", COUNTIFS(JSMVC!E$5:E$14987,UCDEffortSpread!D31, JSMVC!B$5:B$14987,Definition!C$9,JSMVC!D$5:D$14987,Definition!I$3),0)</f>
        <v>0</v>
      </c>
      <c r="R255" s="204">
        <f>(Definition!M255*Definition!E$9)</f>
        <v>0</v>
      </c>
      <c r="S255" s="204">
        <f>(Definition!N255*Definition!F$9)</f>
        <v>0</v>
      </c>
      <c r="T255" s="204">
        <f>(Definition!O255*Definition!G$9)</f>
        <v>0</v>
      </c>
      <c r="U255" s="204">
        <f>(Definition!P255*Definition!H$9)</f>
        <v>0</v>
      </c>
      <c r="V255" s="204">
        <f>(Definition!Q255*Definition!I$9)</f>
        <v>0</v>
      </c>
      <c r="W255" s="203">
        <f t="shared" si="29"/>
        <v>0</v>
      </c>
      <c r="X255" s="206">
        <f t="shared" si="30"/>
        <v>0</v>
      </c>
    </row>
    <row r="256" spans="12:24">
      <c r="L256" s="423"/>
      <c r="M256" s="254">
        <f>IF(compute_ManualOverrideSPA="No", COUNTIFS(JSMVC!E$5:E$14987,UCDEffortSpread!D32, JSMVC!B$5:B$14987,Definition!C$9,JSMVC!D$5:D$14987,Definition!E$3),0)</f>
        <v>0</v>
      </c>
      <c r="N256" s="68">
        <f>IF(compute_ManualOverrideSPA="No", COUNTIFS(JSMVC!E$5:E$14987,UCDEffortSpread!D32, JSMVC!B$5:B$14987,Definition!C$9,JSMVC!D$5:D$14987,Definition!F$3),0)</f>
        <v>0</v>
      </c>
      <c r="O256" s="68">
        <f>IF(compute_ManualOverrideSPA="No", COUNTIFS(JSMVC!E$5:E$14987,UCDEffortSpread!D32, JSMVC!B$5:B$14987,Definition!C$9,JSMVC!D$5:D$14987,Definition!G$3),0)</f>
        <v>0</v>
      </c>
      <c r="P256" s="68">
        <f>IF(compute_ManualOverrideSPA="No", COUNTIFS(JSMVC!E$5:E$14987,UCDEffortSpread!D32, JSMVC!B$5:B$14987,Definition!C$9,JSMVC!D$5:D$14987,Definition!H$3),0)</f>
        <v>0</v>
      </c>
      <c r="Q256" s="68">
        <f>IF(compute_ManualOverrideSPA="No", COUNTIFS(JSMVC!E$5:E$14987,UCDEffortSpread!D32, JSMVC!B$5:B$14987,Definition!C$9,JSMVC!D$5:D$14987,Definition!I$3),0)</f>
        <v>0</v>
      </c>
      <c r="R256" s="204">
        <f>(Definition!M256*Definition!E$9)</f>
        <v>0</v>
      </c>
      <c r="S256" s="204">
        <f>(Definition!N256*Definition!F$9)</f>
        <v>0</v>
      </c>
      <c r="T256" s="204">
        <f>(Definition!O256*Definition!G$9)</f>
        <v>0</v>
      </c>
      <c r="U256" s="204">
        <f>(Definition!P256*Definition!H$9)</f>
        <v>0</v>
      </c>
      <c r="V256" s="204">
        <f>(Definition!Q256*Definition!I$9)</f>
        <v>0</v>
      </c>
      <c r="W256" s="203">
        <f t="shared" si="29"/>
        <v>0</v>
      </c>
      <c r="X256" s="206">
        <f t="shared" si="30"/>
        <v>0</v>
      </c>
    </row>
    <row r="257" spans="12:24">
      <c r="L257" s="423"/>
      <c r="M257" s="254">
        <f>IF(compute_ManualOverrideSPA="No", COUNTIFS(JSMVC!E$5:E$14987,UCDEffortSpread!D33, JSMVC!B$5:B$14987,Definition!C$9,JSMVC!D$5:D$14987,Definition!E$3),0)</f>
        <v>0</v>
      </c>
      <c r="N257" s="68">
        <f>IF(compute_ManualOverrideSPA="No", COUNTIFS(JSMVC!E$5:E$14987,UCDEffortSpread!D33, JSMVC!B$5:B$14987,Definition!C$9,JSMVC!D$5:D$14987,Definition!F$3),0)</f>
        <v>0</v>
      </c>
      <c r="O257" s="68">
        <f>IF(compute_ManualOverrideSPA="No", COUNTIFS(JSMVC!E$5:E$14987,UCDEffortSpread!D33, JSMVC!B$5:B$14987,Definition!C$9,JSMVC!D$5:D$14987,Definition!G$3),0)</f>
        <v>0</v>
      </c>
      <c r="P257" s="68">
        <f>IF(compute_ManualOverrideSPA="No", COUNTIFS(JSMVC!E$5:E$14987,UCDEffortSpread!D33, JSMVC!B$5:B$14987,Definition!C$9,JSMVC!D$5:D$14987,Definition!H$3),0)</f>
        <v>0</v>
      </c>
      <c r="Q257" s="68">
        <f>IF(compute_ManualOverrideSPA="No", COUNTIFS(JSMVC!E$5:E$14987,UCDEffortSpread!D33, JSMVC!B$5:B$14987,Definition!C$9,JSMVC!D$5:D$14987,Definition!I$3),0)</f>
        <v>0</v>
      </c>
      <c r="R257" s="204">
        <f>(Definition!M257*Definition!E$9)</f>
        <v>0</v>
      </c>
      <c r="S257" s="204">
        <f>(Definition!N257*Definition!F$9)</f>
        <v>0</v>
      </c>
      <c r="T257" s="204">
        <f>(Definition!O257*Definition!G$9)</f>
        <v>0</v>
      </c>
      <c r="U257" s="204">
        <f>(Definition!P257*Definition!H$9)</f>
        <v>0</v>
      </c>
      <c r="V257" s="204">
        <f>(Definition!Q257*Definition!I$9)</f>
        <v>0</v>
      </c>
      <c r="W257" s="203">
        <f t="shared" si="29"/>
        <v>0</v>
      </c>
      <c r="X257" s="206">
        <f t="shared" si="30"/>
        <v>0</v>
      </c>
    </row>
    <row r="258" spans="12:24">
      <c r="L258" s="423"/>
      <c r="M258" s="254">
        <f>IF(compute_ManualOverrideSPA="No", COUNTIFS(JSMVC!E$5:E$14987,UCDEffortSpread!D34, JSMVC!B$5:B$14987,Definition!C$9,JSMVC!D$5:D$14987,Definition!E$3),0)</f>
        <v>0</v>
      </c>
      <c r="N258" s="68">
        <f>IF(compute_ManualOverrideSPA="No", COUNTIFS(JSMVC!E$5:E$14987,UCDEffortSpread!D34, JSMVC!B$5:B$14987,Definition!C$9,JSMVC!D$5:D$14987,Definition!F$3),0)</f>
        <v>0</v>
      </c>
      <c r="O258" s="68">
        <f>IF(compute_ManualOverrideSPA="No", COUNTIFS(JSMVC!E$5:E$14987,UCDEffortSpread!D34, JSMVC!B$5:B$14987,Definition!C$9,JSMVC!D$5:D$14987,Definition!G$3),0)</f>
        <v>0</v>
      </c>
      <c r="P258" s="68">
        <f>IF(compute_ManualOverrideSPA="No", COUNTIFS(JSMVC!E$5:E$14987,UCDEffortSpread!D34, JSMVC!B$5:B$14987,Definition!C$9,JSMVC!D$5:D$14987,Definition!H$3),0)</f>
        <v>0</v>
      </c>
      <c r="Q258" s="68">
        <f>IF(compute_ManualOverrideSPA="No", COUNTIFS(JSMVC!E$5:E$14987,UCDEffortSpread!D34, JSMVC!B$5:B$14987,Definition!C$9,JSMVC!D$5:D$14987,Definition!I$3),0)</f>
        <v>0</v>
      </c>
      <c r="R258" s="204">
        <f>(Definition!M258*Definition!E$9)</f>
        <v>0</v>
      </c>
      <c r="S258" s="204">
        <f>(Definition!N258*Definition!F$9)</f>
        <v>0</v>
      </c>
      <c r="T258" s="204">
        <f>(Definition!O258*Definition!G$9)</f>
        <v>0</v>
      </c>
      <c r="U258" s="204">
        <f>(Definition!P258*Definition!H$9)</f>
        <v>0</v>
      </c>
      <c r="V258" s="204">
        <f>(Definition!Q258*Definition!I$9)</f>
        <v>0</v>
      </c>
      <c r="W258" s="203">
        <f t="shared" si="29"/>
        <v>0</v>
      </c>
      <c r="X258" s="206">
        <f t="shared" si="30"/>
        <v>0</v>
      </c>
    </row>
    <row r="259" spans="12:24">
      <c r="L259" s="423"/>
      <c r="M259" s="254">
        <f>IF(compute_ManualOverrideSPA="No", COUNTIFS(JSMVC!E$5:E$14987,UCDEffortSpread!D35, JSMVC!B$5:B$14987,Definition!C$9,JSMVC!D$5:D$14987,Definition!E$3),0)</f>
        <v>0</v>
      </c>
      <c r="N259" s="68">
        <f>IF(compute_ManualOverrideSPA="No", COUNTIFS(JSMVC!E$5:E$14987,UCDEffortSpread!D35, JSMVC!B$5:B$14987,Definition!C$9,JSMVC!D$5:D$14987,Definition!F$3),0)</f>
        <v>0</v>
      </c>
      <c r="O259" s="68">
        <f>IF(compute_ManualOverrideSPA="No", COUNTIFS(JSMVC!E$5:E$14987,UCDEffortSpread!D35, JSMVC!B$5:B$14987,Definition!C$9,JSMVC!D$5:D$14987,Definition!G$3),0)</f>
        <v>0</v>
      </c>
      <c r="P259" s="68">
        <f>IF(compute_ManualOverrideSPA="No", COUNTIFS(JSMVC!E$5:E$14987,UCDEffortSpread!D35, JSMVC!B$5:B$14987,Definition!C$9,JSMVC!D$5:D$14987,Definition!H$3),0)</f>
        <v>0</v>
      </c>
      <c r="Q259" s="68">
        <f>IF(compute_ManualOverrideSPA="No", COUNTIFS(JSMVC!E$5:E$14987,UCDEffortSpread!D35, JSMVC!B$5:B$14987,Definition!C$9,JSMVC!D$5:D$14987,Definition!I$3),0)</f>
        <v>0</v>
      </c>
      <c r="R259" s="204">
        <f>(Definition!M259*Definition!E$9)</f>
        <v>0</v>
      </c>
      <c r="S259" s="204">
        <f>(Definition!N259*Definition!F$9)</f>
        <v>0</v>
      </c>
      <c r="T259" s="204">
        <f>(Definition!O259*Definition!G$9)</f>
        <v>0</v>
      </c>
      <c r="U259" s="204">
        <f>(Definition!P259*Definition!H$9)</f>
        <v>0</v>
      </c>
      <c r="V259" s="204">
        <f>(Definition!Q259*Definition!I$9)</f>
        <v>0</v>
      </c>
      <c r="W259" s="203">
        <f t="shared" si="29"/>
        <v>0</v>
      </c>
      <c r="X259" s="206">
        <f t="shared" si="30"/>
        <v>0</v>
      </c>
    </row>
    <row r="260" spans="12:24">
      <c r="L260" s="423"/>
      <c r="M260" s="254">
        <f>IF(compute_ManualOverrideSPA="No", COUNTIFS(JSMVC!E$5:E$14987,UCDEffortSpread!D36, JSMVC!B$5:B$14987,Definition!C$9,JSMVC!D$5:D$14987,Definition!E$3),0)</f>
        <v>0</v>
      </c>
      <c r="N260" s="68">
        <f>IF(compute_ManualOverrideSPA="No", COUNTIFS(JSMVC!E$5:E$14987,UCDEffortSpread!D36, JSMVC!B$5:B$14987,Definition!C$9,JSMVC!D$5:D$14987,Definition!F$3),0)</f>
        <v>0</v>
      </c>
      <c r="O260" s="68">
        <f>IF(compute_ManualOverrideSPA="No", COUNTIFS(JSMVC!E$5:E$14987,UCDEffortSpread!D36, JSMVC!B$5:B$14987,Definition!C$9,JSMVC!D$5:D$14987,Definition!G$3),0)</f>
        <v>0</v>
      </c>
      <c r="P260" s="68">
        <f>IF(compute_ManualOverrideSPA="No", COUNTIFS(JSMVC!E$5:E$14987,UCDEffortSpread!D36, JSMVC!B$5:B$14987,Definition!C$9,JSMVC!D$5:D$14987,Definition!H$3),0)</f>
        <v>0</v>
      </c>
      <c r="Q260" s="68">
        <f>IF(compute_ManualOverrideSPA="No", COUNTIFS(JSMVC!E$5:E$14987,UCDEffortSpread!D36, JSMVC!B$5:B$14987,Definition!C$9,JSMVC!D$5:D$14987,Definition!I$3),0)</f>
        <v>0</v>
      </c>
      <c r="R260" s="204">
        <f>(Definition!M260*Definition!E$9)</f>
        <v>0</v>
      </c>
      <c r="S260" s="204">
        <f>(Definition!N260*Definition!F$9)</f>
        <v>0</v>
      </c>
      <c r="T260" s="204">
        <f>(Definition!O260*Definition!G$9)</f>
        <v>0</v>
      </c>
      <c r="U260" s="204">
        <f>(Definition!P260*Definition!H$9)</f>
        <v>0</v>
      </c>
      <c r="V260" s="204">
        <f>(Definition!Q260*Definition!I$9)</f>
        <v>0</v>
      </c>
      <c r="W260" s="203">
        <f t="shared" si="29"/>
        <v>0</v>
      </c>
      <c r="X260" s="206">
        <f t="shared" si="30"/>
        <v>0</v>
      </c>
    </row>
    <row r="261" spans="12:24">
      <c r="L261" s="423"/>
      <c r="M261" s="254">
        <f>IF(compute_ManualOverrideSPA="No", COUNTIFS(JSMVC!E$5:E$14987,UCDEffortSpread!D37, JSMVC!B$5:B$14987,Definition!C$9,JSMVC!D$5:D$14987,Definition!E$3),0)</f>
        <v>0</v>
      </c>
      <c r="N261" s="68">
        <f>IF(compute_ManualOverrideSPA="No", COUNTIFS(JSMVC!E$5:E$14987,UCDEffortSpread!D37, JSMVC!B$5:B$14987,Definition!C$9,JSMVC!D$5:D$14987,Definition!F$3),0)</f>
        <v>0</v>
      </c>
      <c r="O261" s="68">
        <f>IF(compute_ManualOverrideSPA="No", COUNTIFS(JSMVC!E$5:E$14987,UCDEffortSpread!D37, JSMVC!B$5:B$14987,Definition!C$9,JSMVC!D$5:D$14987,Definition!G$3),0)</f>
        <v>0</v>
      </c>
      <c r="P261" s="68">
        <f>IF(compute_ManualOverrideSPA="No", COUNTIFS(JSMVC!E$5:E$14987,UCDEffortSpread!D37, JSMVC!B$5:B$14987,Definition!C$9,JSMVC!D$5:D$14987,Definition!H$3),0)</f>
        <v>0</v>
      </c>
      <c r="Q261" s="68">
        <f>IF(compute_ManualOverrideSPA="No", COUNTIFS(JSMVC!E$5:E$14987,UCDEffortSpread!D37, JSMVC!B$5:B$14987,Definition!C$9,JSMVC!D$5:D$14987,Definition!I$3),0)</f>
        <v>0</v>
      </c>
      <c r="R261" s="204">
        <f>(Definition!M261*Definition!E$9)</f>
        <v>0</v>
      </c>
      <c r="S261" s="204">
        <f>(Definition!N261*Definition!F$9)</f>
        <v>0</v>
      </c>
      <c r="T261" s="204">
        <f>(Definition!O261*Definition!G$9)</f>
        <v>0</v>
      </c>
      <c r="U261" s="204">
        <f>(Definition!P261*Definition!H$9)</f>
        <v>0</v>
      </c>
      <c r="V261" s="204">
        <f>(Definition!Q261*Definition!I$9)</f>
        <v>0</v>
      </c>
      <c r="W261" s="203">
        <f t="shared" si="29"/>
        <v>0</v>
      </c>
      <c r="X261" s="206">
        <f t="shared" si="30"/>
        <v>0</v>
      </c>
    </row>
    <row r="262" spans="12:24">
      <c r="L262" s="423"/>
      <c r="M262" s="254">
        <f>IF(compute_ManualOverrideSPA="No", COUNTIFS(JSMVC!E$5:E$14987,UCDEffortSpread!D38, JSMVC!B$5:B$14987,Definition!C$9,JSMVC!D$5:D$14987,Definition!E$3),0)</f>
        <v>0</v>
      </c>
      <c r="N262" s="68">
        <f>IF(compute_ManualOverrideSPA="No", COUNTIFS(JSMVC!E$5:E$14987,UCDEffortSpread!D38, JSMVC!B$5:B$14987,Definition!C$9,JSMVC!D$5:D$14987,Definition!F$3),0)</f>
        <v>0</v>
      </c>
      <c r="O262" s="68">
        <f>IF(compute_ManualOverrideSPA="No", COUNTIFS(JSMVC!E$5:E$14987,UCDEffortSpread!D38, JSMVC!B$5:B$14987,Definition!C$9,JSMVC!D$5:D$14987,Definition!G$3),0)</f>
        <v>0</v>
      </c>
      <c r="P262" s="68">
        <f>IF(compute_ManualOverrideSPA="No", COUNTIFS(JSMVC!E$5:E$14987,UCDEffortSpread!D38, JSMVC!B$5:B$14987,Definition!C$9,JSMVC!D$5:D$14987,Definition!H$3),0)</f>
        <v>0</v>
      </c>
      <c r="Q262" s="68">
        <f>IF(compute_ManualOverrideSPA="No", COUNTIFS(JSMVC!E$5:E$14987,UCDEffortSpread!D38, JSMVC!B$5:B$14987,Definition!C$9,JSMVC!D$5:D$14987,Definition!I$3),0)</f>
        <v>0</v>
      </c>
      <c r="R262" s="204">
        <f>(Definition!M262*Definition!E$9)</f>
        <v>0</v>
      </c>
      <c r="S262" s="204">
        <f>(Definition!N262*Definition!F$9)</f>
        <v>0</v>
      </c>
      <c r="T262" s="204">
        <f>(Definition!O262*Definition!G$9)</f>
        <v>0</v>
      </c>
      <c r="U262" s="204">
        <f>(Definition!P262*Definition!H$9)</f>
        <v>0</v>
      </c>
      <c r="V262" s="204">
        <f>(Definition!Q262*Definition!I$9)</f>
        <v>0</v>
      </c>
      <c r="W262" s="203">
        <f t="shared" si="29"/>
        <v>0</v>
      </c>
      <c r="X262" s="206">
        <f t="shared" si="30"/>
        <v>0</v>
      </c>
    </row>
    <row r="263" spans="12:24">
      <c r="L263" s="423"/>
      <c r="M263" s="254">
        <f>IF(compute_ManualOverrideSPA="No", COUNTIFS(JSMVC!E$5:E$14987,UCDEffortSpread!D39, JSMVC!B$5:B$14987,Definition!C$9,JSMVC!D$5:D$14987,Definition!E$3),0)</f>
        <v>0</v>
      </c>
      <c r="N263" s="68">
        <f>IF(compute_ManualOverrideSPA="No", COUNTIFS(JSMVC!E$5:E$14987,UCDEffortSpread!D39, JSMVC!B$5:B$14987,Definition!C$9,JSMVC!D$5:D$14987,Definition!F$3),0)</f>
        <v>0</v>
      </c>
      <c r="O263" s="68">
        <f>IF(compute_ManualOverrideSPA="No", COUNTIFS(JSMVC!E$5:E$14987,UCDEffortSpread!D39, JSMVC!B$5:B$14987,Definition!C$9,JSMVC!D$5:D$14987,Definition!G$3),0)</f>
        <v>0</v>
      </c>
      <c r="P263" s="68">
        <f>IF(compute_ManualOverrideSPA="No", COUNTIFS(JSMVC!E$5:E$14987,UCDEffortSpread!D39, JSMVC!B$5:B$14987,Definition!C$9,JSMVC!D$5:D$14987,Definition!H$3),0)</f>
        <v>0</v>
      </c>
      <c r="Q263" s="68">
        <f>IF(compute_ManualOverrideSPA="No", COUNTIFS(JSMVC!E$5:E$14987,UCDEffortSpread!D39, JSMVC!B$5:B$14987,Definition!C$9,JSMVC!D$5:D$14987,Definition!I$3),0)</f>
        <v>0</v>
      </c>
      <c r="R263" s="204">
        <f>(Definition!M263*Definition!E$9)</f>
        <v>0</v>
      </c>
      <c r="S263" s="204">
        <f>(Definition!N263*Definition!F$9)</f>
        <v>0</v>
      </c>
      <c r="T263" s="204">
        <f>(Definition!O263*Definition!G$9)</f>
        <v>0</v>
      </c>
      <c r="U263" s="204">
        <f>(Definition!P263*Definition!H$9)</f>
        <v>0</v>
      </c>
      <c r="V263" s="204">
        <f>(Definition!Q263*Definition!I$9)</f>
        <v>0</v>
      </c>
      <c r="W263" s="203">
        <f t="shared" si="29"/>
        <v>0</v>
      </c>
      <c r="X263" s="206">
        <f t="shared" si="30"/>
        <v>0</v>
      </c>
    </row>
    <row r="264" spans="12:24">
      <c r="L264" s="423"/>
      <c r="M264" s="254">
        <f>IF(compute_ManualOverrideSPA="No", COUNTIFS(JSMVC!E$5:E$14987,UCDEffortSpread!D40, JSMVC!B$5:B$14987,Definition!C$9,JSMVC!D$5:D$14987,Definition!E$3),0)</f>
        <v>0</v>
      </c>
      <c r="N264" s="68">
        <f>IF(compute_ManualOverrideSPA="No", COUNTIFS(JSMVC!E$5:E$14987,UCDEffortSpread!D40, JSMVC!B$5:B$14987,Definition!C$9,JSMVC!D$5:D$14987,Definition!F$3),0)</f>
        <v>0</v>
      </c>
      <c r="O264" s="68">
        <f>IF(compute_ManualOverrideSPA="No", COUNTIFS(JSMVC!E$5:E$14987,UCDEffortSpread!D40, JSMVC!B$5:B$14987,Definition!C$9,JSMVC!D$5:D$14987,Definition!G$3),0)</f>
        <v>0</v>
      </c>
      <c r="P264" s="68">
        <f>IF(compute_ManualOverrideSPA="No", COUNTIFS(JSMVC!E$5:E$14987,UCDEffortSpread!D40, JSMVC!B$5:B$14987,Definition!C$9,JSMVC!D$5:D$14987,Definition!H$3),0)</f>
        <v>0</v>
      </c>
      <c r="Q264" s="68">
        <f>IF(compute_ManualOverrideSPA="No", COUNTIFS(JSMVC!E$5:E$14987,UCDEffortSpread!D40, JSMVC!B$5:B$14987,Definition!C$9,JSMVC!D$5:D$14987,Definition!I$3),0)</f>
        <v>0</v>
      </c>
      <c r="R264" s="204">
        <f>(Definition!M264*Definition!E$9)</f>
        <v>0</v>
      </c>
      <c r="S264" s="204">
        <f>(Definition!N264*Definition!F$9)</f>
        <v>0</v>
      </c>
      <c r="T264" s="204">
        <f>(Definition!O264*Definition!G$9)</f>
        <v>0</v>
      </c>
      <c r="U264" s="204">
        <f>(Definition!P264*Definition!H$9)</f>
        <v>0</v>
      </c>
      <c r="V264" s="204">
        <f>(Definition!Q264*Definition!I$9)</f>
        <v>0</v>
      </c>
      <c r="W264" s="203">
        <f t="shared" si="29"/>
        <v>0</v>
      </c>
      <c r="X264" s="206">
        <f t="shared" si="30"/>
        <v>0</v>
      </c>
    </row>
    <row r="265" spans="12:24">
      <c r="L265" s="423"/>
      <c r="M265" s="254">
        <f>IF(compute_ManualOverrideSPA="No", COUNTIFS(JSMVC!E$5:E$14987,UCDEffortSpread!D41, JSMVC!B$5:B$14987,Definition!C$9,JSMVC!D$5:D$14987,Definition!E$3),0)</f>
        <v>0</v>
      </c>
      <c r="N265" s="68">
        <f>IF(compute_ManualOverrideSPA="No", COUNTIFS(JSMVC!E$5:E$14987,UCDEffortSpread!D41, JSMVC!B$5:B$14987,Definition!C$9,JSMVC!D$5:D$14987,Definition!F$3),0)</f>
        <v>0</v>
      </c>
      <c r="O265" s="68">
        <f>IF(compute_ManualOverrideSPA="No", COUNTIFS(JSMVC!E$5:E$14987,UCDEffortSpread!D41, JSMVC!B$5:B$14987,Definition!C$9,JSMVC!D$5:D$14987,Definition!G$3),0)</f>
        <v>0</v>
      </c>
      <c r="P265" s="68">
        <f>IF(compute_ManualOverrideSPA="No", COUNTIFS(JSMVC!E$5:E$14987,UCDEffortSpread!D41, JSMVC!B$5:B$14987,Definition!C$9,JSMVC!D$5:D$14987,Definition!H$3),0)</f>
        <v>0</v>
      </c>
      <c r="Q265" s="68">
        <f>IF(compute_ManualOverrideSPA="No", COUNTIFS(JSMVC!E$5:E$14987,UCDEffortSpread!D41, JSMVC!B$5:B$14987,Definition!C$9,JSMVC!D$5:D$14987,Definition!I$3),0)</f>
        <v>0</v>
      </c>
      <c r="R265" s="204">
        <f>(Definition!M265*Definition!E$9)</f>
        <v>0</v>
      </c>
      <c r="S265" s="204">
        <f>(Definition!N265*Definition!F$9)</f>
        <v>0</v>
      </c>
      <c r="T265" s="204">
        <f>(Definition!O265*Definition!G$9)</f>
        <v>0</v>
      </c>
      <c r="U265" s="204">
        <f>(Definition!P265*Definition!H$9)</f>
        <v>0</v>
      </c>
      <c r="V265" s="204">
        <f>(Definition!Q265*Definition!I$9)</f>
        <v>0</v>
      </c>
      <c r="W265" s="203">
        <f t="shared" si="29"/>
        <v>0</v>
      </c>
      <c r="X265" s="206">
        <f t="shared" si="30"/>
        <v>0</v>
      </c>
    </row>
    <row r="266" spans="12:24">
      <c r="L266" s="423"/>
      <c r="M266" s="254">
        <f>IF(compute_ManualOverrideSPA="No", COUNTIFS(JSMVC!E$5:E$14987,UCDEffortSpread!D42, JSMVC!B$5:B$14987,Definition!C$9,JSMVC!D$5:D$14987,Definition!E$3),0)</f>
        <v>0</v>
      </c>
      <c r="N266" s="68">
        <f>IF(compute_ManualOverrideSPA="No", COUNTIFS(JSMVC!E$5:E$14987,UCDEffortSpread!D42, JSMVC!B$5:B$14987,Definition!C$9,JSMVC!D$5:D$14987,Definition!F$3),0)</f>
        <v>0</v>
      </c>
      <c r="O266" s="68">
        <f>IF(compute_ManualOverrideSPA="No", COUNTIFS(JSMVC!E$5:E$14987,UCDEffortSpread!D42, JSMVC!B$5:B$14987,Definition!C$9,JSMVC!D$5:D$14987,Definition!G$3),0)</f>
        <v>0</v>
      </c>
      <c r="P266" s="68">
        <f>IF(compute_ManualOverrideSPA="No", COUNTIFS(JSMVC!E$5:E$14987,UCDEffortSpread!D42, JSMVC!B$5:B$14987,Definition!C$9,JSMVC!D$5:D$14987,Definition!H$3),0)</f>
        <v>0</v>
      </c>
      <c r="Q266" s="68">
        <f>IF(compute_ManualOverrideSPA="No", COUNTIFS(JSMVC!E$5:E$14987,UCDEffortSpread!D42, JSMVC!B$5:B$14987,Definition!C$9,JSMVC!D$5:D$14987,Definition!I$3),0)</f>
        <v>0</v>
      </c>
      <c r="R266" s="204">
        <f>(Definition!M266*Definition!E$9)</f>
        <v>0</v>
      </c>
      <c r="S266" s="204">
        <f>(Definition!N266*Definition!F$9)</f>
        <v>0</v>
      </c>
      <c r="T266" s="204">
        <f>(Definition!O266*Definition!G$9)</f>
        <v>0</v>
      </c>
      <c r="U266" s="204">
        <f>(Definition!P266*Definition!H$9)</f>
        <v>0</v>
      </c>
      <c r="V266" s="204">
        <f>(Definition!Q266*Definition!I$9)</f>
        <v>0</v>
      </c>
      <c r="W266" s="203">
        <f t="shared" si="29"/>
        <v>0</v>
      </c>
      <c r="X266" s="206">
        <f t="shared" si="30"/>
        <v>0</v>
      </c>
    </row>
    <row r="267" spans="12:24">
      <c r="L267" s="423"/>
      <c r="M267" s="254">
        <f>IF(compute_ManualOverrideSPA="No", COUNTIFS(JSMVC!E$5:E$14987,UCDEffortSpread!D43, JSMVC!B$5:B$14987,Definition!C$9,JSMVC!D$5:D$14987,Definition!E$3),0)</f>
        <v>0</v>
      </c>
      <c r="N267" s="68">
        <f>IF(compute_ManualOverrideSPA="No", COUNTIFS(JSMVC!E$5:E$14987,UCDEffortSpread!D43, JSMVC!B$5:B$14987,Definition!C$9,JSMVC!D$5:D$14987,Definition!F$3),0)</f>
        <v>0</v>
      </c>
      <c r="O267" s="68">
        <f>IF(compute_ManualOverrideSPA="No", COUNTIFS(JSMVC!E$5:E$14987,UCDEffortSpread!D43, JSMVC!B$5:B$14987,Definition!C$9,JSMVC!D$5:D$14987,Definition!G$3),0)</f>
        <v>0</v>
      </c>
      <c r="P267" s="68">
        <f>IF(compute_ManualOverrideSPA="No", COUNTIFS(JSMVC!E$5:E$14987,UCDEffortSpread!D43, JSMVC!B$5:B$14987,Definition!C$9,JSMVC!D$5:D$14987,Definition!H$3),0)</f>
        <v>0</v>
      </c>
      <c r="Q267" s="68">
        <f>IF(compute_ManualOverrideSPA="No", COUNTIFS(JSMVC!E$5:E$14987,UCDEffortSpread!D43, JSMVC!B$5:B$14987,Definition!C$9,JSMVC!D$5:D$14987,Definition!I$3),0)</f>
        <v>0</v>
      </c>
      <c r="R267" s="204">
        <f>(Definition!M267*Definition!E$9)</f>
        <v>0</v>
      </c>
      <c r="S267" s="204">
        <f>(Definition!N267*Definition!F$9)</f>
        <v>0</v>
      </c>
      <c r="T267" s="204">
        <f>(Definition!O267*Definition!G$9)</f>
        <v>0</v>
      </c>
      <c r="U267" s="204">
        <f>(Definition!P267*Definition!H$9)</f>
        <v>0</v>
      </c>
      <c r="V267" s="204">
        <f>(Definition!Q267*Definition!I$9)</f>
        <v>0</v>
      </c>
      <c r="W267" s="203">
        <f t="shared" si="29"/>
        <v>0</v>
      </c>
      <c r="X267" s="206">
        <f t="shared" si="30"/>
        <v>0</v>
      </c>
    </row>
    <row r="268" spans="12:24">
      <c r="L268" s="423"/>
      <c r="M268" s="254">
        <f>IF(compute_ManualOverrideSPA="No", COUNTIFS(JSMVC!E$5:E$14987,UCDEffortSpread!D44, JSMVC!B$5:B$14987,Definition!C$9,JSMVC!D$5:D$14987,Definition!E$3),0)</f>
        <v>0</v>
      </c>
      <c r="N268" s="68">
        <f>IF(compute_ManualOverrideSPA="No", COUNTIFS(JSMVC!E$5:E$14987,UCDEffortSpread!D44, JSMVC!B$5:B$14987,Definition!C$9,JSMVC!D$5:D$14987,Definition!F$3),0)</f>
        <v>0</v>
      </c>
      <c r="O268" s="68">
        <f>IF(compute_ManualOverrideSPA="No", COUNTIFS(JSMVC!E$5:E$14987,UCDEffortSpread!D44, JSMVC!B$5:B$14987,Definition!C$9,JSMVC!D$5:D$14987,Definition!G$3),0)</f>
        <v>0</v>
      </c>
      <c r="P268" s="68">
        <f>IF(compute_ManualOverrideSPA="No", COUNTIFS(JSMVC!E$5:E$14987,UCDEffortSpread!D44, JSMVC!B$5:B$14987,Definition!C$9,JSMVC!D$5:D$14987,Definition!H$3),0)</f>
        <v>0</v>
      </c>
      <c r="Q268" s="68">
        <f>IF(compute_ManualOverrideSPA="No", COUNTIFS(JSMVC!E$5:E$14987,UCDEffortSpread!D44, JSMVC!B$5:B$14987,Definition!C$9,JSMVC!D$5:D$14987,Definition!I$3),0)</f>
        <v>0</v>
      </c>
      <c r="R268" s="204">
        <f>(Definition!M268*Definition!E$9)</f>
        <v>0</v>
      </c>
      <c r="S268" s="204">
        <f>(Definition!N268*Definition!F$9)</f>
        <v>0</v>
      </c>
      <c r="T268" s="204">
        <f>(Definition!O268*Definition!G$9)</f>
        <v>0</v>
      </c>
      <c r="U268" s="204">
        <f>(Definition!P268*Definition!H$9)</f>
        <v>0</v>
      </c>
      <c r="V268" s="204">
        <f>(Definition!Q268*Definition!I$9)</f>
        <v>0</v>
      </c>
      <c r="W268" s="203">
        <f t="shared" si="29"/>
        <v>0</v>
      </c>
      <c r="X268" s="206">
        <f t="shared" si="30"/>
        <v>0</v>
      </c>
    </row>
    <row r="269" spans="12:24">
      <c r="L269" s="423"/>
      <c r="M269" s="254">
        <f>IF(compute_ManualOverrideSPA="No", COUNTIFS(JSMVC!E$5:E$14987,UCDEffortSpread!D45, JSMVC!B$5:B$14987,Definition!C$9,JSMVC!D$5:D$14987,Definition!E$3),0)</f>
        <v>0</v>
      </c>
      <c r="N269" s="68">
        <f>IF(compute_ManualOverrideSPA="No", COUNTIFS(JSMVC!E$5:E$14987,UCDEffortSpread!D45, JSMVC!B$5:B$14987,Definition!C$9,JSMVC!D$5:D$14987,Definition!F$3),0)</f>
        <v>0</v>
      </c>
      <c r="O269" s="68">
        <f>IF(compute_ManualOverrideSPA="No", COUNTIFS(JSMVC!E$5:E$14987,UCDEffortSpread!D45, JSMVC!B$5:B$14987,Definition!C$9,JSMVC!D$5:D$14987,Definition!G$3),0)</f>
        <v>0</v>
      </c>
      <c r="P269" s="68">
        <f>IF(compute_ManualOverrideSPA="No", COUNTIFS(JSMVC!E$5:E$14987,UCDEffortSpread!D45, JSMVC!B$5:B$14987,Definition!C$9,JSMVC!D$5:D$14987,Definition!H$3),0)</f>
        <v>0</v>
      </c>
      <c r="Q269" s="68">
        <f>IF(compute_ManualOverrideSPA="No", COUNTIFS(JSMVC!E$5:E$14987,UCDEffortSpread!D45, JSMVC!B$5:B$14987,Definition!C$9,JSMVC!D$5:D$14987,Definition!I$3),0)</f>
        <v>0</v>
      </c>
      <c r="R269" s="204">
        <f>(Definition!M269*Definition!E$9)</f>
        <v>0</v>
      </c>
      <c r="S269" s="204">
        <f>(Definition!N269*Definition!F$9)</f>
        <v>0</v>
      </c>
      <c r="T269" s="204">
        <f>(Definition!O269*Definition!G$9)</f>
        <v>0</v>
      </c>
      <c r="U269" s="204">
        <f>(Definition!P269*Definition!H$9)</f>
        <v>0</v>
      </c>
      <c r="V269" s="204">
        <f>(Definition!Q269*Definition!I$9)</f>
        <v>0</v>
      </c>
      <c r="W269" s="203">
        <f t="shared" si="29"/>
        <v>0</v>
      </c>
      <c r="X269" s="206">
        <f t="shared" si="30"/>
        <v>0</v>
      </c>
    </row>
    <row r="270" spans="12:24">
      <c r="L270" s="423"/>
      <c r="M270" s="254">
        <f>IF(compute_ManualOverrideSPA="No", COUNTIFS(JSMVC!E$5:E$14987,UCDEffortSpread!D46, JSMVC!B$5:B$14987,Definition!C$9,JSMVC!D$5:D$14987,Definition!E$3),0)</f>
        <v>0</v>
      </c>
      <c r="N270" s="68">
        <f>IF(compute_ManualOverrideSPA="No", COUNTIFS(JSMVC!E$5:E$14987,UCDEffortSpread!D46, JSMVC!B$5:B$14987,Definition!C$9,JSMVC!D$5:D$14987,Definition!F$3),0)</f>
        <v>0</v>
      </c>
      <c r="O270" s="68">
        <f>IF(compute_ManualOverrideSPA="No", COUNTIFS(JSMVC!E$5:E$14987,UCDEffortSpread!D46, JSMVC!B$5:B$14987,Definition!C$9,JSMVC!D$5:D$14987,Definition!G$3),0)</f>
        <v>0</v>
      </c>
      <c r="P270" s="68">
        <f>IF(compute_ManualOverrideSPA="No", COUNTIFS(JSMVC!E$5:E$14987,UCDEffortSpread!D46, JSMVC!B$5:B$14987,Definition!C$9,JSMVC!D$5:D$14987,Definition!H$3),0)</f>
        <v>0</v>
      </c>
      <c r="Q270" s="68">
        <f>IF(compute_ManualOverrideSPA="No", COUNTIFS(JSMVC!E$5:E$14987,UCDEffortSpread!D46, JSMVC!B$5:B$14987,Definition!C$9,JSMVC!D$5:D$14987,Definition!I$3),0)</f>
        <v>0</v>
      </c>
      <c r="R270" s="204">
        <f>(Definition!M270*Definition!E$9)</f>
        <v>0</v>
      </c>
      <c r="S270" s="204">
        <f>(Definition!N270*Definition!F$9)</f>
        <v>0</v>
      </c>
      <c r="T270" s="204">
        <f>(Definition!O270*Definition!G$9)</f>
        <v>0</v>
      </c>
      <c r="U270" s="204">
        <f>(Definition!P270*Definition!H$9)</f>
        <v>0</v>
      </c>
      <c r="V270" s="204">
        <f>(Definition!Q270*Definition!I$9)</f>
        <v>0</v>
      </c>
      <c r="W270" s="203">
        <f t="shared" si="29"/>
        <v>0</v>
      </c>
      <c r="X270" s="206">
        <f t="shared" si="30"/>
        <v>0</v>
      </c>
    </row>
    <row r="271" spans="12:24">
      <c r="L271" s="423"/>
      <c r="M271" s="254">
        <f>IF(compute_ManualOverrideSPA="No", COUNTIFS(JSMVC!E$5:E$14987,UCDEffortSpread!D47, JSMVC!B$5:B$14987,Definition!C$9,JSMVC!D$5:D$14987,Definition!E$3),0)</f>
        <v>0</v>
      </c>
      <c r="N271" s="68">
        <f>IF(compute_ManualOverrideSPA="No", COUNTIFS(JSMVC!E$5:E$14987,UCDEffortSpread!D47, JSMVC!B$5:B$14987,Definition!C$9,JSMVC!D$5:D$14987,Definition!F$3),0)</f>
        <v>0</v>
      </c>
      <c r="O271" s="68">
        <f>IF(compute_ManualOverrideSPA="No", COUNTIFS(JSMVC!E$5:E$14987,UCDEffortSpread!D47, JSMVC!B$5:B$14987,Definition!C$9,JSMVC!D$5:D$14987,Definition!G$3),0)</f>
        <v>0</v>
      </c>
      <c r="P271" s="68">
        <f>IF(compute_ManualOverrideSPA="No", COUNTIFS(JSMVC!E$5:E$14987,UCDEffortSpread!D47, JSMVC!B$5:B$14987,Definition!C$9,JSMVC!D$5:D$14987,Definition!H$3),0)</f>
        <v>0</v>
      </c>
      <c r="Q271" s="68">
        <f>IF(compute_ManualOverrideSPA="No", COUNTIFS(JSMVC!E$5:E$14987,UCDEffortSpread!D47, JSMVC!B$5:B$14987,Definition!C$9,JSMVC!D$5:D$14987,Definition!I$3),0)</f>
        <v>0</v>
      </c>
      <c r="R271" s="204">
        <f>(Definition!M271*Definition!E$9)</f>
        <v>0</v>
      </c>
      <c r="S271" s="204">
        <f>(Definition!N271*Definition!F$9)</f>
        <v>0</v>
      </c>
      <c r="T271" s="204">
        <f>(Definition!O271*Definition!G$9)</f>
        <v>0</v>
      </c>
      <c r="U271" s="204">
        <f>(Definition!P271*Definition!H$9)</f>
        <v>0</v>
      </c>
      <c r="V271" s="204">
        <f>(Definition!Q271*Definition!I$9)</f>
        <v>0</v>
      </c>
      <c r="W271" s="203">
        <f t="shared" si="29"/>
        <v>0</v>
      </c>
      <c r="X271" s="206">
        <f t="shared" si="30"/>
        <v>0</v>
      </c>
    </row>
    <row r="272" spans="12:24">
      <c r="L272" s="423"/>
      <c r="M272" s="254">
        <f>IF(compute_ManualOverrideSPA="No", COUNTIFS(JSMVC!E$5:E$14987,UCDEffortSpread!D48, JSMVC!B$5:B$14987,Definition!C$9,JSMVC!D$5:D$14987,Definition!E$3),0)</f>
        <v>0</v>
      </c>
      <c r="N272" s="68">
        <f>IF(compute_ManualOverrideSPA="No", COUNTIFS(JSMVC!E$5:E$14987,UCDEffortSpread!D48, JSMVC!B$5:B$14987,Definition!C$9,JSMVC!D$5:D$14987,Definition!F$3),0)</f>
        <v>0</v>
      </c>
      <c r="O272" s="68">
        <f>IF(compute_ManualOverrideSPA="No", COUNTIFS(JSMVC!E$5:E$14987,UCDEffortSpread!D48, JSMVC!B$5:B$14987,Definition!C$9,JSMVC!D$5:D$14987,Definition!G$3),0)</f>
        <v>0</v>
      </c>
      <c r="P272" s="68">
        <f>IF(compute_ManualOverrideSPA="No", COUNTIFS(JSMVC!E$5:E$14987,UCDEffortSpread!D48, JSMVC!B$5:B$14987,Definition!C$9,JSMVC!D$5:D$14987,Definition!H$3),0)</f>
        <v>0</v>
      </c>
      <c r="Q272" s="68">
        <f>IF(compute_ManualOverrideSPA="No", COUNTIFS(JSMVC!E$5:E$14987,UCDEffortSpread!D48, JSMVC!B$5:B$14987,Definition!C$9,JSMVC!D$5:D$14987,Definition!I$3),0)</f>
        <v>0</v>
      </c>
      <c r="R272" s="204">
        <f>(Definition!M272*Definition!E$9)</f>
        <v>0</v>
      </c>
      <c r="S272" s="204">
        <f>(Definition!N272*Definition!F$9)</f>
        <v>0</v>
      </c>
      <c r="T272" s="204">
        <f>(Definition!O272*Definition!G$9)</f>
        <v>0</v>
      </c>
      <c r="U272" s="204">
        <f>(Definition!P272*Definition!H$9)</f>
        <v>0</v>
      </c>
      <c r="V272" s="204">
        <f>(Definition!Q272*Definition!I$9)</f>
        <v>0</v>
      </c>
      <c r="W272" s="203">
        <f t="shared" si="29"/>
        <v>0</v>
      </c>
      <c r="X272" s="206">
        <f t="shared" si="30"/>
        <v>0</v>
      </c>
    </row>
    <row r="273" spans="12:24">
      <c r="L273" s="423"/>
      <c r="M273" s="254">
        <f>IF(compute_ManualOverrideSPA="No", COUNTIFS(JSMVC!E$5:E$14987,UCDEffortSpread!D49, JSMVC!B$5:B$14987,Definition!C$9,JSMVC!D$5:D$14987,Definition!E$3),0)</f>
        <v>0</v>
      </c>
      <c r="N273" s="68">
        <f>IF(compute_ManualOverrideSPA="No", COUNTIFS(JSMVC!E$5:E$14987,UCDEffortSpread!D49, JSMVC!B$5:B$14987,Definition!C$9,JSMVC!D$5:D$14987,Definition!F$3),0)</f>
        <v>0</v>
      </c>
      <c r="O273" s="68">
        <f>IF(compute_ManualOverrideSPA="No", COUNTIFS(JSMVC!E$5:E$14987,UCDEffortSpread!D49, JSMVC!B$5:B$14987,Definition!C$9,JSMVC!D$5:D$14987,Definition!G$3),0)</f>
        <v>0</v>
      </c>
      <c r="P273" s="68">
        <f>IF(compute_ManualOverrideSPA="No", COUNTIFS(JSMVC!E$5:E$14987,UCDEffortSpread!D49, JSMVC!B$5:B$14987,Definition!C$9,JSMVC!D$5:D$14987,Definition!H$3),0)</f>
        <v>0</v>
      </c>
      <c r="Q273" s="68">
        <f>IF(compute_ManualOverrideSPA="No", COUNTIFS(JSMVC!E$5:E$14987,UCDEffortSpread!D49, JSMVC!B$5:B$14987,Definition!C$9,JSMVC!D$5:D$14987,Definition!I$3),0)</f>
        <v>0</v>
      </c>
      <c r="R273" s="204">
        <f>(Definition!M273*Definition!E$9)</f>
        <v>0</v>
      </c>
      <c r="S273" s="204">
        <f>(Definition!N273*Definition!F$9)</f>
        <v>0</v>
      </c>
      <c r="T273" s="204">
        <f>(Definition!O273*Definition!G$9)</f>
        <v>0</v>
      </c>
      <c r="U273" s="204">
        <f>(Definition!P273*Definition!H$9)</f>
        <v>0</v>
      </c>
      <c r="V273" s="204">
        <f>(Definition!Q273*Definition!I$9)</f>
        <v>0</v>
      </c>
      <c r="W273" s="203">
        <f t="shared" si="29"/>
        <v>0</v>
      </c>
      <c r="X273" s="206">
        <f t="shared" si="30"/>
        <v>0</v>
      </c>
    </row>
    <row r="274" spans="12:24">
      <c r="L274" s="423"/>
      <c r="M274" s="254">
        <f>IF(compute_ManualOverrideSPA="No", COUNTIFS(JSMVC!E$5:E$14987,UCDEffortSpread!D50, JSMVC!B$5:B$14987,Definition!C$9,JSMVC!D$5:D$14987,Definition!E$3),0)</f>
        <v>0</v>
      </c>
      <c r="N274" s="68">
        <f>IF(compute_ManualOverrideSPA="No", COUNTIFS(JSMVC!E$5:E$14987,UCDEffortSpread!D50, JSMVC!B$5:B$14987,Definition!C$9,JSMVC!D$5:D$14987,Definition!F$3),0)</f>
        <v>0</v>
      </c>
      <c r="O274" s="68">
        <f>IF(compute_ManualOverrideSPA="No", COUNTIFS(JSMVC!E$5:E$14987,UCDEffortSpread!D50, JSMVC!B$5:B$14987,Definition!C$9,JSMVC!D$5:D$14987,Definition!G$3),0)</f>
        <v>0</v>
      </c>
      <c r="P274" s="68">
        <f>IF(compute_ManualOverrideSPA="No", COUNTIFS(JSMVC!E$5:E$14987,UCDEffortSpread!D50, JSMVC!B$5:B$14987,Definition!C$9,JSMVC!D$5:D$14987,Definition!H$3),0)</f>
        <v>0</v>
      </c>
      <c r="Q274" s="68">
        <f>IF(compute_ManualOverrideSPA="No", COUNTIFS(JSMVC!E$5:E$14987,UCDEffortSpread!D50, JSMVC!B$5:B$14987,Definition!C$9,JSMVC!D$5:D$14987,Definition!I$3),0)</f>
        <v>0</v>
      </c>
      <c r="R274" s="204">
        <f>(Definition!M274*Definition!E$9)</f>
        <v>0</v>
      </c>
      <c r="S274" s="204">
        <f>(Definition!N274*Definition!F$9)</f>
        <v>0</v>
      </c>
      <c r="T274" s="204">
        <f>(Definition!O274*Definition!G$9)</f>
        <v>0</v>
      </c>
      <c r="U274" s="204">
        <f>(Definition!P274*Definition!H$9)</f>
        <v>0</v>
      </c>
      <c r="V274" s="204">
        <f>(Definition!Q274*Definition!I$9)</f>
        <v>0</v>
      </c>
      <c r="W274" s="203">
        <f t="shared" si="29"/>
        <v>0</v>
      </c>
      <c r="X274" s="206">
        <f t="shared" si="30"/>
        <v>0</v>
      </c>
    </row>
    <row r="275" spans="12:24">
      <c r="L275" s="423"/>
      <c r="M275" s="254">
        <f>IF(compute_ManualOverrideSPA="No", COUNTIFS(JSMVC!E$5:E$14987,UCDEffortSpread!D51, JSMVC!B$5:B$14987,Definition!C$9,JSMVC!D$5:D$14987,Definition!E$3),0)</f>
        <v>0</v>
      </c>
      <c r="N275" s="68">
        <f>IF(compute_ManualOverrideSPA="No", COUNTIFS(JSMVC!E$5:E$14987,UCDEffortSpread!D51, JSMVC!B$5:B$14987,Definition!C$9,JSMVC!D$5:D$14987,Definition!F$3),0)</f>
        <v>0</v>
      </c>
      <c r="O275" s="68">
        <f>IF(compute_ManualOverrideSPA="No", COUNTIFS(JSMVC!E$5:E$14987,UCDEffortSpread!D51, JSMVC!B$5:B$14987,Definition!C$9,JSMVC!D$5:D$14987,Definition!G$3),0)</f>
        <v>0</v>
      </c>
      <c r="P275" s="68">
        <f>IF(compute_ManualOverrideSPA="No", COUNTIFS(JSMVC!E$5:E$14987,UCDEffortSpread!D51, JSMVC!B$5:B$14987,Definition!C$9,JSMVC!D$5:D$14987,Definition!H$3),0)</f>
        <v>0</v>
      </c>
      <c r="Q275" s="68">
        <f>IF(compute_ManualOverrideSPA="No", COUNTIFS(JSMVC!E$5:E$14987,UCDEffortSpread!D51, JSMVC!B$5:B$14987,Definition!C$9,JSMVC!D$5:D$14987,Definition!I$3),0)</f>
        <v>0</v>
      </c>
      <c r="R275" s="204">
        <f>(Definition!M275*Definition!E$9)</f>
        <v>0</v>
      </c>
      <c r="S275" s="204">
        <f>(Definition!N275*Definition!F$9)</f>
        <v>0</v>
      </c>
      <c r="T275" s="204">
        <f>(Definition!O275*Definition!G$9)</f>
        <v>0</v>
      </c>
      <c r="U275" s="204">
        <f>(Definition!P275*Definition!H$9)</f>
        <v>0</v>
      </c>
      <c r="V275" s="204">
        <f>(Definition!Q275*Definition!I$9)</f>
        <v>0</v>
      </c>
      <c r="W275" s="203">
        <f t="shared" si="29"/>
        <v>0</v>
      </c>
      <c r="X275" s="206">
        <f t="shared" si="30"/>
        <v>0</v>
      </c>
    </row>
    <row r="276" spans="12:24">
      <c r="L276" s="423"/>
      <c r="M276" s="254">
        <f>IF(compute_ManualOverrideSPA="No", COUNTIFS(JSMVC!E$5:E$14987,UCDEffortSpread!D52, JSMVC!B$5:B$14987,Definition!C$9,JSMVC!D$5:D$14987,Definition!E$3),0)</f>
        <v>0</v>
      </c>
      <c r="N276" s="68">
        <f>IF(compute_ManualOverrideSPA="No", COUNTIFS(JSMVC!E$5:E$14987,UCDEffortSpread!D52, JSMVC!B$5:B$14987,Definition!C$9,JSMVC!D$5:D$14987,Definition!F$3),0)</f>
        <v>0</v>
      </c>
      <c r="O276" s="68">
        <f>IF(compute_ManualOverrideSPA="No", COUNTIFS(JSMVC!E$5:E$14987,UCDEffortSpread!D52, JSMVC!B$5:B$14987,Definition!C$9,JSMVC!D$5:D$14987,Definition!G$3),0)</f>
        <v>0</v>
      </c>
      <c r="P276" s="68">
        <f>IF(compute_ManualOverrideSPA="No", COUNTIFS(JSMVC!E$5:E$14987,UCDEffortSpread!D52, JSMVC!B$5:B$14987,Definition!C$9,JSMVC!D$5:D$14987,Definition!H$3),0)</f>
        <v>0</v>
      </c>
      <c r="Q276" s="68">
        <f>IF(compute_ManualOverrideSPA="No", COUNTIFS(JSMVC!E$5:E$14987,UCDEffortSpread!D52, JSMVC!B$5:B$14987,Definition!C$9,JSMVC!D$5:D$14987,Definition!I$3),0)</f>
        <v>0</v>
      </c>
      <c r="R276" s="204">
        <f>(Definition!M276*Definition!E$9)</f>
        <v>0</v>
      </c>
      <c r="S276" s="204">
        <f>(Definition!N276*Definition!F$9)</f>
        <v>0</v>
      </c>
      <c r="T276" s="204">
        <f>(Definition!O276*Definition!G$9)</f>
        <v>0</v>
      </c>
      <c r="U276" s="204">
        <f>(Definition!P276*Definition!H$9)</f>
        <v>0</v>
      </c>
      <c r="V276" s="204">
        <f>(Definition!Q276*Definition!I$9)</f>
        <v>0</v>
      </c>
      <c r="W276" s="203">
        <f t="shared" si="29"/>
        <v>0</v>
      </c>
      <c r="X276" s="206">
        <f t="shared" si="30"/>
        <v>0</v>
      </c>
    </row>
    <row r="277" spans="12:24">
      <c r="L277" s="423"/>
      <c r="M277" s="254">
        <f>IF(compute_ManualOverrideSPA="No", COUNTIFS(JSMVC!E$5:E$14987,UCDEffortSpread!D53, JSMVC!B$5:B$14987,Definition!C$9,JSMVC!D$5:D$14987,Definition!E$3),0)</f>
        <v>0</v>
      </c>
      <c r="N277" s="68">
        <f>IF(compute_ManualOverrideSPA="No", COUNTIFS(JSMVC!E$5:E$14987,UCDEffortSpread!D53, JSMVC!B$5:B$14987,Definition!C$9,JSMVC!D$5:D$14987,Definition!F$3),0)</f>
        <v>0</v>
      </c>
      <c r="O277" s="68">
        <f>IF(compute_ManualOverrideSPA="No", COUNTIFS(JSMVC!E$5:E$14987,UCDEffortSpread!D53, JSMVC!B$5:B$14987,Definition!C$9,JSMVC!D$5:D$14987,Definition!G$3),0)</f>
        <v>0</v>
      </c>
      <c r="P277" s="68">
        <f>IF(compute_ManualOverrideSPA="No", COUNTIFS(JSMVC!E$5:E$14987,UCDEffortSpread!D53, JSMVC!B$5:B$14987,Definition!C$9,JSMVC!D$5:D$14987,Definition!H$3),0)</f>
        <v>0</v>
      </c>
      <c r="Q277" s="68">
        <f>IF(compute_ManualOverrideSPA="No", COUNTIFS(JSMVC!E$5:E$14987,UCDEffortSpread!D53, JSMVC!B$5:B$14987,Definition!C$9,JSMVC!D$5:D$14987,Definition!I$3),0)</f>
        <v>0</v>
      </c>
      <c r="R277" s="204">
        <f>(Definition!M277*Definition!E$9)</f>
        <v>0</v>
      </c>
      <c r="S277" s="204">
        <f>(Definition!N277*Definition!F$9)</f>
        <v>0</v>
      </c>
      <c r="T277" s="204">
        <f>(Definition!O277*Definition!G$9)</f>
        <v>0</v>
      </c>
      <c r="U277" s="204">
        <f>(Definition!P277*Definition!H$9)</f>
        <v>0</v>
      </c>
      <c r="V277" s="204">
        <f>(Definition!Q277*Definition!I$9)</f>
        <v>0</v>
      </c>
      <c r="W277" s="203">
        <f t="shared" si="29"/>
        <v>0</v>
      </c>
      <c r="X277" s="206">
        <f t="shared" si="30"/>
        <v>0</v>
      </c>
    </row>
    <row r="278" spans="12:24">
      <c r="L278" s="424"/>
      <c r="M278" s="254">
        <f>IF(compute_ManualOverrideSPA="No", COUNTIFS(JSMVC!E$5:E$14987,UCDEffortSpread!D54, JSMVC!B$5:B$14987,Definition!C$9,JSMVC!D$5:D$14987,Definition!E$3),0)</f>
        <v>0</v>
      </c>
      <c r="N278" s="68">
        <f>IF(compute_ManualOverrideSPA="No", COUNTIFS(JSMVC!E$5:E$14987,UCDEffortSpread!D54, JSMVC!B$5:B$14987,Definition!C$9,JSMVC!D$5:D$14987,Definition!F$3),0)</f>
        <v>0</v>
      </c>
      <c r="O278" s="68">
        <f>IF(compute_ManualOverrideSPA="No", COUNTIFS(JSMVC!E$5:E$14987,UCDEffortSpread!D54, JSMVC!B$5:B$14987,Definition!C$9,JSMVC!D$5:D$14987,Definition!G$3),0)</f>
        <v>0</v>
      </c>
      <c r="P278" s="68">
        <f>IF(compute_ManualOverrideSPA="No", COUNTIFS(JSMVC!E$5:E$14987,UCDEffortSpread!D54, JSMVC!B$5:B$14987,Definition!C$9,JSMVC!D$5:D$14987,Definition!H$3),0)</f>
        <v>0</v>
      </c>
      <c r="Q278" s="68">
        <f>IF(compute_ManualOverrideSPA="No", COUNTIFS(JSMVC!E$5:E$14987,UCDEffortSpread!D54, JSMVC!B$5:B$14987,Definition!C$9,JSMVC!D$5:D$14987,Definition!I$3),0)</f>
        <v>0</v>
      </c>
      <c r="R278" s="204">
        <f>(Definition!M278*Definition!E$9)</f>
        <v>0</v>
      </c>
      <c r="S278" s="204">
        <f>(Definition!N278*Definition!F$9)</f>
        <v>0</v>
      </c>
      <c r="T278" s="204">
        <f>(Definition!O278*Definition!G$9)</f>
        <v>0</v>
      </c>
      <c r="U278" s="204">
        <f>(Definition!P278*Definition!H$9)</f>
        <v>0</v>
      </c>
      <c r="V278" s="204">
        <f>(Definition!Q278*Definition!I$9)</f>
        <v>0</v>
      </c>
      <c r="W278" s="203">
        <f t="shared" si="29"/>
        <v>0</v>
      </c>
      <c r="X278" s="206">
        <f t="shared" si="30"/>
        <v>0</v>
      </c>
    </row>
    <row r="279" spans="12:24">
      <c r="L279" s="422" t="str">
        <f>C10</f>
        <v>Controllers</v>
      </c>
      <c r="M279" s="68">
        <f>IF(compute_ManualOverrideSPA="No", COUNTIFS(JSMVC!E$5:E$14987,UCDEffortSpread!D5, JSMVC!B$5:B$14987,Definition!C$10,JSMVC!D$5:D$14987,Definition!E$3),JSMVC!H$18)</f>
        <v>0</v>
      </c>
      <c r="N279" s="68">
        <f>IF(compute_ManualOverrideSPA="No", COUNTIFS(JSMVC!E$5:E$14987,UCDEffortSpread!D5, JSMVC!B$5:B$14987,Definition!C$10,JSMVC!D$5:D$14987,Definition!F$3),JSMVC!I$18)</f>
        <v>0</v>
      </c>
      <c r="O279" s="68">
        <f>IF(compute_ManualOverrideSPA="No", COUNTIFS(JSMVC!E$5:E$14987,UCDEffortSpread!D5, JSMVC!B$5:B$14987,Definition!C$10,JSMVC!D$5:D$14987,Definition!G$3),JSMVC!J$18)</f>
        <v>0</v>
      </c>
      <c r="P279" s="68">
        <f>IF(compute_ManualOverrideSPA="No", COUNTIFS(JSMVC!E$5:E$14987,UCDEffortSpread!D5, JSMVC!B$5:B$14987,Definition!C$10,JSMVC!D$5:D$14987,Definition!H$3),JSMVC!K$18)</f>
        <v>0</v>
      </c>
      <c r="Q279" s="68">
        <f>IF(compute_ManualOverrideSPA="No", COUNTIFS(JSMVC!E$5:E$14987,UCDEffortSpread!D5, JSMVC!B$5:B$14987,Definition!C$10,JSMVC!D$5:D$14987,Definition!I$3),JSMVC!L$18)</f>
        <v>0</v>
      </c>
      <c r="R279" s="203">
        <f>(Definition!M279*Definition!E$10)</f>
        <v>0</v>
      </c>
      <c r="S279" s="203">
        <f>(Definition!N279*Definition!F$10)</f>
        <v>0</v>
      </c>
      <c r="T279" s="203">
        <f>(Definition!O279*Definition!G$10)</f>
        <v>0</v>
      </c>
      <c r="U279" s="203">
        <f>(Definition!P279*Definition!H$10)</f>
        <v>0</v>
      </c>
      <c r="V279" s="203">
        <f>(Definition!Q279*Definition!I$10)</f>
        <v>0</v>
      </c>
      <c r="W279" s="204">
        <f>SUM(R279:V279)</f>
        <v>0</v>
      </c>
      <c r="X279" s="206">
        <f>IF(W279&lt;&gt;0,SUM(R279:V279),0)</f>
        <v>0</v>
      </c>
    </row>
    <row r="280" spans="12:24">
      <c r="L280" s="423"/>
      <c r="M280" s="68">
        <f>IF(compute_ManualOverrideSPA="No", COUNTIFS(JSMVC!E$5:E$14987,UCDEffortSpread!D6, JSMVC!B$5:B$14987,Definition!C$10,JSMVC!D$5:D$14987,Definition!E$3),0)</f>
        <v>0</v>
      </c>
      <c r="N280" s="68">
        <f>IF(compute_ManualOverrideSPA="No", COUNTIFS(JSMVC!E$5:E$14987,UCDEffortSpread!D6, JSMVC!B$5:B$14987,Definition!C$10,JSMVC!D$5:D$14987,Definition!F$3),0)</f>
        <v>0</v>
      </c>
      <c r="O280" s="68">
        <f>IF(compute_ManualOverrideSPA="No", COUNTIFS(JSMVC!E$5:E$14987,UCDEffortSpread!D6, JSMVC!B$5:B$14987,Definition!C$10,JSMVC!D$5:D$14987,Definition!G$3),0)</f>
        <v>0</v>
      </c>
      <c r="P280" s="68">
        <f>IF(compute_ManualOverrideSPA="No", COUNTIFS(JSMVC!E$5:E$14987,UCDEffortSpread!D6, JSMVC!B$5:B$14987,Definition!C$10,JSMVC!D$5:D$14987,Definition!H$3),0)</f>
        <v>0</v>
      </c>
      <c r="Q280" s="68">
        <f>IF(compute_ManualOverrideSPA="No", COUNTIFS(JSMVC!E$5:E$14987,UCDEffortSpread!D6, JSMVC!B$5:B$14987,Definition!C$10,JSMVC!D$5:D$14987,Definition!I$3),0)</f>
        <v>0</v>
      </c>
      <c r="R280" s="203">
        <f>(Definition!M280*Definition!E$10)</f>
        <v>0</v>
      </c>
      <c r="S280" s="203">
        <f>(Definition!N280*Definition!F$10)</f>
        <v>0</v>
      </c>
      <c r="T280" s="203">
        <f>(Definition!O280*Definition!G$10)</f>
        <v>0</v>
      </c>
      <c r="U280" s="203">
        <f>(Definition!P280*Definition!H$10)</f>
        <v>0</v>
      </c>
      <c r="V280" s="203">
        <f>(Definition!Q280*Definition!I$10)</f>
        <v>0</v>
      </c>
      <c r="W280" s="204">
        <f t="shared" ref="W280:W293" si="31">SUM(R280:V280)</f>
        <v>0</v>
      </c>
      <c r="X280" s="206">
        <f t="shared" si="30"/>
        <v>0</v>
      </c>
    </row>
    <row r="281" spans="12:24">
      <c r="L281" s="423"/>
      <c r="M281" s="68">
        <f>IF(compute_ManualOverrideSPA="No", COUNTIFS(JSMVC!E$5:E$14987,UCDEffortSpread!D7, JSMVC!B$5:B$14987,Definition!C$10,JSMVC!D$5:D$14987,Definition!E$3),0)</f>
        <v>0</v>
      </c>
      <c r="N281" s="68">
        <f>IF(compute_ManualOverrideSPA="No", COUNTIFS(JSMVC!E$5:E$14987,UCDEffortSpread!D7, JSMVC!B$5:B$14987,Definition!C$10,JSMVC!D$5:D$14987,Definition!F$3),0)</f>
        <v>0</v>
      </c>
      <c r="O281" s="68">
        <f>IF(compute_ManualOverrideSPA="No", COUNTIFS(JSMVC!E$5:E$14987,UCDEffortSpread!D7, JSMVC!B$5:B$14987,Definition!C$10,JSMVC!D$5:D$14987,Definition!G$3),0)</f>
        <v>0</v>
      </c>
      <c r="P281" s="68">
        <f>IF(compute_ManualOverrideSPA="No", COUNTIFS(JSMVC!E$5:E$14987,UCDEffortSpread!D7, JSMVC!B$5:B$14987,Definition!C$10,JSMVC!D$5:D$14987,Definition!H$3),0)</f>
        <v>0</v>
      </c>
      <c r="Q281" s="68">
        <f>IF(compute_ManualOverrideSPA="No", COUNTIFS(JSMVC!E$5:E$14987,UCDEffortSpread!D7, JSMVC!B$5:B$14987,Definition!C$10,JSMVC!D$5:D$14987,Definition!I$3),0)</f>
        <v>0</v>
      </c>
      <c r="R281" s="203">
        <f>(Definition!M281*Definition!E$10)</f>
        <v>0</v>
      </c>
      <c r="S281" s="203">
        <f>(Definition!N281*Definition!F$10)</f>
        <v>0</v>
      </c>
      <c r="T281" s="203">
        <f>(Definition!O281*Definition!G$10)</f>
        <v>0</v>
      </c>
      <c r="U281" s="203">
        <f>(Definition!P281*Definition!H$10)</f>
        <v>0</v>
      </c>
      <c r="V281" s="203">
        <f>(Definition!Q281*Definition!I$10)</f>
        <v>0</v>
      </c>
      <c r="W281" s="204">
        <f t="shared" si="31"/>
        <v>0</v>
      </c>
      <c r="X281" s="206">
        <f t="shared" si="30"/>
        <v>0</v>
      </c>
    </row>
    <row r="282" spans="12:24">
      <c r="L282" s="423"/>
      <c r="M282" s="68">
        <f>IF(compute_ManualOverrideSPA="No", COUNTIFS(JSMVC!E$5:E$14987,UCDEffortSpread!D8, JSMVC!B$5:B$14987,Definition!C$10,JSMVC!D$5:D$14987,Definition!E$3),0)</f>
        <v>0</v>
      </c>
      <c r="N282" s="68">
        <f>IF(compute_ManualOverrideSPA="No", COUNTIFS(JSMVC!E$5:E$14987,UCDEffortSpread!D8, JSMVC!B$5:B$14987,Definition!C$10,JSMVC!D$5:D$14987,Definition!F$3),0)</f>
        <v>0</v>
      </c>
      <c r="O282" s="68">
        <f>IF(compute_ManualOverrideSPA="No", COUNTIFS(JSMVC!E$5:E$14987,UCDEffortSpread!D8, JSMVC!B$5:B$14987,Definition!C$10,JSMVC!D$5:D$14987,Definition!G$3),0)</f>
        <v>0</v>
      </c>
      <c r="P282" s="68">
        <f>IF(compute_ManualOverrideSPA="No", COUNTIFS(JSMVC!E$5:E$14987,UCDEffortSpread!D8, JSMVC!B$5:B$14987,Definition!C$10,JSMVC!D$5:D$14987,Definition!H$3),0)</f>
        <v>0</v>
      </c>
      <c r="Q282" s="68">
        <f>IF(compute_ManualOverrideSPA="No", COUNTIFS(JSMVC!E$5:E$14987,UCDEffortSpread!D8, JSMVC!B$5:B$14987,Definition!C$10,JSMVC!D$5:D$14987,Definition!I$3),0)</f>
        <v>0</v>
      </c>
      <c r="R282" s="203">
        <f>(Definition!M282*Definition!E$10)</f>
        <v>0</v>
      </c>
      <c r="S282" s="203">
        <f>(Definition!N282*Definition!F$10)</f>
        <v>0</v>
      </c>
      <c r="T282" s="203">
        <f>(Definition!O282*Definition!G$10)</f>
        <v>0</v>
      </c>
      <c r="U282" s="203">
        <f>(Definition!P282*Definition!H$10)</f>
        <v>0</v>
      </c>
      <c r="V282" s="203">
        <f>(Definition!Q282*Definition!I$10)</f>
        <v>0</v>
      </c>
      <c r="W282" s="204">
        <f t="shared" si="31"/>
        <v>0</v>
      </c>
      <c r="X282" s="206">
        <f t="shared" si="30"/>
        <v>0</v>
      </c>
    </row>
    <row r="283" spans="12:24">
      <c r="L283" s="423"/>
      <c r="M283" s="68">
        <f>IF(compute_ManualOverrideSPA="No", COUNTIFS(JSMVC!E$5:E$14987,UCDEffortSpread!D9, JSMVC!B$5:B$14987,Definition!C$10,JSMVC!D$5:D$14987,Definition!E$3),0)</f>
        <v>0</v>
      </c>
      <c r="N283" s="68">
        <f>IF(compute_ManualOverrideSPA="No", COUNTIFS(JSMVC!E$5:E$14987,UCDEffortSpread!D9, JSMVC!B$5:B$14987,Definition!C$10,JSMVC!D$5:D$14987,Definition!F$3),0)</f>
        <v>0</v>
      </c>
      <c r="O283" s="68">
        <f>IF(compute_ManualOverrideSPA="No", COUNTIFS(JSMVC!E$5:E$14987,UCDEffortSpread!D9, JSMVC!B$5:B$14987,Definition!C$10,JSMVC!D$5:D$14987,Definition!G$3),0)</f>
        <v>0</v>
      </c>
      <c r="P283" s="68">
        <f>IF(compute_ManualOverrideSPA="No", COUNTIFS(JSMVC!E$5:E$14987,UCDEffortSpread!D9, JSMVC!B$5:B$14987,Definition!C$10,JSMVC!D$5:D$14987,Definition!H$3),0)</f>
        <v>0</v>
      </c>
      <c r="Q283" s="68">
        <f>IF(compute_ManualOverrideSPA="No", COUNTIFS(JSMVC!E$5:E$14987,UCDEffortSpread!D9, JSMVC!B$5:B$14987,Definition!C$10,JSMVC!D$5:D$14987,Definition!I$3),0)</f>
        <v>0</v>
      </c>
      <c r="R283" s="203">
        <f>(Definition!M283*Definition!E$10)</f>
        <v>0</v>
      </c>
      <c r="S283" s="203">
        <f>(Definition!N283*Definition!F$10)</f>
        <v>0</v>
      </c>
      <c r="T283" s="203">
        <f>(Definition!O283*Definition!G$10)</f>
        <v>0</v>
      </c>
      <c r="U283" s="203">
        <f>(Definition!P283*Definition!H$10)</f>
        <v>0</v>
      </c>
      <c r="V283" s="203">
        <f>(Definition!Q283*Definition!I$10)</f>
        <v>0</v>
      </c>
      <c r="W283" s="204">
        <f t="shared" si="31"/>
        <v>0</v>
      </c>
      <c r="X283" s="206">
        <f t="shared" si="30"/>
        <v>0</v>
      </c>
    </row>
    <row r="284" spans="12:24">
      <c r="L284" s="423"/>
      <c r="M284" s="68">
        <f>IF(compute_ManualOverrideSPA="No", COUNTIFS(JSMVC!E$5:E$14987,UCDEffortSpread!D10, JSMVC!B$5:B$14987,Definition!C$10,JSMVC!D$5:D$14987,Definition!E$3),0)</f>
        <v>0</v>
      </c>
      <c r="N284" s="68">
        <f>IF(compute_ManualOverrideSPA="No", COUNTIFS(JSMVC!E$5:E$14987,UCDEffortSpread!D10, JSMVC!B$5:B$14987,Definition!C$10,JSMVC!D$5:D$14987,Definition!F$3),0)</f>
        <v>0</v>
      </c>
      <c r="O284" s="68">
        <f>IF(compute_ManualOverrideSPA="No", COUNTIFS(JSMVC!E$5:E$14987,UCDEffortSpread!D10, JSMVC!B$5:B$14987,Definition!C$10,JSMVC!D$5:D$14987,Definition!G$3),0)</f>
        <v>0</v>
      </c>
      <c r="P284" s="68">
        <f>IF(compute_ManualOverrideSPA="No", COUNTIFS(JSMVC!E$5:E$14987,UCDEffortSpread!D10, JSMVC!B$5:B$14987,Definition!C$10,JSMVC!D$5:D$14987,Definition!H$3),0)</f>
        <v>0</v>
      </c>
      <c r="Q284" s="68">
        <f>IF(compute_ManualOverrideSPA="No", COUNTIFS(JSMVC!E$5:E$14987,UCDEffortSpread!D10, JSMVC!B$5:B$14987,Definition!C$10,JSMVC!D$5:D$14987,Definition!I$3),0)</f>
        <v>0</v>
      </c>
      <c r="R284" s="203">
        <f>(Definition!M284*Definition!E$10)</f>
        <v>0</v>
      </c>
      <c r="S284" s="203">
        <f>(Definition!N284*Definition!F$10)</f>
        <v>0</v>
      </c>
      <c r="T284" s="203">
        <f>(Definition!O284*Definition!G$10)</f>
        <v>0</v>
      </c>
      <c r="U284" s="203">
        <f>(Definition!P284*Definition!H$10)</f>
        <v>0</v>
      </c>
      <c r="V284" s="203">
        <f>(Definition!Q284*Definition!I$10)</f>
        <v>0</v>
      </c>
      <c r="W284" s="204">
        <f t="shared" si="31"/>
        <v>0</v>
      </c>
      <c r="X284" s="206">
        <f t="shared" si="30"/>
        <v>0</v>
      </c>
    </row>
    <row r="285" spans="12:24">
      <c r="L285" s="423"/>
      <c r="M285" s="68">
        <f>IF(compute_ManualOverrideSPA="No", COUNTIFS(JSMVC!E$5:E$14987,UCDEffortSpread!D11, JSMVC!B$5:B$14987,Definition!C$10,JSMVC!D$5:D$14987,Definition!E$3),0)</f>
        <v>0</v>
      </c>
      <c r="N285" s="68">
        <f>IF(compute_ManualOverrideSPA="No", COUNTIFS(JSMVC!E$5:E$14987,UCDEffortSpread!D11, JSMVC!B$5:B$14987,Definition!C$10,JSMVC!D$5:D$14987,Definition!F$3),0)</f>
        <v>0</v>
      </c>
      <c r="O285" s="68">
        <f>IF(compute_ManualOverrideSPA="No", COUNTIFS(JSMVC!E$5:E$14987,UCDEffortSpread!D11, JSMVC!B$5:B$14987,Definition!C$10,JSMVC!D$5:D$14987,Definition!G$3),0)</f>
        <v>0</v>
      </c>
      <c r="P285" s="68">
        <f>IF(compute_ManualOverrideSPA="No", COUNTIFS(JSMVC!E$5:E$14987,UCDEffortSpread!D11, JSMVC!B$5:B$14987,Definition!C$10,JSMVC!D$5:D$14987,Definition!H$3),0)</f>
        <v>0</v>
      </c>
      <c r="Q285" s="68">
        <f>IF(compute_ManualOverrideSPA="No", COUNTIFS(JSMVC!E$5:E$14987,UCDEffortSpread!D11, JSMVC!B$5:B$14987,Definition!C$10,JSMVC!D$5:D$14987,Definition!I$3),0)</f>
        <v>0</v>
      </c>
      <c r="R285" s="203">
        <f>(Definition!M285*Definition!E$10)</f>
        <v>0</v>
      </c>
      <c r="S285" s="203">
        <f>(Definition!N285*Definition!F$10)</f>
        <v>0</v>
      </c>
      <c r="T285" s="203">
        <f>(Definition!O285*Definition!G$10)</f>
        <v>0</v>
      </c>
      <c r="U285" s="203">
        <f>(Definition!P285*Definition!H$10)</f>
        <v>0</v>
      </c>
      <c r="V285" s="203">
        <f>(Definition!Q285*Definition!I$10)</f>
        <v>0</v>
      </c>
      <c r="W285" s="204">
        <f t="shared" si="31"/>
        <v>0</v>
      </c>
      <c r="X285" s="206">
        <f t="shared" si="30"/>
        <v>0</v>
      </c>
    </row>
    <row r="286" spans="12:24">
      <c r="L286" s="423"/>
      <c r="M286" s="68">
        <f>IF(compute_ManualOverrideSPA="No", COUNTIFS(JSMVC!E$5:E$14987,UCDEffortSpread!D12, JSMVC!B$5:B$14987,Definition!C$10,JSMVC!D$5:D$14987,Definition!E$3),0)</f>
        <v>0</v>
      </c>
      <c r="N286" s="68">
        <f>IF(compute_ManualOverrideSPA="No", COUNTIFS(JSMVC!E$5:E$14987,UCDEffortSpread!D12, JSMVC!B$5:B$14987,Definition!C$10,JSMVC!D$5:D$14987,Definition!F$3),0)</f>
        <v>0</v>
      </c>
      <c r="O286" s="68">
        <f>IF(compute_ManualOverrideSPA="No", COUNTIFS(JSMVC!E$5:E$14987,UCDEffortSpread!D12, JSMVC!B$5:B$14987,Definition!C$10,JSMVC!D$5:D$14987,Definition!G$3),0)</f>
        <v>0</v>
      </c>
      <c r="P286" s="68">
        <f>IF(compute_ManualOverrideSPA="No", COUNTIFS(JSMVC!E$5:E$14987,UCDEffortSpread!D12, JSMVC!B$5:B$14987,Definition!C$10,JSMVC!D$5:D$14987,Definition!H$3),0)</f>
        <v>0</v>
      </c>
      <c r="Q286" s="68">
        <f>IF(compute_ManualOverrideSPA="No", COUNTIFS(JSMVC!E$5:E$14987,UCDEffortSpread!D12, JSMVC!B$5:B$14987,Definition!C$10,JSMVC!D$5:D$14987,Definition!I$3),0)</f>
        <v>0</v>
      </c>
      <c r="R286" s="203">
        <f>(Definition!M286*Definition!E$10)</f>
        <v>0</v>
      </c>
      <c r="S286" s="203">
        <f>(Definition!N286*Definition!F$10)</f>
        <v>0</v>
      </c>
      <c r="T286" s="203">
        <f>(Definition!O286*Definition!G$10)</f>
        <v>0</v>
      </c>
      <c r="U286" s="203">
        <f>(Definition!P286*Definition!H$10)</f>
        <v>0</v>
      </c>
      <c r="V286" s="203">
        <f>(Definition!Q286*Definition!I$10)</f>
        <v>0</v>
      </c>
      <c r="W286" s="204">
        <f t="shared" si="31"/>
        <v>0</v>
      </c>
      <c r="X286" s="206">
        <f t="shared" si="30"/>
        <v>0</v>
      </c>
    </row>
    <row r="287" spans="12:24">
      <c r="L287" s="423"/>
      <c r="M287" s="68">
        <f>IF(compute_ManualOverrideSPA="No", COUNTIFS(JSMVC!E$5:E$14987,UCDEffortSpread!D13, JSMVC!B$5:B$14987,Definition!C$10,JSMVC!D$5:D$14987,Definition!E$3),0)</f>
        <v>0</v>
      </c>
      <c r="N287" s="68">
        <f>IF(compute_ManualOverrideSPA="No", COUNTIFS(JSMVC!E$5:E$14987,UCDEffortSpread!D13, JSMVC!B$5:B$14987,Definition!C$10,JSMVC!D$5:D$14987,Definition!F$3),0)</f>
        <v>0</v>
      </c>
      <c r="O287" s="68">
        <f>IF(compute_ManualOverrideSPA="No", COUNTIFS(JSMVC!E$5:E$14987,UCDEffortSpread!D13, JSMVC!B$5:B$14987,Definition!C$10,JSMVC!D$5:D$14987,Definition!G$3),0)</f>
        <v>0</v>
      </c>
      <c r="P287" s="68">
        <f>IF(compute_ManualOverrideSPA="No", COUNTIFS(JSMVC!E$5:E$14987,UCDEffortSpread!D13, JSMVC!B$5:B$14987,Definition!C$10,JSMVC!D$5:D$14987,Definition!H$3),0)</f>
        <v>0</v>
      </c>
      <c r="Q287" s="68">
        <f>IF(compute_ManualOverrideSPA="No", COUNTIFS(JSMVC!E$5:E$14987,UCDEffortSpread!D13, JSMVC!B$5:B$14987,Definition!C$10,JSMVC!D$5:D$14987,Definition!I$3),0)</f>
        <v>0</v>
      </c>
      <c r="R287" s="203">
        <f>(Definition!M287*Definition!E$10)</f>
        <v>0</v>
      </c>
      <c r="S287" s="203">
        <f>(Definition!N287*Definition!F$10)</f>
        <v>0</v>
      </c>
      <c r="T287" s="203">
        <f>(Definition!O287*Definition!G$10)</f>
        <v>0</v>
      </c>
      <c r="U287" s="203">
        <f>(Definition!P287*Definition!H$10)</f>
        <v>0</v>
      </c>
      <c r="V287" s="203">
        <f>(Definition!Q287*Definition!I$10)</f>
        <v>0</v>
      </c>
      <c r="W287" s="204">
        <f t="shared" si="31"/>
        <v>0</v>
      </c>
      <c r="X287" s="206">
        <f t="shared" si="30"/>
        <v>0</v>
      </c>
    </row>
    <row r="288" spans="12:24">
      <c r="L288" s="423"/>
      <c r="M288" s="68">
        <f>IF(compute_ManualOverrideSPA="No", COUNTIFS(JSMVC!E$5:E$14987,UCDEffortSpread!D14, JSMVC!B$5:B$14987,Definition!C$10,JSMVC!D$5:D$14987,Definition!E$3),0)</f>
        <v>0</v>
      </c>
      <c r="N288" s="68">
        <f>IF(compute_ManualOverrideSPA="No", COUNTIFS(JSMVC!E$5:E$14987,UCDEffortSpread!D14, JSMVC!B$5:B$14987,Definition!C$10,JSMVC!D$5:D$14987,Definition!F$3),0)</f>
        <v>0</v>
      </c>
      <c r="O288" s="68">
        <f>IF(compute_ManualOverrideSPA="No", COUNTIFS(JSMVC!E$5:E$14987,UCDEffortSpread!D14, JSMVC!B$5:B$14987,Definition!C$10,JSMVC!D$5:D$14987,Definition!G$3),0)</f>
        <v>0</v>
      </c>
      <c r="P288" s="68">
        <f>IF(compute_ManualOverrideSPA="No", COUNTIFS(JSMVC!E$5:E$14987,UCDEffortSpread!D14, JSMVC!B$5:B$14987,Definition!C$10,JSMVC!D$5:D$14987,Definition!H$3),0)</f>
        <v>0</v>
      </c>
      <c r="Q288" s="68">
        <f>IF(compute_ManualOverrideSPA="No", COUNTIFS(JSMVC!E$5:E$14987,UCDEffortSpread!D14, JSMVC!B$5:B$14987,Definition!C$10,JSMVC!D$5:D$14987,Definition!I$3),0)</f>
        <v>0</v>
      </c>
      <c r="R288" s="203">
        <f>(Definition!M288*Definition!E$10)</f>
        <v>0</v>
      </c>
      <c r="S288" s="203">
        <f>(Definition!N288*Definition!F$10)</f>
        <v>0</v>
      </c>
      <c r="T288" s="203">
        <f>(Definition!O288*Definition!G$10)</f>
        <v>0</v>
      </c>
      <c r="U288" s="203">
        <f>(Definition!P288*Definition!H$10)</f>
        <v>0</v>
      </c>
      <c r="V288" s="203">
        <f>(Definition!Q288*Definition!I$10)</f>
        <v>0</v>
      </c>
      <c r="W288" s="204">
        <f t="shared" si="31"/>
        <v>0</v>
      </c>
      <c r="X288" s="206">
        <f t="shared" si="30"/>
        <v>0</v>
      </c>
    </row>
    <row r="289" spans="12:24">
      <c r="L289" s="423"/>
      <c r="M289" s="68">
        <f>IF(compute_ManualOverrideSPA="No", COUNTIFS(JSMVC!E$5:E$14987,UCDEffortSpread!D15, JSMVC!B$5:B$14987,Definition!C$10,JSMVC!D$5:D$14987,Definition!E$3),0)</f>
        <v>0</v>
      </c>
      <c r="N289" s="68">
        <f>IF(compute_ManualOverrideSPA="No", COUNTIFS(JSMVC!E$5:E$14987,UCDEffortSpread!D15, JSMVC!B$5:B$14987,Definition!C$10,JSMVC!D$5:D$14987,Definition!F$3),0)</f>
        <v>0</v>
      </c>
      <c r="O289" s="68">
        <f>IF(compute_ManualOverrideSPA="No", COUNTIFS(JSMVC!E$5:E$14987,UCDEffortSpread!D15, JSMVC!B$5:B$14987,Definition!C$10,JSMVC!D$5:D$14987,Definition!G$3),0)</f>
        <v>0</v>
      </c>
      <c r="P289" s="68">
        <f>IF(compute_ManualOverrideSPA="No", COUNTIFS(JSMVC!E$5:E$14987,UCDEffortSpread!D15, JSMVC!B$5:B$14987,Definition!C$10,JSMVC!D$5:D$14987,Definition!H$3),0)</f>
        <v>0</v>
      </c>
      <c r="Q289" s="68">
        <f>IF(compute_ManualOverrideSPA="No", COUNTIFS(JSMVC!E$5:E$14987,UCDEffortSpread!D15, JSMVC!B$5:B$14987,Definition!C$10,JSMVC!D$5:D$14987,Definition!I$3),0)</f>
        <v>0</v>
      </c>
      <c r="R289" s="203">
        <f>(Definition!M289*Definition!E$10)</f>
        <v>0</v>
      </c>
      <c r="S289" s="203">
        <f>(Definition!N289*Definition!F$10)</f>
        <v>0</v>
      </c>
      <c r="T289" s="203">
        <f>(Definition!O289*Definition!G$10)</f>
        <v>0</v>
      </c>
      <c r="U289" s="203">
        <f>(Definition!P289*Definition!H$10)</f>
        <v>0</v>
      </c>
      <c r="V289" s="203">
        <f>(Definition!Q289*Definition!I$10)</f>
        <v>0</v>
      </c>
      <c r="W289" s="204">
        <f t="shared" si="31"/>
        <v>0</v>
      </c>
      <c r="X289" s="206">
        <f t="shared" si="30"/>
        <v>0</v>
      </c>
    </row>
    <row r="290" spans="12:24">
      <c r="L290" s="423"/>
      <c r="M290" s="68">
        <f>IF(compute_ManualOverrideSPA="No", COUNTIFS(JSMVC!E$5:E$14987,UCDEffortSpread!D16, JSMVC!B$5:B$14987,Definition!C$10,JSMVC!D$5:D$14987,Definition!E$3),0)</f>
        <v>0</v>
      </c>
      <c r="N290" s="68">
        <f>IF(compute_ManualOverrideSPA="No", COUNTIFS(JSMVC!E$5:E$14987,UCDEffortSpread!D16, JSMVC!B$5:B$14987,Definition!C$10,JSMVC!D$5:D$14987,Definition!F$3),0)</f>
        <v>0</v>
      </c>
      <c r="O290" s="68">
        <f>IF(compute_ManualOverrideSPA="No", COUNTIFS(JSMVC!E$5:E$14987,UCDEffortSpread!D16, JSMVC!B$5:B$14987,Definition!C$10,JSMVC!D$5:D$14987,Definition!G$3),0)</f>
        <v>0</v>
      </c>
      <c r="P290" s="68">
        <f>IF(compute_ManualOverrideSPA="No", COUNTIFS(JSMVC!E$5:E$14987,UCDEffortSpread!D16, JSMVC!B$5:B$14987,Definition!C$10,JSMVC!D$5:D$14987,Definition!H$3),0)</f>
        <v>0</v>
      </c>
      <c r="Q290" s="68">
        <f>IF(compute_ManualOverrideSPA="No", COUNTIFS(JSMVC!E$5:E$14987,UCDEffortSpread!D16, JSMVC!B$5:B$14987,Definition!C$10,JSMVC!D$5:D$14987,Definition!I$3),0)</f>
        <v>0</v>
      </c>
      <c r="R290" s="203">
        <f>(Definition!M290*Definition!E$10)</f>
        <v>0</v>
      </c>
      <c r="S290" s="203">
        <f>(Definition!N290*Definition!F$10)</f>
        <v>0</v>
      </c>
      <c r="T290" s="203">
        <f>(Definition!O290*Definition!G$10)</f>
        <v>0</v>
      </c>
      <c r="U290" s="203">
        <f>(Definition!P290*Definition!H$10)</f>
        <v>0</v>
      </c>
      <c r="V290" s="203">
        <f>(Definition!Q290*Definition!I$10)</f>
        <v>0</v>
      </c>
      <c r="W290" s="204">
        <f t="shared" si="31"/>
        <v>0</v>
      </c>
      <c r="X290" s="206">
        <f t="shared" si="30"/>
        <v>0</v>
      </c>
    </row>
    <row r="291" spans="12:24">
      <c r="L291" s="423"/>
      <c r="M291" s="68">
        <f>IF(compute_ManualOverrideSPA="No", COUNTIFS(JSMVC!E$5:E$14987,UCDEffortSpread!D17, JSMVC!B$5:B$14987,Definition!C$10,JSMVC!D$5:D$14987,Definition!E$3),0)</f>
        <v>0</v>
      </c>
      <c r="N291" s="68">
        <f>IF(compute_ManualOverrideSPA="No", COUNTIFS(JSMVC!E$5:E$14987,UCDEffortSpread!D17, JSMVC!B$5:B$14987,Definition!C$10,JSMVC!D$5:D$14987,Definition!F$3),0)</f>
        <v>0</v>
      </c>
      <c r="O291" s="68">
        <f>IF(compute_ManualOverrideSPA="No", COUNTIFS(JSMVC!E$5:E$14987,UCDEffortSpread!D17, JSMVC!B$5:B$14987,Definition!C$10,JSMVC!D$5:D$14987,Definition!G$3),0)</f>
        <v>0</v>
      </c>
      <c r="P291" s="68">
        <f>IF(compute_ManualOverrideSPA="No", COUNTIFS(JSMVC!E$5:E$14987,UCDEffortSpread!D17, JSMVC!B$5:B$14987,Definition!C$10,JSMVC!D$5:D$14987,Definition!H$3),0)</f>
        <v>0</v>
      </c>
      <c r="Q291" s="68">
        <f>IF(compute_ManualOverrideSPA="No", COUNTIFS(JSMVC!E$5:E$14987,UCDEffortSpread!D17, JSMVC!B$5:B$14987,Definition!C$10,JSMVC!D$5:D$14987,Definition!I$3),0)</f>
        <v>0</v>
      </c>
      <c r="R291" s="203">
        <f>(Definition!M291*Definition!E$10)</f>
        <v>0</v>
      </c>
      <c r="S291" s="203">
        <f>(Definition!N291*Definition!F$10)</f>
        <v>0</v>
      </c>
      <c r="T291" s="203">
        <f>(Definition!O291*Definition!G$10)</f>
        <v>0</v>
      </c>
      <c r="U291" s="203">
        <f>(Definition!P291*Definition!H$10)</f>
        <v>0</v>
      </c>
      <c r="V291" s="203">
        <f>(Definition!Q291*Definition!I$10)</f>
        <v>0</v>
      </c>
      <c r="W291" s="204">
        <f t="shared" si="31"/>
        <v>0</v>
      </c>
      <c r="X291" s="206">
        <f t="shared" si="30"/>
        <v>0</v>
      </c>
    </row>
    <row r="292" spans="12:24">
      <c r="L292" s="423"/>
      <c r="M292" s="68">
        <f>IF(compute_ManualOverrideSPA="No", COUNTIFS(JSMVC!E$5:E$14987,UCDEffortSpread!D18, JSMVC!B$5:B$14987,Definition!C$10,JSMVC!D$5:D$14987,Definition!E$3),0)</f>
        <v>0</v>
      </c>
      <c r="N292" s="68">
        <f>IF(compute_ManualOverrideSPA="No", COUNTIFS(JSMVC!E$5:E$14987,UCDEffortSpread!D18, JSMVC!B$5:B$14987,Definition!C$10,JSMVC!D$5:D$14987,Definition!F$3),0)</f>
        <v>0</v>
      </c>
      <c r="O292" s="68">
        <f>IF(compute_ManualOverrideSPA="No", COUNTIFS(JSMVC!E$5:E$14987,UCDEffortSpread!D18, JSMVC!B$5:B$14987,Definition!C$10,JSMVC!D$5:D$14987,Definition!G$3),0)</f>
        <v>0</v>
      </c>
      <c r="P292" s="68">
        <f>IF(compute_ManualOverrideSPA="No", COUNTIFS(JSMVC!E$5:E$14987,UCDEffortSpread!D18, JSMVC!B$5:B$14987,Definition!C$10,JSMVC!D$5:D$14987,Definition!H$3),0)</f>
        <v>0</v>
      </c>
      <c r="Q292" s="68">
        <f>IF(compute_ManualOverrideSPA="No", COUNTIFS(JSMVC!E$5:E$14987,UCDEffortSpread!D18, JSMVC!B$5:B$14987,Definition!C$10,JSMVC!D$5:D$14987,Definition!I$3),0)</f>
        <v>0</v>
      </c>
      <c r="R292" s="203">
        <f>(Definition!M292*Definition!E$10)</f>
        <v>0</v>
      </c>
      <c r="S292" s="203">
        <f>(Definition!N292*Definition!F$10)</f>
        <v>0</v>
      </c>
      <c r="T292" s="203">
        <f>(Definition!O292*Definition!G$10)</f>
        <v>0</v>
      </c>
      <c r="U292" s="203">
        <f>(Definition!P292*Definition!H$10)</f>
        <v>0</v>
      </c>
      <c r="V292" s="203">
        <f>(Definition!Q292*Definition!I$10)</f>
        <v>0</v>
      </c>
      <c r="W292" s="204">
        <f t="shared" si="31"/>
        <v>0</v>
      </c>
      <c r="X292" s="206">
        <f t="shared" si="30"/>
        <v>0</v>
      </c>
    </row>
    <row r="293" spans="12:24">
      <c r="L293" s="423"/>
      <c r="M293" s="68">
        <f>IF(compute_ManualOverrideSPA="No", COUNTIFS(JSMVC!E$5:E$14987,UCDEffortSpread!D19, JSMVC!B$5:B$14987,Definition!C$10,JSMVC!D$5:D$14987,Definition!E$3),0)</f>
        <v>0</v>
      </c>
      <c r="N293" s="68">
        <f>IF(compute_ManualOverrideSPA="No", COUNTIFS(JSMVC!E$5:E$14987,UCDEffortSpread!D19, JSMVC!B$5:B$14987,Definition!C$10,JSMVC!D$5:D$14987,Definition!F$3),0)</f>
        <v>0</v>
      </c>
      <c r="O293" s="68">
        <f>IF(compute_ManualOverrideSPA="No", COUNTIFS(JSMVC!E$5:E$14987,UCDEffortSpread!D19, JSMVC!B$5:B$14987,Definition!C$10,JSMVC!D$5:D$14987,Definition!G$3),0)</f>
        <v>0</v>
      </c>
      <c r="P293" s="68">
        <f>IF(compute_ManualOverrideSPA="No", COUNTIFS(JSMVC!E$5:E$14987,UCDEffortSpread!D19, JSMVC!B$5:B$14987,Definition!C$10,JSMVC!D$5:D$14987,Definition!H$3),0)</f>
        <v>0</v>
      </c>
      <c r="Q293" s="68">
        <f>IF(compute_ManualOverrideSPA="No", COUNTIFS(JSMVC!E$5:E$14987,UCDEffortSpread!D19, JSMVC!B$5:B$14987,Definition!C$10,JSMVC!D$5:D$14987,Definition!I$3),0)</f>
        <v>0</v>
      </c>
      <c r="R293" s="203">
        <f>(Definition!M293*Definition!E$10)</f>
        <v>0</v>
      </c>
      <c r="S293" s="203">
        <f>(Definition!N293*Definition!F$10)</f>
        <v>0</v>
      </c>
      <c r="T293" s="203">
        <f>(Definition!O293*Definition!G$10)</f>
        <v>0</v>
      </c>
      <c r="U293" s="203">
        <f>(Definition!P293*Definition!H$10)</f>
        <v>0</v>
      </c>
      <c r="V293" s="203">
        <f>(Definition!Q293*Definition!I$10)</f>
        <v>0</v>
      </c>
      <c r="W293" s="204">
        <f t="shared" si="31"/>
        <v>0</v>
      </c>
      <c r="X293" s="206">
        <f t="shared" si="30"/>
        <v>0</v>
      </c>
    </row>
    <row r="294" spans="12:24">
      <c r="L294" s="423"/>
      <c r="M294" s="68">
        <f>IF(compute_ManualOverrideSPA="No", COUNTIFS(JSMVC!E$5:E$14987,UCDEffortSpread!D20, JSMVC!B$5:B$14987,Definition!C$10,JSMVC!D$5:D$14987,Definition!E$3),0)</f>
        <v>0</v>
      </c>
      <c r="N294" s="68">
        <f>IF(compute_ManualOverrideSPA="No", COUNTIFS(JSMVC!E$5:E$14987,UCDEffortSpread!D20, JSMVC!B$5:B$14987,Definition!C$10,JSMVC!D$5:D$14987,Definition!F$3),0)</f>
        <v>0</v>
      </c>
      <c r="O294" s="68">
        <f>IF(compute_ManualOverrideSPA="No", COUNTIFS(JSMVC!E$5:E$14987,UCDEffortSpread!D20, JSMVC!B$5:B$14987,Definition!C$10,JSMVC!D$5:D$14987,Definition!G$3),0)</f>
        <v>0</v>
      </c>
      <c r="P294" s="68">
        <f>IF(compute_ManualOverrideSPA="No", COUNTIFS(JSMVC!E$5:E$14987,UCDEffortSpread!D20, JSMVC!B$5:B$14987,Definition!C$10,JSMVC!D$5:D$14987,Definition!H$3),0)</f>
        <v>0</v>
      </c>
      <c r="Q294" s="68">
        <f>IF(compute_ManualOverrideSPA="No", COUNTIFS(JSMVC!E$5:E$14987,UCDEffortSpread!D20, JSMVC!B$5:B$14987,Definition!C$10,JSMVC!D$5:D$14987,Definition!I$3),0)</f>
        <v>0</v>
      </c>
      <c r="R294" s="203">
        <f>(Definition!M294*Definition!E$10)</f>
        <v>0</v>
      </c>
      <c r="S294" s="203">
        <f>(Definition!N294*Definition!F$10)</f>
        <v>0</v>
      </c>
      <c r="T294" s="203">
        <f>(Definition!O294*Definition!G$10)</f>
        <v>0</v>
      </c>
      <c r="U294" s="203">
        <f>(Definition!P294*Definition!H$10)</f>
        <v>0</v>
      </c>
      <c r="V294" s="203">
        <f>(Definition!Q294*Definition!I$10)</f>
        <v>0</v>
      </c>
      <c r="W294" s="204">
        <f t="shared" ref="W294:W328" si="32">SUM(R294:V294)</f>
        <v>0</v>
      </c>
      <c r="X294" s="206">
        <f t="shared" si="30"/>
        <v>0</v>
      </c>
    </row>
    <row r="295" spans="12:24">
      <c r="L295" s="423"/>
      <c r="M295" s="68">
        <f>IF(compute_ManualOverrideSPA="No", COUNTIFS(JSMVC!E$5:E$14987,UCDEffortSpread!D21, JSMVC!B$5:B$14987,Definition!C$10,JSMVC!D$5:D$14987,Definition!E$3),0)</f>
        <v>0</v>
      </c>
      <c r="N295" s="68">
        <f>IF(compute_ManualOverrideSPA="No", COUNTIFS(JSMVC!E$5:E$14987,UCDEffortSpread!D21, JSMVC!B$5:B$14987,Definition!C$10,JSMVC!D$5:D$14987,Definition!F$3),0)</f>
        <v>0</v>
      </c>
      <c r="O295" s="68">
        <f>IF(compute_ManualOverrideSPA="No", COUNTIFS(JSMVC!E$5:E$14987,UCDEffortSpread!D21, JSMVC!B$5:B$14987,Definition!C$10,JSMVC!D$5:D$14987,Definition!G$3),0)</f>
        <v>0</v>
      </c>
      <c r="P295" s="68">
        <f>IF(compute_ManualOverrideSPA="No", COUNTIFS(JSMVC!E$5:E$14987,UCDEffortSpread!D21, JSMVC!B$5:B$14987,Definition!C$10,JSMVC!D$5:D$14987,Definition!H$3),0)</f>
        <v>0</v>
      </c>
      <c r="Q295" s="68">
        <f>IF(compute_ManualOverrideSPA="No", COUNTIFS(JSMVC!E$5:E$14987,UCDEffortSpread!D21, JSMVC!B$5:B$14987,Definition!C$10,JSMVC!D$5:D$14987,Definition!I$3),0)</f>
        <v>0</v>
      </c>
      <c r="R295" s="203">
        <f>(Definition!M295*Definition!E$10)</f>
        <v>0</v>
      </c>
      <c r="S295" s="203">
        <f>(Definition!N295*Definition!F$10)</f>
        <v>0</v>
      </c>
      <c r="T295" s="203">
        <f>(Definition!O295*Definition!G$10)</f>
        <v>0</v>
      </c>
      <c r="U295" s="203">
        <f>(Definition!P295*Definition!H$10)</f>
        <v>0</v>
      </c>
      <c r="V295" s="203">
        <f>(Definition!Q295*Definition!I$10)</f>
        <v>0</v>
      </c>
      <c r="W295" s="204">
        <f t="shared" si="32"/>
        <v>0</v>
      </c>
      <c r="X295" s="206">
        <f t="shared" si="30"/>
        <v>0</v>
      </c>
    </row>
    <row r="296" spans="12:24">
      <c r="L296" s="423"/>
      <c r="M296" s="68">
        <f>IF(compute_ManualOverrideSPA="No", COUNTIFS(JSMVC!E$5:E$14987,UCDEffortSpread!D22, JSMVC!B$5:B$14987,Definition!C$10,JSMVC!D$5:D$14987,Definition!E$3),0)</f>
        <v>0</v>
      </c>
      <c r="N296" s="68">
        <f>IF(compute_ManualOverrideSPA="No", COUNTIFS(JSMVC!E$5:E$14987,UCDEffortSpread!D22, JSMVC!B$5:B$14987,Definition!C$10,JSMVC!D$5:D$14987,Definition!F$3),0)</f>
        <v>0</v>
      </c>
      <c r="O296" s="68">
        <f>IF(compute_ManualOverrideSPA="No", COUNTIFS(JSMVC!E$5:E$14987,UCDEffortSpread!D22, JSMVC!B$5:B$14987,Definition!C$10,JSMVC!D$5:D$14987,Definition!G$3),0)</f>
        <v>0</v>
      </c>
      <c r="P296" s="68">
        <f>IF(compute_ManualOverrideSPA="No", COUNTIFS(JSMVC!E$5:E$14987,UCDEffortSpread!D22, JSMVC!B$5:B$14987,Definition!C$10,JSMVC!D$5:D$14987,Definition!H$3),0)</f>
        <v>0</v>
      </c>
      <c r="Q296" s="68">
        <f>IF(compute_ManualOverrideSPA="No", COUNTIFS(JSMVC!E$5:E$14987,UCDEffortSpread!D22, JSMVC!B$5:B$14987,Definition!C$10,JSMVC!D$5:D$14987,Definition!I$3),0)</f>
        <v>0</v>
      </c>
      <c r="R296" s="203">
        <f>(Definition!M296*Definition!E$10)</f>
        <v>0</v>
      </c>
      <c r="S296" s="203">
        <f>(Definition!N296*Definition!F$10)</f>
        <v>0</v>
      </c>
      <c r="T296" s="203">
        <f>(Definition!O296*Definition!G$10)</f>
        <v>0</v>
      </c>
      <c r="U296" s="203">
        <f>(Definition!P296*Definition!H$10)</f>
        <v>0</v>
      </c>
      <c r="V296" s="203">
        <f>(Definition!Q296*Definition!I$10)</f>
        <v>0</v>
      </c>
      <c r="W296" s="204">
        <f t="shared" si="32"/>
        <v>0</v>
      </c>
      <c r="X296" s="206">
        <f t="shared" si="30"/>
        <v>0</v>
      </c>
    </row>
    <row r="297" spans="12:24">
      <c r="L297" s="423"/>
      <c r="M297" s="68">
        <f>IF(compute_ManualOverrideSPA="No", COUNTIFS(JSMVC!E$5:E$14987,UCDEffortSpread!D23, JSMVC!B$5:B$14987,Definition!C$10,JSMVC!D$5:D$14987,Definition!E$3),0)</f>
        <v>0</v>
      </c>
      <c r="N297" s="68">
        <f>IF(compute_ManualOverrideSPA="No", COUNTIFS(JSMVC!E$5:E$14987,UCDEffortSpread!D23, JSMVC!B$5:B$14987,Definition!C$10,JSMVC!D$5:D$14987,Definition!F$3),0)</f>
        <v>0</v>
      </c>
      <c r="O297" s="68">
        <f>IF(compute_ManualOverrideSPA="No", COUNTIFS(JSMVC!E$5:E$14987,UCDEffortSpread!D23, JSMVC!B$5:B$14987,Definition!C$10,JSMVC!D$5:D$14987,Definition!G$3),0)</f>
        <v>0</v>
      </c>
      <c r="P297" s="68">
        <f>IF(compute_ManualOverrideSPA="No", COUNTIFS(JSMVC!E$5:E$14987,UCDEffortSpread!D23, JSMVC!B$5:B$14987,Definition!C$10,JSMVC!D$5:D$14987,Definition!H$3),0)</f>
        <v>0</v>
      </c>
      <c r="Q297" s="68">
        <f>IF(compute_ManualOverrideSPA="No", COUNTIFS(JSMVC!E$5:E$14987,UCDEffortSpread!D23, JSMVC!B$5:B$14987,Definition!C$10,JSMVC!D$5:D$14987,Definition!I$3),0)</f>
        <v>0</v>
      </c>
      <c r="R297" s="203">
        <f>(Definition!M297*Definition!E$10)</f>
        <v>0</v>
      </c>
      <c r="S297" s="203">
        <f>(Definition!N297*Definition!F$10)</f>
        <v>0</v>
      </c>
      <c r="T297" s="203">
        <f>(Definition!O297*Definition!G$10)</f>
        <v>0</v>
      </c>
      <c r="U297" s="203">
        <f>(Definition!P297*Definition!H$10)</f>
        <v>0</v>
      </c>
      <c r="V297" s="203">
        <f>(Definition!Q297*Definition!I$10)</f>
        <v>0</v>
      </c>
      <c r="W297" s="204">
        <f t="shared" si="32"/>
        <v>0</v>
      </c>
      <c r="X297" s="206">
        <f t="shared" si="30"/>
        <v>0</v>
      </c>
    </row>
    <row r="298" spans="12:24">
      <c r="L298" s="423"/>
      <c r="M298" s="68">
        <f>IF(compute_ManualOverrideSPA="No", COUNTIFS(JSMVC!E$5:E$14987,UCDEffortSpread!D24, JSMVC!B$5:B$14987,Definition!C$10,JSMVC!D$5:D$14987,Definition!E$3),0)</f>
        <v>0</v>
      </c>
      <c r="N298" s="68">
        <f>IF(compute_ManualOverrideSPA="No", COUNTIFS(JSMVC!E$5:E$14987,UCDEffortSpread!D24, JSMVC!B$5:B$14987,Definition!C$10,JSMVC!D$5:D$14987,Definition!F$3),0)</f>
        <v>0</v>
      </c>
      <c r="O298" s="68">
        <f>IF(compute_ManualOverrideSPA="No", COUNTIFS(JSMVC!E$5:E$14987,UCDEffortSpread!D24, JSMVC!B$5:B$14987,Definition!C$10,JSMVC!D$5:D$14987,Definition!G$3),0)</f>
        <v>0</v>
      </c>
      <c r="P298" s="68">
        <f>IF(compute_ManualOverrideSPA="No", COUNTIFS(JSMVC!E$5:E$14987,UCDEffortSpread!D24, JSMVC!B$5:B$14987,Definition!C$10,JSMVC!D$5:D$14987,Definition!H$3),0)</f>
        <v>0</v>
      </c>
      <c r="Q298" s="68">
        <f>IF(compute_ManualOverrideSPA="No", COUNTIFS(JSMVC!E$5:E$14987,UCDEffortSpread!D24, JSMVC!B$5:B$14987,Definition!C$10,JSMVC!D$5:D$14987,Definition!I$3),0)</f>
        <v>0</v>
      </c>
      <c r="R298" s="203">
        <f>(Definition!M298*Definition!E$10)</f>
        <v>0</v>
      </c>
      <c r="S298" s="203">
        <f>(Definition!N298*Definition!F$10)</f>
        <v>0</v>
      </c>
      <c r="T298" s="203">
        <f>(Definition!O298*Definition!G$10)</f>
        <v>0</v>
      </c>
      <c r="U298" s="203">
        <f>(Definition!P298*Definition!H$10)</f>
        <v>0</v>
      </c>
      <c r="V298" s="203">
        <f>(Definition!Q298*Definition!I$10)</f>
        <v>0</v>
      </c>
      <c r="W298" s="204">
        <f t="shared" si="32"/>
        <v>0</v>
      </c>
      <c r="X298" s="206">
        <f t="shared" si="30"/>
        <v>0</v>
      </c>
    </row>
    <row r="299" spans="12:24">
      <c r="L299" s="423"/>
      <c r="M299" s="68">
        <f>IF(compute_ManualOverrideSPA="No", COUNTIFS(JSMVC!E$5:E$14987,UCDEffortSpread!D25, JSMVC!B$5:B$14987,Definition!C$10,JSMVC!D$5:D$14987,Definition!E$3),0)</f>
        <v>0</v>
      </c>
      <c r="N299" s="68">
        <f>IF(compute_ManualOverrideSPA="No", COUNTIFS(JSMVC!E$5:E$14987,UCDEffortSpread!D25, JSMVC!B$5:B$14987,Definition!C$10,JSMVC!D$5:D$14987,Definition!F$3),0)</f>
        <v>0</v>
      </c>
      <c r="O299" s="68">
        <f>IF(compute_ManualOverrideSPA="No", COUNTIFS(JSMVC!E$5:E$14987,UCDEffortSpread!D25, JSMVC!B$5:B$14987,Definition!C$10,JSMVC!D$5:D$14987,Definition!G$3),0)</f>
        <v>0</v>
      </c>
      <c r="P299" s="68">
        <f>IF(compute_ManualOverrideSPA="No", COUNTIFS(JSMVC!E$5:E$14987,UCDEffortSpread!D25, JSMVC!B$5:B$14987,Definition!C$10,JSMVC!D$5:D$14987,Definition!H$3),0)</f>
        <v>0</v>
      </c>
      <c r="Q299" s="68">
        <f>IF(compute_ManualOverrideSPA="No", COUNTIFS(JSMVC!E$5:E$14987,UCDEffortSpread!D25, JSMVC!B$5:B$14987,Definition!C$10,JSMVC!D$5:D$14987,Definition!I$3),0)</f>
        <v>0</v>
      </c>
      <c r="R299" s="203">
        <f>(Definition!M299*Definition!E$10)</f>
        <v>0</v>
      </c>
      <c r="S299" s="203">
        <f>(Definition!N299*Definition!F$10)</f>
        <v>0</v>
      </c>
      <c r="T299" s="203">
        <f>(Definition!O299*Definition!G$10)</f>
        <v>0</v>
      </c>
      <c r="U299" s="203">
        <f>(Definition!P299*Definition!H$10)</f>
        <v>0</v>
      </c>
      <c r="V299" s="203">
        <f>(Definition!Q299*Definition!I$10)</f>
        <v>0</v>
      </c>
      <c r="W299" s="204">
        <f t="shared" si="32"/>
        <v>0</v>
      </c>
      <c r="X299" s="206">
        <f t="shared" si="30"/>
        <v>0</v>
      </c>
    </row>
    <row r="300" spans="12:24">
      <c r="L300" s="423"/>
      <c r="M300" s="68">
        <f>IF(compute_ManualOverrideSPA="No", COUNTIFS(JSMVC!E$5:E$14987,UCDEffortSpread!D26, JSMVC!B$5:B$14987,Definition!C$10,JSMVC!D$5:D$14987,Definition!E$3),0)</f>
        <v>0</v>
      </c>
      <c r="N300" s="68">
        <f>IF(compute_ManualOverrideSPA="No", COUNTIFS(JSMVC!E$5:E$14987,UCDEffortSpread!D26, JSMVC!B$5:B$14987,Definition!C$10,JSMVC!D$5:D$14987,Definition!F$3),0)</f>
        <v>0</v>
      </c>
      <c r="O300" s="68">
        <f>IF(compute_ManualOverrideSPA="No", COUNTIFS(JSMVC!E$5:E$14987,UCDEffortSpread!D26, JSMVC!B$5:B$14987,Definition!C$10,JSMVC!D$5:D$14987,Definition!G$3),0)</f>
        <v>0</v>
      </c>
      <c r="P300" s="68">
        <f>IF(compute_ManualOverrideSPA="No", COUNTIFS(JSMVC!E$5:E$14987,UCDEffortSpread!D26, JSMVC!B$5:B$14987,Definition!C$10,JSMVC!D$5:D$14987,Definition!H$3),0)</f>
        <v>0</v>
      </c>
      <c r="Q300" s="68">
        <f>IF(compute_ManualOverrideSPA="No", COUNTIFS(JSMVC!E$5:E$14987,UCDEffortSpread!D26, JSMVC!B$5:B$14987,Definition!C$10,JSMVC!D$5:D$14987,Definition!I$3),0)</f>
        <v>0</v>
      </c>
      <c r="R300" s="203">
        <f>(Definition!M300*Definition!E$10)</f>
        <v>0</v>
      </c>
      <c r="S300" s="203">
        <f>(Definition!N300*Definition!F$10)</f>
        <v>0</v>
      </c>
      <c r="T300" s="203">
        <f>(Definition!O300*Definition!G$10)</f>
        <v>0</v>
      </c>
      <c r="U300" s="203">
        <f>(Definition!P300*Definition!H$10)</f>
        <v>0</v>
      </c>
      <c r="V300" s="203">
        <f>(Definition!Q300*Definition!I$10)</f>
        <v>0</v>
      </c>
      <c r="W300" s="204">
        <f t="shared" si="32"/>
        <v>0</v>
      </c>
      <c r="X300" s="206">
        <f t="shared" si="30"/>
        <v>0</v>
      </c>
    </row>
    <row r="301" spans="12:24">
      <c r="L301" s="423"/>
      <c r="M301" s="68">
        <f>IF(compute_ManualOverrideSPA="No", COUNTIFS(JSMVC!E$5:E$14987,UCDEffortSpread!D27, JSMVC!B$5:B$14987,Definition!C$10,JSMVC!D$5:D$14987,Definition!E$3),0)</f>
        <v>0</v>
      </c>
      <c r="N301" s="68">
        <f>IF(compute_ManualOverrideSPA="No", COUNTIFS(JSMVC!E$5:E$14987,UCDEffortSpread!D27, JSMVC!B$5:B$14987,Definition!C$10,JSMVC!D$5:D$14987,Definition!F$3),0)</f>
        <v>0</v>
      </c>
      <c r="O301" s="68">
        <f>IF(compute_ManualOverrideSPA="No", COUNTIFS(JSMVC!E$5:E$14987,UCDEffortSpread!D27, JSMVC!B$5:B$14987,Definition!C$10,JSMVC!D$5:D$14987,Definition!G$3),0)</f>
        <v>0</v>
      </c>
      <c r="P301" s="68">
        <f>IF(compute_ManualOverrideSPA="No", COUNTIFS(JSMVC!E$5:E$14987,UCDEffortSpread!D27, JSMVC!B$5:B$14987,Definition!C$10,JSMVC!D$5:D$14987,Definition!H$3),0)</f>
        <v>0</v>
      </c>
      <c r="Q301" s="68">
        <f>IF(compute_ManualOverrideSPA="No", COUNTIFS(JSMVC!E$5:E$14987,UCDEffortSpread!D27, JSMVC!B$5:B$14987,Definition!C$10,JSMVC!D$5:D$14987,Definition!I$3),0)</f>
        <v>0</v>
      </c>
      <c r="R301" s="203">
        <f>(Definition!M301*Definition!E$10)</f>
        <v>0</v>
      </c>
      <c r="S301" s="203">
        <f>(Definition!N301*Definition!F$10)</f>
        <v>0</v>
      </c>
      <c r="T301" s="203">
        <f>(Definition!O301*Definition!G$10)</f>
        <v>0</v>
      </c>
      <c r="U301" s="203">
        <f>(Definition!P301*Definition!H$10)</f>
        <v>0</v>
      </c>
      <c r="V301" s="203">
        <f>(Definition!Q301*Definition!I$10)</f>
        <v>0</v>
      </c>
      <c r="W301" s="204">
        <f t="shared" si="32"/>
        <v>0</v>
      </c>
      <c r="X301" s="206">
        <f t="shared" si="30"/>
        <v>0</v>
      </c>
    </row>
    <row r="302" spans="12:24">
      <c r="L302" s="423"/>
      <c r="M302" s="68">
        <f>IF(compute_ManualOverrideSPA="No", COUNTIFS(JSMVC!E$5:E$14987,UCDEffortSpread!D28, JSMVC!B$5:B$14987,Definition!C$10,JSMVC!D$5:D$14987,Definition!E$3),0)</f>
        <v>0</v>
      </c>
      <c r="N302" s="68">
        <f>IF(compute_ManualOverrideSPA="No", COUNTIFS(JSMVC!E$5:E$14987,UCDEffortSpread!D28, JSMVC!B$5:B$14987,Definition!C$10,JSMVC!D$5:D$14987,Definition!F$3),0)</f>
        <v>0</v>
      </c>
      <c r="O302" s="68">
        <f>IF(compute_ManualOverrideSPA="No", COUNTIFS(JSMVC!E$5:E$14987,UCDEffortSpread!D28, JSMVC!B$5:B$14987,Definition!C$10,JSMVC!D$5:D$14987,Definition!G$3),0)</f>
        <v>0</v>
      </c>
      <c r="P302" s="68">
        <f>IF(compute_ManualOverrideSPA="No", COUNTIFS(JSMVC!E$5:E$14987,UCDEffortSpread!D28, JSMVC!B$5:B$14987,Definition!C$10,JSMVC!D$5:D$14987,Definition!H$3),0)</f>
        <v>0</v>
      </c>
      <c r="Q302" s="68">
        <f>IF(compute_ManualOverrideSPA="No", COUNTIFS(JSMVC!E$5:E$14987,UCDEffortSpread!D28, JSMVC!B$5:B$14987,Definition!C$10,JSMVC!D$5:D$14987,Definition!I$3),0)</f>
        <v>0</v>
      </c>
      <c r="R302" s="203">
        <f>(Definition!M302*Definition!E$10)</f>
        <v>0</v>
      </c>
      <c r="S302" s="203">
        <f>(Definition!N302*Definition!F$10)</f>
        <v>0</v>
      </c>
      <c r="T302" s="203">
        <f>(Definition!O302*Definition!G$10)</f>
        <v>0</v>
      </c>
      <c r="U302" s="203">
        <f>(Definition!P302*Definition!H$10)</f>
        <v>0</v>
      </c>
      <c r="V302" s="203">
        <f>(Definition!Q302*Definition!I$10)</f>
        <v>0</v>
      </c>
      <c r="W302" s="204">
        <f t="shared" si="32"/>
        <v>0</v>
      </c>
      <c r="X302" s="206">
        <f t="shared" si="30"/>
        <v>0</v>
      </c>
    </row>
    <row r="303" spans="12:24">
      <c r="L303" s="423"/>
      <c r="M303" s="68">
        <f>IF(compute_ManualOverrideSPA="No", COUNTIFS(JSMVC!E$5:E$14987,UCDEffortSpread!D29, JSMVC!B$5:B$14987,Definition!C$10,JSMVC!D$5:D$14987,Definition!E$3),0)</f>
        <v>0</v>
      </c>
      <c r="N303" s="68">
        <f>IF(compute_ManualOverrideSPA="No", COUNTIFS(JSMVC!E$5:E$14987,UCDEffortSpread!D29, JSMVC!B$5:B$14987,Definition!C$10,JSMVC!D$5:D$14987,Definition!F$3),0)</f>
        <v>0</v>
      </c>
      <c r="O303" s="68">
        <f>IF(compute_ManualOverrideSPA="No", COUNTIFS(JSMVC!E$5:E$14987,UCDEffortSpread!D29, JSMVC!B$5:B$14987,Definition!C$10,JSMVC!D$5:D$14987,Definition!G$3),0)</f>
        <v>0</v>
      </c>
      <c r="P303" s="68">
        <f>IF(compute_ManualOverrideSPA="No", COUNTIFS(JSMVC!E$5:E$14987,UCDEffortSpread!D29, JSMVC!B$5:B$14987,Definition!C$10,JSMVC!D$5:D$14987,Definition!H$3),0)</f>
        <v>0</v>
      </c>
      <c r="Q303" s="68">
        <f>IF(compute_ManualOverrideSPA="No", COUNTIFS(JSMVC!E$5:E$14987,UCDEffortSpread!D29, JSMVC!B$5:B$14987,Definition!C$10,JSMVC!D$5:D$14987,Definition!I$3),0)</f>
        <v>0</v>
      </c>
      <c r="R303" s="203">
        <f>(Definition!M303*Definition!E$10)</f>
        <v>0</v>
      </c>
      <c r="S303" s="203">
        <f>(Definition!N303*Definition!F$10)</f>
        <v>0</v>
      </c>
      <c r="T303" s="203">
        <f>(Definition!O303*Definition!G$10)</f>
        <v>0</v>
      </c>
      <c r="U303" s="203">
        <f>(Definition!P303*Definition!H$10)</f>
        <v>0</v>
      </c>
      <c r="V303" s="203">
        <f>(Definition!Q303*Definition!I$10)</f>
        <v>0</v>
      </c>
      <c r="W303" s="204">
        <f t="shared" si="32"/>
        <v>0</v>
      </c>
      <c r="X303" s="206">
        <f t="shared" si="30"/>
        <v>0</v>
      </c>
    </row>
    <row r="304" spans="12:24">
      <c r="L304" s="423"/>
      <c r="M304" s="68">
        <f>IF(compute_ManualOverrideSPA="No", COUNTIFS(JSMVC!E$5:E$14987,UCDEffortSpread!D30, JSMVC!B$5:B$14987,Definition!C$10,JSMVC!D$5:D$14987,Definition!E$3),0)</f>
        <v>0</v>
      </c>
      <c r="N304" s="68">
        <f>IF(compute_ManualOverrideSPA="No", COUNTIFS(JSMVC!E$5:E$14987,UCDEffortSpread!D30, JSMVC!B$5:B$14987,Definition!C$10,JSMVC!D$5:D$14987,Definition!F$3),0)</f>
        <v>0</v>
      </c>
      <c r="O304" s="68">
        <f>IF(compute_ManualOverrideSPA="No", COUNTIFS(JSMVC!E$5:E$14987,UCDEffortSpread!D30, JSMVC!B$5:B$14987,Definition!C$10,JSMVC!D$5:D$14987,Definition!G$3),0)</f>
        <v>0</v>
      </c>
      <c r="P304" s="68">
        <f>IF(compute_ManualOverrideSPA="No", COUNTIFS(JSMVC!E$5:E$14987,UCDEffortSpread!D30, JSMVC!B$5:B$14987,Definition!C$10,JSMVC!D$5:D$14987,Definition!H$3),0)</f>
        <v>0</v>
      </c>
      <c r="Q304" s="68">
        <f>IF(compute_ManualOverrideSPA="No", COUNTIFS(JSMVC!E$5:E$14987,UCDEffortSpread!D30, JSMVC!B$5:B$14987,Definition!C$10,JSMVC!D$5:D$14987,Definition!I$3),0)</f>
        <v>0</v>
      </c>
      <c r="R304" s="203">
        <f>(Definition!M304*Definition!E$10)</f>
        <v>0</v>
      </c>
      <c r="S304" s="203">
        <f>(Definition!N304*Definition!F$10)</f>
        <v>0</v>
      </c>
      <c r="T304" s="203">
        <f>(Definition!O304*Definition!G$10)</f>
        <v>0</v>
      </c>
      <c r="U304" s="203">
        <f>(Definition!P304*Definition!H$10)</f>
        <v>0</v>
      </c>
      <c r="V304" s="203">
        <f>(Definition!Q304*Definition!I$10)</f>
        <v>0</v>
      </c>
      <c r="W304" s="204">
        <f t="shared" si="32"/>
        <v>0</v>
      </c>
      <c r="X304" s="206">
        <f t="shared" si="30"/>
        <v>0</v>
      </c>
    </row>
    <row r="305" spans="12:24">
      <c r="L305" s="423"/>
      <c r="M305" s="68">
        <f>IF(compute_ManualOverrideSPA="No", COUNTIFS(JSMVC!E$5:E$14987,UCDEffortSpread!D31, JSMVC!B$5:B$14987,Definition!C$10,JSMVC!D$5:D$14987,Definition!E$3),0)</f>
        <v>0</v>
      </c>
      <c r="N305" s="68">
        <f>IF(compute_ManualOverrideSPA="No", COUNTIFS(JSMVC!E$5:E$14987,UCDEffortSpread!D31, JSMVC!B$5:B$14987,Definition!C$10,JSMVC!D$5:D$14987,Definition!F$3),0)</f>
        <v>0</v>
      </c>
      <c r="O305" s="68">
        <f>IF(compute_ManualOverrideSPA="No", COUNTIFS(JSMVC!E$5:E$14987,UCDEffortSpread!D31, JSMVC!B$5:B$14987,Definition!C$10,JSMVC!D$5:D$14987,Definition!G$3),0)</f>
        <v>0</v>
      </c>
      <c r="P305" s="68">
        <f>IF(compute_ManualOverrideSPA="No", COUNTIFS(JSMVC!E$5:E$14987,UCDEffortSpread!D31, JSMVC!B$5:B$14987,Definition!C$10,JSMVC!D$5:D$14987,Definition!H$3),0)</f>
        <v>0</v>
      </c>
      <c r="Q305" s="68">
        <f>IF(compute_ManualOverrideSPA="No", COUNTIFS(JSMVC!E$5:E$14987,UCDEffortSpread!D31, JSMVC!B$5:B$14987,Definition!C$10,JSMVC!D$5:D$14987,Definition!I$3),0)</f>
        <v>0</v>
      </c>
      <c r="R305" s="203">
        <f>(Definition!M305*Definition!E$10)</f>
        <v>0</v>
      </c>
      <c r="S305" s="203">
        <f>(Definition!N305*Definition!F$10)</f>
        <v>0</v>
      </c>
      <c r="T305" s="203">
        <f>(Definition!O305*Definition!G$10)</f>
        <v>0</v>
      </c>
      <c r="U305" s="203">
        <f>(Definition!P305*Definition!H$10)</f>
        <v>0</v>
      </c>
      <c r="V305" s="203">
        <f>(Definition!Q305*Definition!I$10)</f>
        <v>0</v>
      </c>
      <c r="W305" s="204">
        <f t="shared" si="32"/>
        <v>0</v>
      </c>
      <c r="X305" s="206">
        <f t="shared" si="30"/>
        <v>0</v>
      </c>
    </row>
    <row r="306" spans="12:24">
      <c r="L306" s="423"/>
      <c r="M306" s="68">
        <f>IF(compute_ManualOverrideSPA="No", COUNTIFS(JSMVC!E$5:E$14987,UCDEffortSpread!D32, JSMVC!B$5:B$14987,Definition!C$10,JSMVC!D$5:D$14987,Definition!E$3),0)</f>
        <v>0</v>
      </c>
      <c r="N306" s="68">
        <f>IF(compute_ManualOverrideSPA="No", COUNTIFS(JSMVC!E$5:E$14987,UCDEffortSpread!D32, JSMVC!B$5:B$14987,Definition!C$10,JSMVC!D$5:D$14987,Definition!F$3),0)</f>
        <v>0</v>
      </c>
      <c r="O306" s="68">
        <f>IF(compute_ManualOverrideSPA="No", COUNTIFS(JSMVC!E$5:E$14987,UCDEffortSpread!D32, JSMVC!B$5:B$14987,Definition!C$10,JSMVC!D$5:D$14987,Definition!G$3),0)</f>
        <v>0</v>
      </c>
      <c r="P306" s="68">
        <f>IF(compute_ManualOverrideSPA="No", COUNTIFS(JSMVC!E$5:E$14987,UCDEffortSpread!D32, JSMVC!B$5:B$14987,Definition!C$10,JSMVC!D$5:D$14987,Definition!H$3),0)</f>
        <v>0</v>
      </c>
      <c r="Q306" s="68">
        <f>IF(compute_ManualOverrideSPA="No", COUNTIFS(JSMVC!E$5:E$14987,UCDEffortSpread!D32, JSMVC!B$5:B$14987,Definition!C$10,JSMVC!D$5:D$14987,Definition!I$3),0)</f>
        <v>0</v>
      </c>
      <c r="R306" s="203">
        <f>(Definition!M306*Definition!E$10)</f>
        <v>0</v>
      </c>
      <c r="S306" s="203">
        <f>(Definition!N306*Definition!F$10)</f>
        <v>0</v>
      </c>
      <c r="T306" s="203">
        <f>(Definition!O306*Definition!G$10)</f>
        <v>0</v>
      </c>
      <c r="U306" s="203">
        <f>(Definition!P306*Definition!H$10)</f>
        <v>0</v>
      </c>
      <c r="V306" s="203">
        <f>(Definition!Q306*Definition!I$10)</f>
        <v>0</v>
      </c>
      <c r="W306" s="204">
        <f t="shared" si="32"/>
        <v>0</v>
      </c>
      <c r="X306" s="206">
        <f t="shared" si="30"/>
        <v>0</v>
      </c>
    </row>
    <row r="307" spans="12:24">
      <c r="L307" s="423"/>
      <c r="M307" s="68">
        <f>IF(compute_ManualOverrideSPA="No", COUNTIFS(JSMVC!E$5:E$14987,UCDEffortSpread!D33, JSMVC!B$5:B$14987,Definition!C$10,JSMVC!D$5:D$14987,Definition!E$3),0)</f>
        <v>0</v>
      </c>
      <c r="N307" s="68">
        <f>IF(compute_ManualOverrideSPA="No", COUNTIFS(JSMVC!E$5:E$14987,UCDEffortSpread!D33, JSMVC!B$5:B$14987,Definition!C$10,JSMVC!D$5:D$14987,Definition!F$3),0)</f>
        <v>0</v>
      </c>
      <c r="O307" s="68">
        <f>IF(compute_ManualOverrideSPA="No", COUNTIFS(JSMVC!E$5:E$14987,UCDEffortSpread!D33, JSMVC!B$5:B$14987,Definition!C$10,JSMVC!D$5:D$14987,Definition!G$3),0)</f>
        <v>0</v>
      </c>
      <c r="P307" s="68">
        <f>IF(compute_ManualOverrideSPA="No", COUNTIFS(JSMVC!E$5:E$14987,UCDEffortSpread!D33, JSMVC!B$5:B$14987,Definition!C$10,JSMVC!D$5:D$14987,Definition!H$3),0)</f>
        <v>0</v>
      </c>
      <c r="Q307" s="68">
        <f>IF(compute_ManualOverrideSPA="No", COUNTIFS(JSMVC!E$5:E$14987,UCDEffortSpread!D33, JSMVC!B$5:B$14987,Definition!C$10,JSMVC!D$5:D$14987,Definition!I$3),0)</f>
        <v>0</v>
      </c>
      <c r="R307" s="203">
        <f>(Definition!M307*Definition!E$10)</f>
        <v>0</v>
      </c>
      <c r="S307" s="203">
        <f>(Definition!N307*Definition!F$10)</f>
        <v>0</v>
      </c>
      <c r="T307" s="203">
        <f>(Definition!O307*Definition!G$10)</f>
        <v>0</v>
      </c>
      <c r="U307" s="203">
        <f>(Definition!P307*Definition!H$10)</f>
        <v>0</v>
      </c>
      <c r="V307" s="203">
        <f>(Definition!Q307*Definition!I$10)</f>
        <v>0</v>
      </c>
      <c r="W307" s="204">
        <f t="shared" si="32"/>
        <v>0</v>
      </c>
      <c r="X307" s="206">
        <f t="shared" si="30"/>
        <v>0</v>
      </c>
    </row>
    <row r="308" spans="12:24">
      <c r="L308" s="423"/>
      <c r="M308" s="68">
        <f>IF(compute_ManualOverrideSPA="No", COUNTIFS(JSMVC!E$5:E$14987,UCDEffortSpread!D34, JSMVC!B$5:B$14987,Definition!C$10,JSMVC!D$5:D$14987,Definition!E$3),0)</f>
        <v>0</v>
      </c>
      <c r="N308" s="68">
        <f>IF(compute_ManualOverrideSPA="No", COUNTIFS(JSMVC!E$5:E$14987,UCDEffortSpread!D34, JSMVC!B$5:B$14987,Definition!C$10,JSMVC!D$5:D$14987,Definition!F$3),0)</f>
        <v>0</v>
      </c>
      <c r="O308" s="68">
        <f>IF(compute_ManualOverrideSPA="No", COUNTIFS(JSMVC!E$5:E$14987,UCDEffortSpread!D34, JSMVC!B$5:B$14987,Definition!C$10,JSMVC!D$5:D$14987,Definition!G$3),0)</f>
        <v>0</v>
      </c>
      <c r="P308" s="68">
        <f>IF(compute_ManualOverrideSPA="No", COUNTIFS(JSMVC!E$5:E$14987,UCDEffortSpread!D34, JSMVC!B$5:B$14987,Definition!C$10,JSMVC!D$5:D$14987,Definition!H$3),0)</f>
        <v>0</v>
      </c>
      <c r="Q308" s="68">
        <f>IF(compute_ManualOverrideSPA="No", COUNTIFS(JSMVC!E$5:E$14987,UCDEffortSpread!D34, JSMVC!B$5:B$14987,Definition!C$10,JSMVC!D$5:D$14987,Definition!I$3),0)</f>
        <v>0</v>
      </c>
      <c r="R308" s="203">
        <f>(Definition!M308*Definition!E$10)</f>
        <v>0</v>
      </c>
      <c r="S308" s="203">
        <f>(Definition!N308*Definition!F$10)</f>
        <v>0</v>
      </c>
      <c r="T308" s="203">
        <f>(Definition!O308*Definition!G$10)</f>
        <v>0</v>
      </c>
      <c r="U308" s="203">
        <f>(Definition!P308*Definition!H$10)</f>
        <v>0</v>
      </c>
      <c r="V308" s="203">
        <f>(Definition!Q308*Definition!I$10)</f>
        <v>0</v>
      </c>
      <c r="W308" s="204">
        <f t="shared" si="32"/>
        <v>0</v>
      </c>
      <c r="X308" s="206">
        <f t="shared" ref="X308:X371" si="33">IF(W308&lt;&gt;0,SUM(R308:V308),0)</f>
        <v>0</v>
      </c>
    </row>
    <row r="309" spans="12:24">
      <c r="L309" s="423"/>
      <c r="M309" s="68">
        <f>IF(compute_ManualOverrideSPA="No", COUNTIFS(JSMVC!E$5:E$14987,UCDEffortSpread!D35, JSMVC!B$5:B$14987,Definition!C$10,JSMVC!D$5:D$14987,Definition!E$3),0)</f>
        <v>0</v>
      </c>
      <c r="N309" s="68">
        <f>IF(compute_ManualOverrideSPA="No", COUNTIFS(JSMVC!E$5:E$14987,UCDEffortSpread!D35, JSMVC!B$5:B$14987,Definition!C$10,JSMVC!D$5:D$14987,Definition!F$3),0)</f>
        <v>0</v>
      </c>
      <c r="O309" s="68">
        <f>IF(compute_ManualOverrideSPA="No", COUNTIFS(JSMVC!E$5:E$14987,UCDEffortSpread!D35, JSMVC!B$5:B$14987,Definition!C$10,JSMVC!D$5:D$14987,Definition!G$3),0)</f>
        <v>0</v>
      </c>
      <c r="P309" s="68">
        <f>IF(compute_ManualOverrideSPA="No", COUNTIFS(JSMVC!E$5:E$14987,UCDEffortSpread!D35, JSMVC!B$5:B$14987,Definition!C$10,JSMVC!D$5:D$14987,Definition!H$3),0)</f>
        <v>0</v>
      </c>
      <c r="Q309" s="68">
        <f>IF(compute_ManualOverrideSPA="No", COUNTIFS(JSMVC!E$5:E$14987,UCDEffortSpread!D35, JSMVC!B$5:B$14987,Definition!C$10,JSMVC!D$5:D$14987,Definition!I$3),0)</f>
        <v>0</v>
      </c>
      <c r="R309" s="203">
        <f>(Definition!M309*Definition!E$10)</f>
        <v>0</v>
      </c>
      <c r="S309" s="203">
        <f>(Definition!N309*Definition!F$10)</f>
        <v>0</v>
      </c>
      <c r="T309" s="203">
        <f>(Definition!O309*Definition!G$10)</f>
        <v>0</v>
      </c>
      <c r="U309" s="203">
        <f>(Definition!P309*Definition!H$10)</f>
        <v>0</v>
      </c>
      <c r="V309" s="203">
        <f>(Definition!Q309*Definition!I$10)</f>
        <v>0</v>
      </c>
      <c r="W309" s="204">
        <f t="shared" si="32"/>
        <v>0</v>
      </c>
      <c r="X309" s="206">
        <f t="shared" si="33"/>
        <v>0</v>
      </c>
    </row>
    <row r="310" spans="12:24">
      <c r="L310" s="423"/>
      <c r="M310" s="68">
        <f>IF(compute_ManualOverrideSPA="No", COUNTIFS(JSMVC!E$5:E$14987,UCDEffortSpread!D36, JSMVC!B$5:B$14987,Definition!C$10,JSMVC!D$5:D$14987,Definition!E$3),0)</f>
        <v>0</v>
      </c>
      <c r="N310" s="68">
        <f>IF(compute_ManualOverrideSPA="No", COUNTIFS(JSMVC!E$5:E$14987,UCDEffortSpread!D36, JSMVC!B$5:B$14987,Definition!C$10,JSMVC!D$5:D$14987,Definition!F$3),0)</f>
        <v>0</v>
      </c>
      <c r="O310" s="68">
        <f>IF(compute_ManualOverrideSPA="No", COUNTIFS(JSMVC!E$5:E$14987,UCDEffortSpread!D36, JSMVC!B$5:B$14987,Definition!C$10,JSMVC!D$5:D$14987,Definition!G$3),0)</f>
        <v>0</v>
      </c>
      <c r="P310" s="68">
        <f>IF(compute_ManualOverrideSPA="No", COUNTIFS(JSMVC!E$5:E$14987,UCDEffortSpread!D36, JSMVC!B$5:B$14987,Definition!C$10,JSMVC!D$5:D$14987,Definition!H$3),0)</f>
        <v>0</v>
      </c>
      <c r="Q310" s="68">
        <f>IF(compute_ManualOverrideSPA="No", COUNTIFS(JSMVC!E$5:E$14987,UCDEffortSpread!D36, JSMVC!B$5:B$14987,Definition!C$10,JSMVC!D$5:D$14987,Definition!I$3),0)</f>
        <v>0</v>
      </c>
      <c r="R310" s="203">
        <f>(Definition!M310*Definition!E$10)</f>
        <v>0</v>
      </c>
      <c r="S310" s="203">
        <f>(Definition!N310*Definition!F$10)</f>
        <v>0</v>
      </c>
      <c r="T310" s="203">
        <f>(Definition!O310*Definition!G$10)</f>
        <v>0</v>
      </c>
      <c r="U310" s="203">
        <f>(Definition!P310*Definition!H$10)</f>
        <v>0</v>
      </c>
      <c r="V310" s="203">
        <f>(Definition!Q310*Definition!I$10)</f>
        <v>0</v>
      </c>
      <c r="W310" s="204">
        <f t="shared" si="32"/>
        <v>0</v>
      </c>
      <c r="X310" s="206">
        <f t="shared" si="33"/>
        <v>0</v>
      </c>
    </row>
    <row r="311" spans="12:24">
      <c r="L311" s="423"/>
      <c r="M311" s="68">
        <f>IF(compute_ManualOverrideSPA="No", COUNTIFS(JSMVC!E$5:E$14987,UCDEffortSpread!D37, JSMVC!B$5:B$14987,Definition!C$10,JSMVC!D$5:D$14987,Definition!E$3),0)</f>
        <v>0</v>
      </c>
      <c r="N311" s="68">
        <f>IF(compute_ManualOverrideSPA="No", COUNTIFS(JSMVC!E$5:E$14987,UCDEffortSpread!D37, JSMVC!B$5:B$14987,Definition!C$10,JSMVC!D$5:D$14987,Definition!F$3),0)</f>
        <v>0</v>
      </c>
      <c r="O311" s="68">
        <f>IF(compute_ManualOverrideSPA="No", COUNTIFS(JSMVC!E$5:E$14987,UCDEffortSpread!D37, JSMVC!B$5:B$14987,Definition!C$10,JSMVC!D$5:D$14987,Definition!G$3),0)</f>
        <v>0</v>
      </c>
      <c r="P311" s="68">
        <f>IF(compute_ManualOverrideSPA="No", COUNTIFS(JSMVC!E$5:E$14987,UCDEffortSpread!D37, JSMVC!B$5:B$14987,Definition!C$10,JSMVC!D$5:D$14987,Definition!H$3),0)</f>
        <v>0</v>
      </c>
      <c r="Q311" s="68">
        <f>IF(compute_ManualOverrideSPA="No", COUNTIFS(JSMVC!E$5:E$14987,UCDEffortSpread!D37, JSMVC!B$5:B$14987,Definition!C$10,JSMVC!D$5:D$14987,Definition!I$3),0)</f>
        <v>0</v>
      </c>
      <c r="R311" s="203">
        <f>(Definition!M311*Definition!E$10)</f>
        <v>0</v>
      </c>
      <c r="S311" s="203">
        <f>(Definition!N311*Definition!F$10)</f>
        <v>0</v>
      </c>
      <c r="T311" s="203">
        <f>(Definition!O311*Definition!G$10)</f>
        <v>0</v>
      </c>
      <c r="U311" s="203">
        <f>(Definition!P311*Definition!H$10)</f>
        <v>0</v>
      </c>
      <c r="V311" s="203">
        <f>(Definition!Q311*Definition!I$10)</f>
        <v>0</v>
      </c>
      <c r="W311" s="204">
        <f t="shared" si="32"/>
        <v>0</v>
      </c>
      <c r="X311" s="206">
        <f t="shared" si="33"/>
        <v>0</v>
      </c>
    </row>
    <row r="312" spans="12:24">
      <c r="L312" s="423"/>
      <c r="M312" s="68">
        <f>IF(compute_ManualOverrideSPA="No", COUNTIFS(JSMVC!E$5:E$14987,UCDEffortSpread!D38, JSMVC!B$5:B$14987,Definition!C$10,JSMVC!D$5:D$14987,Definition!E$3),0)</f>
        <v>0</v>
      </c>
      <c r="N312" s="68">
        <f>IF(compute_ManualOverrideSPA="No", COUNTIFS(JSMVC!E$5:E$14987,UCDEffortSpread!D38, JSMVC!B$5:B$14987,Definition!C$10,JSMVC!D$5:D$14987,Definition!F$3),0)</f>
        <v>0</v>
      </c>
      <c r="O312" s="68">
        <f>IF(compute_ManualOverrideSPA="No", COUNTIFS(JSMVC!E$5:E$14987,UCDEffortSpread!D38, JSMVC!B$5:B$14987,Definition!C$10,JSMVC!D$5:D$14987,Definition!G$3),0)</f>
        <v>0</v>
      </c>
      <c r="P312" s="68">
        <f>IF(compute_ManualOverrideSPA="No", COUNTIFS(JSMVC!E$5:E$14987,UCDEffortSpread!D38, JSMVC!B$5:B$14987,Definition!C$10,JSMVC!D$5:D$14987,Definition!H$3),0)</f>
        <v>0</v>
      </c>
      <c r="Q312" s="68">
        <f>IF(compute_ManualOverrideSPA="No", COUNTIFS(JSMVC!E$5:E$14987,UCDEffortSpread!D38, JSMVC!B$5:B$14987,Definition!C$10,JSMVC!D$5:D$14987,Definition!I$3),0)</f>
        <v>0</v>
      </c>
      <c r="R312" s="203">
        <f>(Definition!M312*Definition!E$10)</f>
        <v>0</v>
      </c>
      <c r="S312" s="203">
        <f>(Definition!N312*Definition!F$10)</f>
        <v>0</v>
      </c>
      <c r="T312" s="203">
        <f>(Definition!O312*Definition!G$10)</f>
        <v>0</v>
      </c>
      <c r="U312" s="203">
        <f>(Definition!P312*Definition!H$10)</f>
        <v>0</v>
      </c>
      <c r="V312" s="203">
        <f>(Definition!Q312*Definition!I$10)</f>
        <v>0</v>
      </c>
      <c r="W312" s="204">
        <f t="shared" si="32"/>
        <v>0</v>
      </c>
      <c r="X312" s="206">
        <f t="shared" si="33"/>
        <v>0</v>
      </c>
    </row>
    <row r="313" spans="12:24">
      <c r="L313" s="423"/>
      <c r="M313" s="68">
        <f>IF(compute_ManualOverrideSPA="No", COUNTIFS(JSMVC!E$5:E$14987,UCDEffortSpread!D39, JSMVC!B$5:B$14987,Definition!C$10,JSMVC!D$5:D$14987,Definition!E$3),0)</f>
        <v>0</v>
      </c>
      <c r="N313" s="68">
        <f>IF(compute_ManualOverrideSPA="No", COUNTIFS(JSMVC!E$5:E$14987,UCDEffortSpread!D39, JSMVC!B$5:B$14987,Definition!C$10,JSMVC!D$5:D$14987,Definition!F$3),0)</f>
        <v>0</v>
      </c>
      <c r="O313" s="68">
        <f>IF(compute_ManualOverrideSPA="No", COUNTIFS(JSMVC!E$5:E$14987,UCDEffortSpread!D39, JSMVC!B$5:B$14987,Definition!C$10,JSMVC!D$5:D$14987,Definition!G$3),0)</f>
        <v>0</v>
      </c>
      <c r="P313" s="68">
        <f>IF(compute_ManualOverrideSPA="No", COUNTIFS(JSMVC!E$5:E$14987,UCDEffortSpread!D39, JSMVC!B$5:B$14987,Definition!C$10,JSMVC!D$5:D$14987,Definition!H$3),0)</f>
        <v>0</v>
      </c>
      <c r="Q313" s="68">
        <f>IF(compute_ManualOverrideSPA="No", COUNTIFS(JSMVC!E$5:E$14987,UCDEffortSpread!D39, JSMVC!B$5:B$14987,Definition!C$10,JSMVC!D$5:D$14987,Definition!I$3),0)</f>
        <v>0</v>
      </c>
      <c r="R313" s="203">
        <f>(Definition!M313*Definition!E$10)</f>
        <v>0</v>
      </c>
      <c r="S313" s="203">
        <f>(Definition!N313*Definition!F$10)</f>
        <v>0</v>
      </c>
      <c r="T313" s="203">
        <f>(Definition!O313*Definition!G$10)</f>
        <v>0</v>
      </c>
      <c r="U313" s="203">
        <f>(Definition!P313*Definition!H$10)</f>
        <v>0</v>
      </c>
      <c r="V313" s="203">
        <f>(Definition!Q313*Definition!I$10)</f>
        <v>0</v>
      </c>
      <c r="W313" s="204">
        <f t="shared" si="32"/>
        <v>0</v>
      </c>
      <c r="X313" s="206">
        <f t="shared" si="33"/>
        <v>0</v>
      </c>
    </row>
    <row r="314" spans="12:24">
      <c r="L314" s="423"/>
      <c r="M314" s="68">
        <f>IF(compute_ManualOverrideSPA="No", COUNTIFS(JSMVC!E$5:E$14987,UCDEffortSpread!D40, JSMVC!B$5:B$14987,Definition!C$10,JSMVC!D$5:D$14987,Definition!E$3),0)</f>
        <v>0</v>
      </c>
      <c r="N314" s="68">
        <f>IF(compute_ManualOverrideSPA="No", COUNTIFS(JSMVC!E$5:E$14987,UCDEffortSpread!D40, JSMVC!B$5:B$14987,Definition!C$10,JSMVC!D$5:D$14987,Definition!F$3),0)</f>
        <v>0</v>
      </c>
      <c r="O314" s="68">
        <f>IF(compute_ManualOverrideSPA="No", COUNTIFS(JSMVC!E$5:E$14987,UCDEffortSpread!D40, JSMVC!B$5:B$14987,Definition!C$10,JSMVC!D$5:D$14987,Definition!G$3),0)</f>
        <v>0</v>
      </c>
      <c r="P314" s="68">
        <f>IF(compute_ManualOverrideSPA="No", COUNTIFS(JSMVC!E$5:E$14987,UCDEffortSpread!D40, JSMVC!B$5:B$14987,Definition!C$10,JSMVC!D$5:D$14987,Definition!H$3),0)</f>
        <v>0</v>
      </c>
      <c r="Q314" s="68">
        <f>IF(compute_ManualOverrideSPA="No", COUNTIFS(JSMVC!E$5:E$14987,UCDEffortSpread!D40, JSMVC!B$5:B$14987,Definition!C$10,JSMVC!D$5:D$14987,Definition!I$3),0)</f>
        <v>0</v>
      </c>
      <c r="R314" s="203">
        <f>(Definition!M314*Definition!E$10)</f>
        <v>0</v>
      </c>
      <c r="S314" s="203">
        <f>(Definition!N314*Definition!F$10)</f>
        <v>0</v>
      </c>
      <c r="T314" s="203">
        <f>(Definition!O314*Definition!G$10)</f>
        <v>0</v>
      </c>
      <c r="U314" s="203">
        <f>(Definition!P314*Definition!H$10)</f>
        <v>0</v>
      </c>
      <c r="V314" s="203">
        <f>(Definition!Q314*Definition!I$10)</f>
        <v>0</v>
      </c>
      <c r="W314" s="204">
        <f t="shared" si="32"/>
        <v>0</v>
      </c>
      <c r="X314" s="206">
        <f t="shared" si="33"/>
        <v>0</v>
      </c>
    </row>
    <row r="315" spans="12:24">
      <c r="L315" s="423"/>
      <c r="M315" s="68">
        <f>IF(compute_ManualOverrideSPA="No", COUNTIFS(JSMVC!E$5:E$14987,UCDEffortSpread!D41, JSMVC!B$5:B$14987,Definition!C$10,JSMVC!D$5:D$14987,Definition!E$3),0)</f>
        <v>0</v>
      </c>
      <c r="N315" s="68">
        <f>IF(compute_ManualOverrideSPA="No", COUNTIFS(JSMVC!E$5:E$14987,UCDEffortSpread!D41, JSMVC!B$5:B$14987,Definition!C$10,JSMVC!D$5:D$14987,Definition!F$3),0)</f>
        <v>0</v>
      </c>
      <c r="O315" s="68">
        <f>IF(compute_ManualOverrideSPA="No", COUNTIFS(JSMVC!E$5:E$14987,UCDEffortSpread!D41, JSMVC!B$5:B$14987,Definition!C$10,JSMVC!D$5:D$14987,Definition!G$3),0)</f>
        <v>0</v>
      </c>
      <c r="P315" s="68">
        <f>IF(compute_ManualOverrideSPA="No", COUNTIFS(JSMVC!E$5:E$14987,UCDEffortSpread!D41, JSMVC!B$5:B$14987,Definition!C$10,JSMVC!D$5:D$14987,Definition!H$3),0)</f>
        <v>0</v>
      </c>
      <c r="Q315" s="68">
        <f>IF(compute_ManualOverrideSPA="No", COUNTIFS(JSMVC!E$5:E$14987,UCDEffortSpread!D41, JSMVC!B$5:B$14987,Definition!C$10,JSMVC!D$5:D$14987,Definition!I$3),0)</f>
        <v>0</v>
      </c>
      <c r="R315" s="203">
        <f>(Definition!M315*Definition!E$10)</f>
        <v>0</v>
      </c>
      <c r="S315" s="203">
        <f>(Definition!N315*Definition!F$10)</f>
        <v>0</v>
      </c>
      <c r="T315" s="203">
        <f>(Definition!O315*Definition!G$10)</f>
        <v>0</v>
      </c>
      <c r="U315" s="203">
        <f>(Definition!P315*Definition!H$10)</f>
        <v>0</v>
      </c>
      <c r="V315" s="203">
        <f>(Definition!Q315*Definition!I$10)</f>
        <v>0</v>
      </c>
      <c r="W315" s="204">
        <f t="shared" si="32"/>
        <v>0</v>
      </c>
      <c r="X315" s="206">
        <f t="shared" si="33"/>
        <v>0</v>
      </c>
    </row>
    <row r="316" spans="12:24">
      <c r="L316" s="423"/>
      <c r="M316" s="68">
        <f>IF(compute_ManualOverrideSPA="No", COUNTIFS(JSMVC!E$5:E$14987,UCDEffortSpread!D42, JSMVC!B$5:B$14987,Definition!C$10,JSMVC!D$5:D$14987,Definition!E$3),0)</f>
        <v>0</v>
      </c>
      <c r="N316" s="68">
        <f>IF(compute_ManualOverrideSPA="No", COUNTIFS(JSMVC!E$5:E$14987,UCDEffortSpread!D42, JSMVC!B$5:B$14987,Definition!C$10,JSMVC!D$5:D$14987,Definition!F$3),0)</f>
        <v>0</v>
      </c>
      <c r="O316" s="68">
        <f>IF(compute_ManualOverrideSPA="No", COUNTIFS(JSMVC!E$5:E$14987,UCDEffortSpread!D42, JSMVC!B$5:B$14987,Definition!C$10,JSMVC!D$5:D$14987,Definition!G$3),0)</f>
        <v>0</v>
      </c>
      <c r="P316" s="68">
        <f>IF(compute_ManualOverrideSPA="No", COUNTIFS(JSMVC!E$5:E$14987,UCDEffortSpread!D42, JSMVC!B$5:B$14987,Definition!C$10,JSMVC!D$5:D$14987,Definition!H$3),0)</f>
        <v>0</v>
      </c>
      <c r="Q316" s="68">
        <f>IF(compute_ManualOverrideSPA="No", COUNTIFS(JSMVC!E$5:E$14987,UCDEffortSpread!D42, JSMVC!B$5:B$14987,Definition!C$10,JSMVC!D$5:D$14987,Definition!I$3),0)</f>
        <v>0</v>
      </c>
      <c r="R316" s="203">
        <f>(Definition!M316*Definition!E$10)</f>
        <v>0</v>
      </c>
      <c r="S316" s="203">
        <f>(Definition!N316*Definition!F$10)</f>
        <v>0</v>
      </c>
      <c r="T316" s="203">
        <f>(Definition!O316*Definition!G$10)</f>
        <v>0</v>
      </c>
      <c r="U316" s="203">
        <f>(Definition!P316*Definition!H$10)</f>
        <v>0</v>
      </c>
      <c r="V316" s="203">
        <f>(Definition!Q316*Definition!I$10)</f>
        <v>0</v>
      </c>
      <c r="W316" s="204">
        <f t="shared" si="32"/>
        <v>0</v>
      </c>
      <c r="X316" s="206">
        <f t="shared" si="33"/>
        <v>0</v>
      </c>
    </row>
    <row r="317" spans="12:24">
      <c r="L317" s="423"/>
      <c r="M317" s="68">
        <f>IF(compute_ManualOverrideSPA="No", COUNTIFS(JSMVC!E$5:E$14987,UCDEffortSpread!D43, JSMVC!B$5:B$14987,Definition!C$10,JSMVC!D$5:D$14987,Definition!E$3),0)</f>
        <v>0</v>
      </c>
      <c r="N317" s="68">
        <f>IF(compute_ManualOverrideSPA="No", COUNTIFS(JSMVC!E$5:E$14987,UCDEffortSpread!D43, JSMVC!B$5:B$14987,Definition!C$10,JSMVC!D$5:D$14987,Definition!F$3),0)</f>
        <v>0</v>
      </c>
      <c r="O317" s="68">
        <f>IF(compute_ManualOverrideSPA="No", COUNTIFS(JSMVC!E$5:E$14987,UCDEffortSpread!D43, JSMVC!B$5:B$14987,Definition!C$10,JSMVC!D$5:D$14987,Definition!G$3),0)</f>
        <v>0</v>
      </c>
      <c r="P317" s="68">
        <f>IF(compute_ManualOverrideSPA="No", COUNTIFS(JSMVC!E$5:E$14987,UCDEffortSpread!D43, JSMVC!B$5:B$14987,Definition!C$10,JSMVC!D$5:D$14987,Definition!H$3),0)</f>
        <v>0</v>
      </c>
      <c r="Q317" s="68">
        <f>IF(compute_ManualOverrideSPA="No", COUNTIFS(JSMVC!E$5:E$14987,UCDEffortSpread!D43, JSMVC!B$5:B$14987,Definition!C$10,JSMVC!D$5:D$14987,Definition!I$3),0)</f>
        <v>0</v>
      </c>
      <c r="R317" s="203">
        <f>(Definition!M317*Definition!E$10)</f>
        <v>0</v>
      </c>
      <c r="S317" s="203">
        <f>(Definition!N317*Definition!F$10)</f>
        <v>0</v>
      </c>
      <c r="T317" s="203">
        <f>(Definition!O317*Definition!G$10)</f>
        <v>0</v>
      </c>
      <c r="U317" s="203">
        <f>(Definition!P317*Definition!H$10)</f>
        <v>0</v>
      </c>
      <c r="V317" s="203">
        <f>(Definition!Q317*Definition!I$10)</f>
        <v>0</v>
      </c>
      <c r="W317" s="204">
        <f t="shared" si="32"/>
        <v>0</v>
      </c>
      <c r="X317" s="206">
        <f t="shared" si="33"/>
        <v>0</v>
      </c>
    </row>
    <row r="318" spans="12:24">
      <c r="L318" s="423"/>
      <c r="M318" s="68">
        <f>IF(compute_ManualOverrideSPA="No", COUNTIFS(JSMVC!E$5:E$14987,UCDEffortSpread!D44, JSMVC!B$5:B$14987,Definition!C$10,JSMVC!D$5:D$14987,Definition!E$3),0)</f>
        <v>0</v>
      </c>
      <c r="N318" s="68">
        <f>IF(compute_ManualOverrideSPA="No", COUNTIFS(JSMVC!E$5:E$14987,UCDEffortSpread!D44, JSMVC!B$5:B$14987,Definition!C$10,JSMVC!D$5:D$14987,Definition!F$3),0)</f>
        <v>0</v>
      </c>
      <c r="O318" s="68">
        <f>IF(compute_ManualOverrideSPA="No", COUNTIFS(JSMVC!E$5:E$14987,UCDEffortSpread!D44, JSMVC!B$5:B$14987,Definition!C$10,JSMVC!D$5:D$14987,Definition!G$3),0)</f>
        <v>0</v>
      </c>
      <c r="P318" s="68">
        <f>IF(compute_ManualOverrideSPA="No", COUNTIFS(JSMVC!E$5:E$14987,UCDEffortSpread!D44, JSMVC!B$5:B$14987,Definition!C$10,JSMVC!D$5:D$14987,Definition!H$3),0)</f>
        <v>0</v>
      </c>
      <c r="Q318" s="68">
        <f>IF(compute_ManualOverrideSPA="No", COUNTIFS(JSMVC!E$5:E$14987,UCDEffortSpread!D44, JSMVC!B$5:B$14987,Definition!C$10,JSMVC!D$5:D$14987,Definition!I$3),0)</f>
        <v>0</v>
      </c>
      <c r="R318" s="203">
        <f>(Definition!M318*Definition!E$10)</f>
        <v>0</v>
      </c>
      <c r="S318" s="203">
        <f>(Definition!N318*Definition!F$10)</f>
        <v>0</v>
      </c>
      <c r="T318" s="203">
        <f>(Definition!O318*Definition!G$10)</f>
        <v>0</v>
      </c>
      <c r="U318" s="203">
        <f>(Definition!P318*Definition!H$10)</f>
        <v>0</v>
      </c>
      <c r="V318" s="203">
        <f>(Definition!Q318*Definition!I$10)</f>
        <v>0</v>
      </c>
      <c r="W318" s="204">
        <f t="shared" si="32"/>
        <v>0</v>
      </c>
      <c r="X318" s="206">
        <f t="shared" si="33"/>
        <v>0</v>
      </c>
    </row>
    <row r="319" spans="12:24">
      <c r="L319" s="423"/>
      <c r="M319" s="68">
        <f>IF(compute_ManualOverrideSPA="No", COUNTIFS(JSMVC!E$5:E$14987,UCDEffortSpread!D45, JSMVC!B$5:B$14987,Definition!C$10,JSMVC!D$5:D$14987,Definition!E$3),0)</f>
        <v>0</v>
      </c>
      <c r="N319" s="68">
        <f>IF(compute_ManualOverrideSPA="No", COUNTIFS(JSMVC!E$5:E$14987,UCDEffortSpread!D45, JSMVC!B$5:B$14987,Definition!C$10,JSMVC!D$5:D$14987,Definition!F$3),0)</f>
        <v>0</v>
      </c>
      <c r="O319" s="68">
        <f>IF(compute_ManualOverrideSPA="No", COUNTIFS(JSMVC!E$5:E$14987,UCDEffortSpread!D45, JSMVC!B$5:B$14987,Definition!C$10,JSMVC!D$5:D$14987,Definition!G$3),0)</f>
        <v>0</v>
      </c>
      <c r="P319" s="68">
        <f>IF(compute_ManualOverrideSPA="No", COUNTIFS(JSMVC!E$5:E$14987,UCDEffortSpread!D45, JSMVC!B$5:B$14987,Definition!C$10,JSMVC!D$5:D$14987,Definition!H$3),0)</f>
        <v>0</v>
      </c>
      <c r="Q319" s="68">
        <f>IF(compute_ManualOverrideSPA="No", COUNTIFS(JSMVC!E$5:E$14987,UCDEffortSpread!D45, JSMVC!B$5:B$14987,Definition!C$10,JSMVC!D$5:D$14987,Definition!I$3),0)</f>
        <v>0</v>
      </c>
      <c r="R319" s="203">
        <f>(Definition!M319*Definition!E$10)</f>
        <v>0</v>
      </c>
      <c r="S319" s="203">
        <f>(Definition!N319*Definition!F$10)</f>
        <v>0</v>
      </c>
      <c r="T319" s="203">
        <f>(Definition!O319*Definition!G$10)</f>
        <v>0</v>
      </c>
      <c r="U319" s="203">
        <f>(Definition!P319*Definition!H$10)</f>
        <v>0</v>
      </c>
      <c r="V319" s="203">
        <f>(Definition!Q319*Definition!I$10)</f>
        <v>0</v>
      </c>
      <c r="W319" s="204">
        <f t="shared" si="32"/>
        <v>0</v>
      </c>
      <c r="X319" s="206">
        <f t="shared" si="33"/>
        <v>0</v>
      </c>
    </row>
    <row r="320" spans="12:24">
      <c r="L320" s="423"/>
      <c r="M320" s="68">
        <f>IF(compute_ManualOverrideSPA="No", COUNTIFS(JSMVC!E$5:E$14987,UCDEffortSpread!D46, JSMVC!B$5:B$14987,Definition!C$10,JSMVC!D$5:D$14987,Definition!E$3),0)</f>
        <v>0</v>
      </c>
      <c r="N320" s="68">
        <f>IF(compute_ManualOverrideSPA="No", COUNTIFS(JSMVC!E$5:E$14987,UCDEffortSpread!D46, JSMVC!B$5:B$14987,Definition!C$10,JSMVC!D$5:D$14987,Definition!F$3),0)</f>
        <v>0</v>
      </c>
      <c r="O320" s="68">
        <f>IF(compute_ManualOverrideSPA="No", COUNTIFS(JSMVC!E$5:E$14987,UCDEffortSpread!D46, JSMVC!B$5:B$14987,Definition!C$10,JSMVC!D$5:D$14987,Definition!G$3),0)</f>
        <v>0</v>
      </c>
      <c r="P320" s="68">
        <f>IF(compute_ManualOverrideSPA="No", COUNTIFS(JSMVC!E$5:E$14987,UCDEffortSpread!D46, JSMVC!B$5:B$14987,Definition!C$10,JSMVC!D$5:D$14987,Definition!H$3),0)</f>
        <v>0</v>
      </c>
      <c r="Q320" s="68">
        <f>IF(compute_ManualOverrideSPA="No", COUNTIFS(JSMVC!E$5:E$14987,UCDEffortSpread!D46, JSMVC!B$5:B$14987,Definition!C$10,JSMVC!D$5:D$14987,Definition!I$3),0)</f>
        <v>0</v>
      </c>
      <c r="R320" s="203">
        <f>(Definition!M320*Definition!E$10)</f>
        <v>0</v>
      </c>
      <c r="S320" s="203">
        <f>(Definition!N320*Definition!F$10)</f>
        <v>0</v>
      </c>
      <c r="T320" s="203">
        <f>(Definition!O320*Definition!G$10)</f>
        <v>0</v>
      </c>
      <c r="U320" s="203">
        <f>(Definition!P320*Definition!H$10)</f>
        <v>0</v>
      </c>
      <c r="V320" s="203">
        <f>(Definition!Q320*Definition!I$10)</f>
        <v>0</v>
      </c>
      <c r="W320" s="204">
        <f t="shared" si="32"/>
        <v>0</v>
      </c>
      <c r="X320" s="206">
        <f t="shared" si="33"/>
        <v>0</v>
      </c>
    </row>
    <row r="321" spans="12:24">
      <c r="L321" s="423"/>
      <c r="M321" s="68">
        <f>IF(compute_ManualOverrideSPA="No", COUNTIFS(JSMVC!E$5:E$14987,UCDEffortSpread!D47, JSMVC!B$5:B$14987,Definition!C$10,JSMVC!D$5:D$14987,Definition!E$3),0)</f>
        <v>0</v>
      </c>
      <c r="N321" s="68">
        <f>IF(compute_ManualOverrideSPA="No", COUNTIFS(JSMVC!E$5:E$14987,UCDEffortSpread!D47, JSMVC!B$5:B$14987,Definition!C$10,JSMVC!D$5:D$14987,Definition!F$3),0)</f>
        <v>0</v>
      </c>
      <c r="O321" s="68">
        <f>IF(compute_ManualOverrideSPA="No", COUNTIFS(JSMVC!E$5:E$14987,UCDEffortSpread!D47, JSMVC!B$5:B$14987,Definition!C$10,JSMVC!D$5:D$14987,Definition!G$3),0)</f>
        <v>0</v>
      </c>
      <c r="P321" s="68">
        <f>IF(compute_ManualOverrideSPA="No", COUNTIFS(JSMVC!E$5:E$14987,UCDEffortSpread!D47, JSMVC!B$5:B$14987,Definition!C$10,JSMVC!D$5:D$14987,Definition!H$3),0)</f>
        <v>0</v>
      </c>
      <c r="Q321" s="68">
        <f>IF(compute_ManualOverrideSPA="No", COUNTIFS(JSMVC!E$5:E$14987,UCDEffortSpread!D47, JSMVC!B$5:B$14987,Definition!C$10,JSMVC!D$5:D$14987,Definition!I$3),0)</f>
        <v>0</v>
      </c>
      <c r="R321" s="203">
        <f>(Definition!M321*Definition!E$10)</f>
        <v>0</v>
      </c>
      <c r="S321" s="203">
        <f>(Definition!N321*Definition!F$10)</f>
        <v>0</v>
      </c>
      <c r="T321" s="203">
        <f>(Definition!O321*Definition!G$10)</f>
        <v>0</v>
      </c>
      <c r="U321" s="203">
        <f>(Definition!P321*Definition!H$10)</f>
        <v>0</v>
      </c>
      <c r="V321" s="203">
        <f>(Definition!Q321*Definition!I$10)</f>
        <v>0</v>
      </c>
      <c r="W321" s="204">
        <f t="shared" si="32"/>
        <v>0</v>
      </c>
      <c r="X321" s="206">
        <f t="shared" si="33"/>
        <v>0</v>
      </c>
    </row>
    <row r="322" spans="12:24">
      <c r="L322" s="423"/>
      <c r="M322" s="68">
        <f>IF(compute_ManualOverrideSPA="No", COUNTIFS(JSMVC!E$5:E$14987,UCDEffortSpread!D48, JSMVC!B$5:B$14987,Definition!C$10,JSMVC!D$5:D$14987,Definition!E$3),0)</f>
        <v>0</v>
      </c>
      <c r="N322" s="68">
        <f>IF(compute_ManualOverrideSPA="No", COUNTIFS(JSMVC!E$5:E$14987,UCDEffortSpread!D48, JSMVC!B$5:B$14987,Definition!C$10,JSMVC!D$5:D$14987,Definition!F$3),0)</f>
        <v>0</v>
      </c>
      <c r="O322" s="68">
        <f>IF(compute_ManualOverrideSPA="No", COUNTIFS(JSMVC!E$5:E$14987,UCDEffortSpread!D48, JSMVC!B$5:B$14987,Definition!C$10,JSMVC!D$5:D$14987,Definition!G$3),0)</f>
        <v>0</v>
      </c>
      <c r="P322" s="68">
        <f>IF(compute_ManualOverrideSPA="No", COUNTIFS(JSMVC!E$5:E$14987,UCDEffortSpread!D48, JSMVC!B$5:B$14987,Definition!C$10,JSMVC!D$5:D$14987,Definition!H$3),0)</f>
        <v>0</v>
      </c>
      <c r="Q322" s="68">
        <f>IF(compute_ManualOverrideSPA="No", COUNTIFS(JSMVC!E$5:E$14987,UCDEffortSpread!D48, JSMVC!B$5:B$14987,Definition!C$10,JSMVC!D$5:D$14987,Definition!I$3),0)</f>
        <v>0</v>
      </c>
      <c r="R322" s="203">
        <f>(Definition!M322*Definition!E$10)</f>
        <v>0</v>
      </c>
      <c r="S322" s="203">
        <f>(Definition!N322*Definition!F$10)</f>
        <v>0</v>
      </c>
      <c r="T322" s="203">
        <f>(Definition!O322*Definition!G$10)</f>
        <v>0</v>
      </c>
      <c r="U322" s="203">
        <f>(Definition!P322*Definition!H$10)</f>
        <v>0</v>
      </c>
      <c r="V322" s="203">
        <f>(Definition!Q322*Definition!I$10)</f>
        <v>0</v>
      </c>
      <c r="W322" s="204">
        <f t="shared" si="32"/>
        <v>0</v>
      </c>
      <c r="X322" s="206">
        <f t="shared" si="33"/>
        <v>0</v>
      </c>
    </row>
    <row r="323" spans="12:24">
      <c r="L323" s="423"/>
      <c r="M323" s="68">
        <f>IF(compute_ManualOverrideSPA="No", COUNTIFS(JSMVC!E$5:E$14987,UCDEffortSpread!D49, JSMVC!B$5:B$14987,Definition!C$10,JSMVC!D$5:D$14987,Definition!E$3),0)</f>
        <v>0</v>
      </c>
      <c r="N323" s="68">
        <f>IF(compute_ManualOverrideSPA="No", COUNTIFS(JSMVC!E$5:E$14987,UCDEffortSpread!D49, JSMVC!B$5:B$14987,Definition!C$10,JSMVC!D$5:D$14987,Definition!F$3),0)</f>
        <v>0</v>
      </c>
      <c r="O323" s="68">
        <f>IF(compute_ManualOverrideSPA="No", COUNTIFS(JSMVC!E$5:E$14987,UCDEffortSpread!D49, JSMVC!B$5:B$14987,Definition!C$10,JSMVC!D$5:D$14987,Definition!G$3),0)</f>
        <v>0</v>
      </c>
      <c r="P323" s="68">
        <f>IF(compute_ManualOverrideSPA="No", COUNTIFS(JSMVC!E$5:E$14987,UCDEffortSpread!D49, JSMVC!B$5:B$14987,Definition!C$10,JSMVC!D$5:D$14987,Definition!H$3),0)</f>
        <v>0</v>
      </c>
      <c r="Q323" s="68">
        <f>IF(compute_ManualOverrideSPA="No", COUNTIFS(JSMVC!E$5:E$14987,UCDEffortSpread!D49, JSMVC!B$5:B$14987,Definition!C$10,JSMVC!D$5:D$14987,Definition!I$3),0)</f>
        <v>0</v>
      </c>
      <c r="R323" s="203">
        <f>(Definition!M323*Definition!E$10)</f>
        <v>0</v>
      </c>
      <c r="S323" s="203">
        <f>(Definition!N323*Definition!F$10)</f>
        <v>0</v>
      </c>
      <c r="T323" s="203">
        <f>(Definition!O323*Definition!G$10)</f>
        <v>0</v>
      </c>
      <c r="U323" s="203">
        <f>(Definition!P323*Definition!H$10)</f>
        <v>0</v>
      </c>
      <c r="V323" s="203">
        <f>(Definition!Q323*Definition!I$10)</f>
        <v>0</v>
      </c>
      <c r="W323" s="204">
        <f t="shared" si="32"/>
        <v>0</v>
      </c>
      <c r="X323" s="206">
        <f t="shared" si="33"/>
        <v>0</v>
      </c>
    </row>
    <row r="324" spans="12:24">
      <c r="L324" s="423"/>
      <c r="M324" s="68">
        <f>IF(compute_ManualOverrideSPA="No", COUNTIFS(JSMVC!E$5:E$14987,UCDEffortSpread!D50, JSMVC!B$5:B$14987,Definition!C$10,JSMVC!D$5:D$14987,Definition!E$3),0)</f>
        <v>0</v>
      </c>
      <c r="N324" s="68">
        <f>IF(compute_ManualOverrideSPA="No", COUNTIFS(JSMVC!E$5:E$14987,UCDEffortSpread!D50, JSMVC!B$5:B$14987,Definition!C$10,JSMVC!D$5:D$14987,Definition!F$3),0)</f>
        <v>0</v>
      </c>
      <c r="O324" s="68">
        <f>IF(compute_ManualOverrideSPA="No", COUNTIFS(JSMVC!E$5:E$14987,UCDEffortSpread!D50, JSMVC!B$5:B$14987,Definition!C$10,JSMVC!D$5:D$14987,Definition!G$3),0)</f>
        <v>0</v>
      </c>
      <c r="P324" s="68">
        <f>IF(compute_ManualOverrideSPA="No", COUNTIFS(JSMVC!E$5:E$14987,UCDEffortSpread!D50, JSMVC!B$5:B$14987,Definition!C$10,JSMVC!D$5:D$14987,Definition!H$3),0)</f>
        <v>0</v>
      </c>
      <c r="Q324" s="68">
        <f>IF(compute_ManualOverrideSPA="No", COUNTIFS(JSMVC!E$5:E$14987,UCDEffortSpread!D50, JSMVC!B$5:B$14987,Definition!C$10,JSMVC!D$5:D$14987,Definition!I$3),0)</f>
        <v>0</v>
      </c>
      <c r="R324" s="203">
        <f>(Definition!M324*Definition!E$10)</f>
        <v>0</v>
      </c>
      <c r="S324" s="203">
        <f>(Definition!N324*Definition!F$10)</f>
        <v>0</v>
      </c>
      <c r="T324" s="203">
        <f>(Definition!O324*Definition!G$10)</f>
        <v>0</v>
      </c>
      <c r="U324" s="203">
        <f>(Definition!P324*Definition!H$10)</f>
        <v>0</v>
      </c>
      <c r="V324" s="203">
        <f>(Definition!Q324*Definition!I$10)</f>
        <v>0</v>
      </c>
      <c r="W324" s="204">
        <f t="shared" si="32"/>
        <v>0</v>
      </c>
      <c r="X324" s="206">
        <f t="shared" si="33"/>
        <v>0</v>
      </c>
    </row>
    <row r="325" spans="12:24">
      <c r="L325" s="423"/>
      <c r="M325" s="68">
        <f>IF(compute_ManualOverrideSPA="No", COUNTIFS(JSMVC!E$5:E$14987,UCDEffortSpread!D51, JSMVC!B$5:B$14987,Definition!C$10,JSMVC!D$5:D$14987,Definition!E$3),0)</f>
        <v>0</v>
      </c>
      <c r="N325" s="68">
        <f>IF(compute_ManualOverrideSPA="No", COUNTIFS(JSMVC!E$5:E$14987,UCDEffortSpread!D51, JSMVC!B$5:B$14987,Definition!C$10,JSMVC!D$5:D$14987,Definition!F$3),0)</f>
        <v>0</v>
      </c>
      <c r="O325" s="68">
        <f>IF(compute_ManualOverrideSPA="No", COUNTIFS(JSMVC!E$5:E$14987,UCDEffortSpread!D51, JSMVC!B$5:B$14987,Definition!C$10,JSMVC!D$5:D$14987,Definition!G$3),0)</f>
        <v>0</v>
      </c>
      <c r="P325" s="68">
        <f>IF(compute_ManualOverrideSPA="No", COUNTIFS(JSMVC!E$5:E$14987,UCDEffortSpread!D51, JSMVC!B$5:B$14987,Definition!C$10,JSMVC!D$5:D$14987,Definition!H$3),0)</f>
        <v>0</v>
      </c>
      <c r="Q325" s="68">
        <f>IF(compute_ManualOverrideSPA="No", COUNTIFS(JSMVC!E$5:E$14987,UCDEffortSpread!D51, JSMVC!B$5:B$14987,Definition!C$10,JSMVC!D$5:D$14987,Definition!I$3),0)</f>
        <v>0</v>
      </c>
      <c r="R325" s="203">
        <f>(Definition!M325*Definition!E$10)</f>
        <v>0</v>
      </c>
      <c r="S325" s="203">
        <f>(Definition!N325*Definition!F$10)</f>
        <v>0</v>
      </c>
      <c r="T325" s="203">
        <f>(Definition!O325*Definition!G$10)</f>
        <v>0</v>
      </c>
      <c r="U325" s="203">
        <f>(Definition!P325*Definition!H$10)</f>
        <v>0</v>
      </c>
      <c r="V325" s="203">
        <f>(Definition!Q325*Definition!I$10)</f>
        <v>0</v>
      </c>
      <c r="W325" s="204">
        <f t="shared" si="32"/>
        <v>0</v>
      </c>
      <c r="X325" s="206">
        <f t="shared" si="33"/>
        <v>0</v>
      </c>
    </row>
    <row r="326" spans="12:24">
      <c r="L326" s="423"/>
      <c r="M326" s="68">
        <f>IF(compute_ManualOverrideSPA="No", COUNTIFS(JSMVC!E$5:E$14987,UCDEffortSpread!D52, JSMVC!B$5:B$14987,Definition!C$10,JSMVC!D$5:D$14987,Definition!E$3),0)</f>
        <v>0</v>
      </c>
      <c r="N326" s="68">
        <f>IF(compute_ManualOverrideSPA="No", COUNTIFS(JSMVC!E$5:E$14987,UCDEffortSpread!D52, JSMVC!B$5:B$14987,Definition!C$10,JSMVC!D$5:D$14987,Definition!F$3),0)</f>
        <v>0</v>
      </c>
      <c r="O326" s="68">
        <f>IF(compute_ManualOverrideSPA="No", COUNTIFS(JSMVC!E$5:E$14987,UCDEffortSpread!D52, JSMVC!B$5:B$14987,Definition!C$10,JSMVC!D$5:D$14987,Definition!G$3),0)</f>
        <v>0</v>
      </c>
      <c r="P326" s="68">
        <f>IF(compute_ManualOverrideSPA="No", COUNTIFS(JSMVC!E$5:E$14987,UCDEffortSpread!D52, JSMVC!B$5:B$14987,Definition!C$10,JSMVC!D$5:D$14987,Definition!H$3),0)</f>
        <v>0</v>
      </c>
      <c r="Q326" s="68">
        <f>IF(compute_ManualOverrideSPA="No", COUNTIFS(JSMVC!E$5:E$14987,UCDEffortSpread!D52, JSMVC!B$5:B$14987,Definition!C$10,JSMVC!D$5:D$14987,Definition!I$3),0)</f>
        <v>0</v>
      </c>
      <c r="R326" s="203">
        <f>(Definition!M326*Definition!E$10)</f>
        <v>0</v>
      </c>
      <c r="S326" s="203">
        <f>(Definition!N326*Definition!F$10)</f>
        <v>0</v>
      </c>
      <c r="T326" s="203">
        <f>(Definition!O326*Definition!G$10)</f>
        <v>0</v>
      </c>
      <c r="U326" s="203">
        <f>(Definition!P326*Definition!H$10)</f>
        <v>0</v>
      </c>
      <c r="V326" s="203">
        <f>(Definition!Q326*Definition!I$10)</f>
        <v>0</v>
      </c>
      <c r="W326" s="204">
        <f t="shared" si="32"/>
        <v>0</v>
      </c>
      <c r="X326" s="206">
        <f t="shared" si="33"/>
        <v>0</v>
      </c>
    </row>
    <row r="327" spans="12:24">
      <c r="L327" s="423"/>
      <c r="M327" s="68">
        <f>IF(compute_ManualOverrideSPA="No", COUNTIFS(JSMVC!E$5:E$14987,UCDEffortSpread!D53, JSMVC!B$5:B$14987,Definition!C$10,JSMVC!D$5:D$14987,Definition!E$3),0)</f>
        <v>0</v>
      </c>
      <c r="N327" s="68">
        <f>IF(compute_ManualOverrideSPA="No", COUNTIFS(JSMVC!E$5:E$14987,UCDEffortSpread!D53, JSMVC!B$5:B$14987,Definition!C$10,JSMVC!D$5:D$14987,Definition!F$3),0)</f>
        <v>0</v>
      </c>
      <c r="O327" s="68">
        <f>IF(compute_ManualOverrideSPA="No", COUNTIFS(JSMVC!E$5:E$14987,UCDEffortSpread!D53, JSMVC!B$5:B$14987,Definition!C$10,JSMVC!D$5:D$14987,Definition!G$3),0)</f>
        <v>0</v>
      </c>
      <c r="P327" s="68">
        <f>IF(compute_ManualOverrideSPA="No", COUNTIFS(JSMVC!E$5:E$14987,UCDEffortSpread!D53, JSMVC!B$5:B$14987,Definition!C$10,JSMVC!D$5:D$14987,Definition!H$3),0)</f>
        <v>0</v>
      </c>
      <c r="Q327" s="68">
        <f>IF(compute_ManualOverrideSPA="No", COUNTIFS(JSMVC!E$5:E$14987,UCDEffortSpread!D53, JSMVC!B$5:B$14987,Definition!C$10,JSMVC!D$5:D$14987,Definition!I$3),0)</f>
        <v>0</v>
      </c>
      <c r="R327" s="203">
        <f>(Definition!M327*Definition!E$10)</f>
        <v>0</v>
      </c>
      <c r="S327" s="203">
        <f>(Definition!N327*Definition!F$10)</f>
        <v>0</v>
      </c>
      <c r="T327" s="203">
        <f>(Definition!O327*Definition!G$10)</f>
        <v>0</v>
      </c>
      <c r="U327" s="203">
        <f>(Definition!P327*Definition!H$10)</f>
        <v>0</v>
      </c>
      <c r="V327" s="203">
        <f>(Definition!Q327*Definition!I$10)</f>
        <v>0</v>
      </c>
      <c r="W327" s="204">
        <f t="shared" si="32"/>
        <v>0</v>
      </c>
      <c r="X327" s="206">
        <f t="shared" si="33"/>
        <v>0</v>
      </c>
    </row>
    <row r="328" spans="12:24">
      <c r="L328" s="424"/>
      <c r="M328" s="68">
        <f>IF(compute_ManualOverrideSPA="No", COUNTIFS(JSMVC!E$5:E$14987,UCDEffortSpread!D54, JSMVC!B$5:B$14987,Definition!C$10,JSMVC!D$5:D$14987,Definition!E$3),0)</f>
        <v>0</v>
      </c>
      <c r="N328" s="68">
        <f>IF(compute_ManualOverrideSPA="No", COUNTIFS(JSMVC!E$5:E$14987,UCDEffortSpread!D54, JSMVC!B$5:B$14987,Definition!C$10,JSMVC!D$5:D$14987,Definition!F$3),0)</f>
        <v>0</v>
      </c>
      <c r="O328" s="68">
        <f>IF(compute_ManualOverrideSPA="No", COUNTIFS(JSMVC!E$5:E$14987,UCDEffortSpread!D54, JSMVC!B$5:B$14987,Definition!C$10,JSMVC!D$5:D$14987,Definition!G$3),0)</f>
        <v>0</v>
      </c>
      <c r="P328" s="68">
        <f>IF(compute_ManualOverrideSPA="No", COUNTIFS(JSMVC!E$5:E$14987,UCDEffortSpread!D54, JSMVC!B$5:B$14987,Definition!C$10,JSMVC!D$5:D$14987,Definition!H$3),0)</f>
        <v>0</v>
      </c>
      <c r="Q328" s="68">
        <f>IF(compute_ManualOverrideSPA="No", COUNTIFS(JSMVC!E$5:E$14987,UCDEffortSpread!D54, JSMVC!B$5:B$14987,Definition!C$10,JSMVC!D$5:D$14987,Definition!I$3),0)</f>
        <v>0</v>
      </c>
      <c r="R328" s="203">
        <f>(Definition!M328*Definition!E$10)</f>
        <v>0</v>
      </c>
      <c r="S328" s="203">
        <f>(Definition!N328*Definition!F$10)</f>
        <v>0</v>
      </c>
      <c r="T328" s="203">
        <f>(Definition!O328*Definition!G$10)</f>
        <v>0</v>
      </c>
      <c r="U328" s="203">
        <f>(Definition!P328*Definition!H$10)</f>
        <v>0</v>
      </c>
      <c r="V328" s="203">
        <f>(Definition!Q328*Definition!I$10)</f>
        <v>0</v>
      </c>
      <c r="W328" s="204">
        <f t="shared" si="32"/>
        <v>0</v>
      </c>
      <c r="X328" s="206">
        <f t="shared" si="33"/>
        <v>0</v>
      </c>
    </row>
    <row r="329" spans="12:24">
      <c r="L329" s="422" t="str">
        <f>C11</f>
        <v>Components</v>
      </c>
      <c r="M329" s="68">
        <f>IF(compute_ManualOverrideSPA="No", COUNTIFS(JSMVC!E$5:E$14987,UCDEffortSpread!D5, JSMVC!B$5:B$14987,Definition!C$11,JSMVC!D$5:D$14987,Definition!E$3),JSMVC!H$19)</f>
        <v>0</v>
      </c>
      <c r="N329" s="68">
        <f>IF(compute_ManualOverrideSPA="No", COUNTIFS(JSMVC!E$5:E$14987,UCDEffortSpread!D5, JSMVC!B$5:B$14987,Definition!C$11,JSMVC!D$5:D$14987,Definition!F$3),JSMVC!I$19)</f>
        <v>0</v>
      </c>
      <c r="O329" s="68">
        <f>IF(compute_ManualOverrideSPA="No", COUNTIFS(JSMVC!E$5:E$14987,UCDEffortSpread!D5, JSMVC!B$5:B$14987,Definition!C$11,JSMVC!D$5:D$14987,Definition!G$3),JSMVC!J$19)</f>
        <v>0</v>
      </c>
      <c r="P329" s="68">
        <f>IF(compute_ManualOverrideSPA="No", COUNTIFS(JSMVC!E$5:E$14987,UCDEffortSpread!D5, JSMVC!B$5:B$14987,Definition!C$11,JSMVC!D$5:D$14987,Definition!H$3),JSMVC!K$19)</f>
        <v>0</v>
      </c>
      <c r="Q329" s="68">
        <f>IF(compute_ManualOverrideSPA="No", COUNTIFS(JSMVC!E$5:E$14987,UCDEffortSpread!D5, JSMVC!B$5:B$14987,Definition!C$11,JSMVC!D$5:D$14987,Definition!I$3),JSMVC!L$19)</f>
        <v>0</v>
      </c>
      <c r="R329" s="204">
        <f>(Definition!M329*Definition!E$11)</f>
        <v>0</v>
      </c>
      <c r="S329" s="204">
        <f>(Definition!N329*Definition!F$11)</f>
        <v>0</v>
      </c>
      <c r="T329" s="204">
        <f>(Definition!O329*Definition!G$11)</f>
        <v>0</v>
      </c>
      <c r="U329" s="204">
        <f>(Definition!P329*Definition!H$11)</f>
        <v>0</v>
      </c>
      <c r="V329" s="204">
        <f>(Definition!Q329*Definition!I$11)</f>
        <v>0</v>
      </c>
      <c r="W329" s="203">
        <f>SUM(R329:V329)</f>
        <v>0</v>
      </c>
      <c r="X329" s="206">
        <f>IF(W329&lt;&gt;0,SUM(R329:V329),0)</f>
        <v>0</v>
      </c>
    </row>
    <row r="330" spans="12:24">
      <c r="L330" s="423"/>
      <c r="M330" s="68">
        <f>IF(compute_ManualOverrideSPA="No", COUNTIFS(JSMVC!E$5:E$14987,UCDEffortSpread!D6, JSMVC!B$5:B$14987,Definition!C$11,JSMVC!D$5:D$14987,Definition!E$3),0)</f>
        <v>0</v>
      </c>
      <c r="N330" s="68">
        <f>IF(compute_ManualOverrideSPA="No", COUNTIFS(JSMVC!E$5:E$14987,UCDEffortSpread!D6, JSMVC!B$5:B$14987,Definition!C$11,JSMVC!D$5:D$14987,Definition!F$3),0)</f>
        <v>0</v>
      </c>
      <c r="O330" s="68">
        <f>IF(compute_ManualOverrideSPA="No", COUNTIFS(JSMVC!E$5:E$14987,UCDEffortSpread!D6, JSMVC!B$5:B$14987,Definition!C$11,JSMVC!D$5:D$14987,Definition!G$3),0)</f>
        <v>0</v>
      </c>
      <c r="P330" s="68">
        <f>IF(compute_ManualOverrideSPA="No", COUNTIFS(JSMVC!E$5:E$14987,UCDEffortSpread!D6, JSMVC!B$5:B$14987,Definition!C$11,JSMVC!D$5:D$14987,Definition!H$3),0)</f>
        <v>0</v>
      </c>
      <c r="Q330" s="68">
        <f>IF(compute_ManualOverrideSPA="No", COUNTIFS(JSMVC!E$5:E$14987,UCDEffortSpread!D6, JSMVC!B$5:B$14987,Definition!C$11,JSMVC!D$5:D$14987,Definition!I$3),0)</f>
        <v>0</v>
      </c>
      <c r="R330" s="204">
        <f>(Definition!M330*Definition!E$11)</f>
        <v>0</v>
      </c>
      <c r="S330" s="204">
        <f>(Definition!N330*Definition!F$11)</f>
        <v>0</v>
      </c>
      <c r="T330" s="204">
        <f>(Definition!O330*Definition!G$11)</f>
        <v>0</v>
      </c>
      <c r="U330" s="204">
        <f>(Definition!P330*Definition!H$11)</f>
        <v>0</v>
      </c>
      <c r="V330" s="204">
        <f>(Definition!Q330*Definition!I$11)</f>
        <v>0</v>
      </c>
      <c r="W330" s="203">
        <f t="shared" ref="W330:W343" si="34">SUM(R330:V330)</f>
        <v>0</v>
      </c>
      <c r="X330" s="206">
        <f t="shared" si="33"/>
        <v>0</v>
      </c>
    </row>
    <row r="331" spans="12:24">
      <c r="L331" s="423"/>
      <c r="M331" s="68">
        <f>IF(compute_ManualOverrideSPA="No", COUNTIFS(JSMVC!E$5:E$14987,UCDEffortSpread!D7, JSMVC!B$5:B$14987,Definition!C$11,JSMVC!D$5:D$14987,Definition!E$3),0)</f>
        <v>0</v>
      </c>
      <c r="N331" s="68">
        <f>IF(compute_ManualOverrideSPA="No", COUNTIFS(JSMVC!E$5:E$14987,UCDEffortSpread!D7, JSMVC!B$5:B$14987,Definition!C$11,JSMVC!D$5:D$14987,Definition!F$3),0)</f>
        <v>0</v>
      </c>
      <c r="O331" s="68">
        <f>IF(compute_ManualOverrideSPA="No", COUNTIFS(JSMVC!E$5:E$14987,UCDEffortSpread!D7, JSMVC!B$5:B$14987,Definition!C$11,JSMVC!D$5:D$14987,Definition!G$3),0)</f>
        <v>0</v>
      </c>
      <c r="P331" s="68">
        <f>IF(compute_ManualOverrideSPA="No", COUNTIFS(JSMVC!E$5:E$14987,UCDEffortSpread!D7, JSMVC!B$5:B$14987,Definition!C$11,JSMVC!D$5:D$14987,Definition!H$3),0)</f>
        <v>0</v>
      </c>
      <c r="Q331" s="68">
        <f>IF(compute_ManualOverrideSPA="No", COUNTIFS(JSMVC!E$5:E$14987,UCDEffortSpread!D7, JSMVC!B$5:B$14987,Definition!C$11,JSMVC!D$5:D$14987,Definition!I$3),0)</f>
        <v>0</v>
      </c>
      <c r="R331" s="204">
        <f>(Definition!M331*Definition!E$11)</f>
        <v>0</v>
      </c>
      <c r="S331" s="204">
        <f>(Definition!N331*Definition!F$11)</f>
        <v>0</v>
      </c>
      <c r="T331" s="204">
        <f>(Definition!O331*Definition!G$11)</f>
        <v>0</v>
      </c>
      <c r="U331" s="204">
        <f>(Definition!P331*Definition!H$11)</f>
        <v>0</v>
      </c>
      <c r="V331" s="204">
        <f>(Definition!Q331*Definition!I$11)</f>
        <v>0</v>
      </c>
      <c r="W331" s="203">
        <f t="shared" si="34"/>
        <v>0</v>
      </c>
      <c r="X331" s="206">
        <f t="shared" si="33"/>
        <v>0</v>
      </c>
    </row>
    <row r="332" spans="12:24">
      <c r="L332" s="423"/>
      <c r="M332" s="68">
        <f>IF(compute_ManualOverrideSPA="No", COUNTIFS(JSMVC!E$5:E$14987,UCDEffortSpread!D8, JSMVC!B$5:B$14987,Definition!C$11,JSMVC!D$5:D$14987,Definition!E$3),0)</f>
        <v>0</v>
      </c>
      <c r="N332" s="68">
        <f>IF(compute_ManualOverrideSPA="No", COUNTIFS(JSMVC!E$5:E$14987,UCDEffortSpread!D8, JSMVC!B$5:B$14987,Definition!C$11,JSMVC!D$5:D$14987,Definition!F$3),0)</f>
        <v>0</v>
      </c>
      <c r="O332" s="68">
        <f>IF(compute_ManualOverrideSPA="No", COUNTIFS(JSMVC!E$5:E$14987,UCDEffortSpread!D8, JSMVC!B$5:B$14987,Definition!C$11,JSMVC!D$5:D$14987,Definition!G$3),0)</f>
        <v>0</v>
      </c>
      <c r="P332" s="68">
        <f>IF(compute_ManualOverrideSPA="No", COUNTIFS(JSMVC!E$5:E$14987,UCDEffortSpread!D8, JSMVC!B$5:B$14987,Definition!C$11,JSMVC!D$5:D$14987,Definition!H$3),0)</f>
        <v>0</v>
      </c>
      <c r="Q332" s="68">
        <f>IF(compute_ManualOverrideSPA="No", COUNTIFS(JSMVC!E$5:E$14987,UCDEffortSpread!D8, JSMVC!B$5:B$14987,Definition!C$11,JSMVC!D$5:D$14987,Definition!I$3),0)</f>
        <v>0</v>
      </c>
      <c r="R332" s="204">
        <f>(Definition!M332*Definition!E$11)</f>
        <v>0</v>
      </c>
      <c r="S332" s="204">
        <f>(Definition!N332*Definition!F$11)</f>
        <v>0</v>
      </c>
      <c r="T332" s="204">
        <f>(Definition!O332*Definition!G$11)</f>
        <v>0</v>
      </c>
      <c r="U332" s="204">
        <f>(Definition!P332*Definition!H$11)</f>
        <v>0</v>
      </c>
      <c r="V332" s="204">
        <f>(Definition!Q332*Definition!I$11)</f>
        <v>0</v>
      </c>
      <c r="W332" s="203">
        <f t="shared" si="34"/>
        <v>0</v>
      </c>
      <c r="X332" s="206">
        <f t="shared" si="33"/>
        <v>0</v>
      </c>
    </row>
    <row r="333" spans="12:24">
      <c r="L333" s="423"/>
      <c r="M333" s="68">
        <f>IF(compute_ManualOverrideSPA="No", COUNTIFS(JSMVC!E$5:E$14987,UCDEffortSpread!D9, JSMVC!B$5:B$14987,Definition!C$11,JSMVC!D$5:D$14987,Definition!E$3),0)</f>
        <v>0</v>
      </c>
      <c r="N333" s="68">
        <f>IF(compute_ManualOverrideSPA="No", COUNTIFS(JSMVC!E$5:E$14987,UCDEffortSpread!D9, JSMVC!B$5:B$14987,Definition!C$11,JSMVC!D$5:D$14987,Definition!F$3),0)</f>
        <v>0</v>
      </c>
      <c r="O333" s="68">
        <f>IF(compute_ManualOverrideSPA="No", COUNTIFS(JSMVC!E$5:E$14987,UCDEffortSpread!D9, JSMVC!B$5:B$14987,Definition!C$11,JSMVC!D$5:D$14987,Definition!G$3),0)</f>
        <v>0</v>
      </c>
      <c r="P333" s="68">
        <f>IF(compute_ManualOverrideSPA="No", COUNTIFS(JSMVC!E$5:E$14987,UCDEffortSpread!D9, JSMVC!B$5:B$14987,Definition!C$11,JSMVC!D$5:D$14987,Definition!H$3),0)</f>
        <v>0</v>
      </c>
      <c r="Q333" s="68">
        <f>IF(compute_ManualOverrideSPA="No", COUNTIFS(JSMVC!E$5:E$14987,UCDEffortSpread!D9, JSMVC!B$5:B$14987,Definition!C$11,JSMVC!D$5:D$14987,Definition!I$3),0)</f>
        <v>0</v>
      </c>
      <c r="R333" s="204">
        <f>(Definition!M333*Definition!E$11)</f>
        <v>0</v>
      </c>
      <c r="S333" s="204">
        <f>(Definition!N333*Definition!F$11)</f>
        <v>0</v>
      </c>
      <c r="T333" s="204">
        <f>(Definition!O333*Definition!G$11)</f>
        <v>0</v>
      </c>
      <c r="U333" s="204">
        <f>(Definition!P333*Definition!H$11)</f>
        <v>0</v>
      </c>
      <c r="V333" s="204">
        <f>(Definition!Q333*Definition!I$11)</f>
        <v>0</v>
      </c>
      <c r="W333" s="203">
        <f t="shared" si="34"/>
        <v>0</v>
      </c>
      <c r="X333" s="206">
        <f t="shared" si="33"/>
        <v>0</v>
      </c>
    </row>
    <row r="334" spans="12:24">
      <c r="L334" s="423"/>
      <c r="M334" s="68">
        <f>IF(compute_ManualOverrideSPA="No", COUNTIFS(JSMVC!E$5:E$14987,UCDEffortSpread!D10, JSMVC!B$5:B$14987,Definition!C$11,JSMVC!D$5:D$14987,Definition!E$3),0)</f>
        <v>0</v>
      </c>
      <c r="N334" s="68">
        <f>IF(compute_ManualOverrideSPA="No", COUNTIFS(JSMVC!E$5:E$14987,UCDEffortSpread!D10, JSMVC!B$5:B$14987,Definition!C$11,JSMVC!D$5:D$14987,Definition!F$3),0)</f>
        <v>0</v>
      </c>
      <c r="O334" s="68">
        <f>IF(compute_ManualOverrideSPA="No", COUNTIFS(JSMVC!E$5:E$14987,UCDEffortSpread!D10, JSMVC!B$5:B$14987,Definition!C$11,JSMVC!D$5:D$14987,Definition!G$3),0)</f>
        <v>0</v>
      </c>
      <c r="P334" s="68">
        <f>IF(compute_ManualOverrideSPA="No", COUNTIFS(JSMVC!E$5:E$14987,UCDEffortSpread!D10, JSMVC!B$5:B$14987,Definition!C$11,JSMVC!D$5:D$14987,Definition!H$3),0)</f>
        <v>0</v>
      </c>
      <c r="Q334" s="68">
        <f>IF(compute_ManualOverrideSPA="No", COUNTIFS(JSMVC!E$5:E$14987,UCDEffortSpread!D10, JSMVC!B$5:B$14987,Definition!C$11,JSMVC!D$5:D$14987,Definition!I$3),0)</f>
        <v>0</v>
      </c>
      <c r="R334" s="204">
        <f>(Definition!M334*Definition!E$11)</f>
        <v>0</v>
      </c>
      <c r="S334" s="204">
        <f>(Definition!N334*Definition!F$11)</f>
        <v>0</v>
      </c>
      <c r="T334" s="204">
        <f>(Definition!O334*Definition!G$11)</f>
        <v>0</v>
      </c>
      <c r="U334" s="204">
        <f>(Definition!P334*Definition!H$11)</f>
        <v>0</v>
      </c>
      <c r="V334" s="204">
        <f>(Definition!Q334*Definition!I$11)</f>
        <v>0</v>
      </c>
      <c r="W334" s="203">
        <f t="shared" si="34"/>
        <v>0</v>
      </c>
      <c r="X334" s="206">
        <f t="shared" si="33"/>
        <v>0</v>
      </c>
    </row>
    <row r="335" spans="12:24">
      <c r="L335" s="423"/>
      <c r="M335" s="68">
        <f>IF(compute_ManualOverrideSPA="No", COUNTIFS(JSMVC!E$5:E$14987,UCDEffortSpread!D11, JSMVC!B$5:B$14987,Definition!C$11,JSMVC!D$5:D$14987,Definition!E$3),0)</f>
        <v>0</v>
      </c>
      <c r="N335" s="68">
        <f>IF(compute_ManualOverrideSPA="No", COUNTIFS(JSMVC!E$5:E$14987,UCDEffortSpread!D11, JSMVC!B$5:B$14987,Definition!C$11,JSMVC!D$5:D$14987,Definition!F$3),0)</f>
        <v>0</v>
      </c>
      <c r="O335" s="68">
        <f>IF(compute_ManualOverrideSPA="No", COUNTIFS(JSMVC!E$5:E$14987,UCDEffortSpread!D11, JSMVC!B$5:B$14987,Definition!C$11,JSMVC!D$5:D$14987,Definition!G$3),0)</f>
        <v>0</v>
      </c>
      <c r="P335" s="68">
        <f>IF(compute_ManualOverrideSPA="No", COUNTIFS(JSMVC!E$5:E$14987,UCDEffortSpread!D11, JSMVC!B$5:B$14987,Definition!C$11,JSMVC!D$5:D$14987,Definition!H$3),0)</f>
        <v>0</v>
      </c>
      <c r="Q335" s="68">
        <f>IF(compute_ManualOverrideSPA="No", COUNTIFS(JSMVC!E$5:E$14987,UCDEffortSpread!D11, JSMVC!B$5:B$14987,Definition!C$11,JSMVC!D$5:D$14987,Definition!I$3),0)</f>
        <v>0</v>
      </c>
      <c r="R335" s="204">
        <f>(Definition!M335*Definition!E$11)</f>
        <v>0</v>
      </c>
      <c r="S335" s="204">
        <f>(Definition!N335*Definition!F$11)</f>
        <v>0</v>
      </c>
      <c r="T335" s="204">
        <f>(Definition!O335*Definition!G$11)</f>
        <v>0</v>
      </c>
      <c r="U335" s="204">
        <f>(Definition!P335*Definition!H$11)</f>
        <v>0</v>
      </c>
      <c r="V335" s="204">
        <f>(Definition!Q335*Definition!I$11)</f>
        <v>0</v>
      </c>
      <c r="W335" s="203">
        <f t="shared" si="34"/>
        <v>0</v>
      </c>
      <c r="X335" s="206">
        <f t="shared" si="33"/>
        <v>0</v>
      </c>
    </row>
    <row r="336" spans="12:24">
      <c r="L336" s="423"/>
      <c r="M336" s="68">
        <f>IF(compute_ManualOverrideSPA="No", COUNTIFS(JSMVC!E$5:E$14987,UCDEffortSpread!D12, JSMVC!B$5:B$14987,Definition!C$11,JSMVC!D$5:D$14987,Definition!E$3),0)</f>
        <v>0</v>
      </c>
      <c r="N336" s="68">
        <f>IF(compute_ManualOverrideSPA="No", COUNTIFS(JSMVC!E$5:E$14987,UCDEffortSpread!D12, JSMVC!B$5:B$14987,Definition!C$11,JSMVC!D$5:D$14987,Definition!F$3),0)</f>
        <v>0</v>
      </c>
      <c r="O336" s="68">
        <f>IF(compute_ManualOverrideSPA="No", COUNTIFS(JSMVC!E$5:E$14987,UCDEffortSpread!D12, JSMVC!B$5:B$14987,Definition!C$11,JSMVC!D$5:D$14987,Definition!G$3),0)</f>
        <v>0</v>
      </c>
      <c r="P336" s="68">
        <f>IF(compute_ManualOverrideSPA="No", COUNTIFS(JSMVC!E$5:E$14987,UCDEffortSpread!D12, JSMVC!B$5:B$14987,Definition!C$11,JSMVC!D$5:D$14987,Definition!H$3),0)</f>
        <v>0</v>
      </c>
      <c r="Q336" s="68">
        <f>IF(compute_ManualOverrideSPA="No", COUNTIFS(JSMVC!E$5:E$14987,UCDEffortSpread!D12, JSMVC!B$5:B$14987,Definition!C$11,JSMVC!D$5:D$14987,Definition!I$3),0)</f>
        <v>0</v>
      </c>
      <c r="R336" s="204">
        <f>(Definition!M336*Definition!E$11)</f>
        <v>0</v>
      </c>
      <c r="S336" s="204">
        <f>(Definition!N336*Definition!F$11)</f>
        <v>0</v>
      </c>
      <c r="T336" s="204">
        <f>(Definition!O336*Definition!G$11)</f>
        <v>0</v>
      </c>
      <c r="U336" s="204">
        <f>(Definition!P336*Definition!H$11)</f>
        <v>0</v>
      </c>
      <c r="V336" s="204">
        <f>(Definition!Q336*Definition!I$11)</f>
        <v>0</v>
      </c>
      <c r="W336" s="203">
        <f t="shared" si="34"/>
        <v>0</v>
      </c>
      <c r="X336" s="206">
        <f t="shared" si="33"/>
        <v>0</v>
      </c>
    </row>
    <row r="337" spans="12:24">
      <c r="L337" s="423"/>
      <c r="M337" s="68">
        <f>IF(compute_ManualOverrideSPA="No", COUNTIFS(JSMVC!E$5:E$14987,UCDEffortSpread!D13, JSMVC!B$5:B$14987,Definition!C$11,JSMVC!D$5:D$14987,Definition!E$3),0)</f>
        <v>0</v>
      </c>
      <c r="N337" s="68">
        <f>IF(compute_ManualOverrideSPA="No", COUNTIFS(JSMVC!E$5:E$14987,UCDEffortSpread!D13, JSMVC!B$5:B$14987,Definition!C$11,JSMVC!D$5:D$14987,Definition!F$3),0)</f>
        <v>0</v>
      </c>
      <c r="O337" s="68">
        <f>IF(compute_ManualOverrideSPA="No", COUNTIFS(JSMVC!E$5:E$14987,UCDEffortSpread!D13, JSMVC!B$5:B$14987,Definition!C$11,JSMVC!D$5:D$14987,Definition!G$3),0)</f>
        <v>0</v>
      </c>
      <c r="P337" s="68">
        <f>IF(compute_ManualOverrideSPA="No", COUNTIFS(JSMVC!E$5:E$14987,UCDEffortSpread!D13, JSMVC!B$5:B$14987,Definition!C$11,JSMVC!D$5:D$14987,Definition!H$3),0)</f>
        <v>0</v>
      </c>
      <c r="Q337" s="68">
        <f>IF(compute_ManualOverrideSPA="No", COUNTIFS(JSMVC!E$5:E$14987,UCDEffortSpread!D13, JSMVC!B$5:B$14987,Definition!C$11,JSMVC!D$5:D$14987,Definition!I$3),0)</f>
        <v>0</v>
      </c>
      <c r="R337" s="204">
        <f>(Definition!M337*Definition!E$11)</f>
        <v>0</v>
      </c>
      <c r="S337" s="204">
        <f>(Definition!N337*Definition!F$11)</f>
        <v>0</v>
      </c>
      <c r="T337" s="204">
        <f>(Definition!O337*Definition!G$11)</f>
        <v>0</v>
      </c>
      <c r="U337" s="204">
        <f>(Definition!P337*Definition!H$11)</f>
        <v>0</v>
      </c>
      <c r="V337" s="204">
        <f>(Definition!Q337*Definition!I$11)</f>
        <v>0</v>
      </c>
      <c r="W337" s="203">
        <f t="shared" si="34"/>
        <v>0</v>
      </c>
      <c r="X337" s="206">
        <f t="shared" si="33"/>
        <v>0</v>
      </c>
    </row>
    <row r="338" spans="12:24">
      <c r="L338" s="423"/>
      <c r="M338" s="68">
        <f>IF(compute_ManualOverrideSPA="No", COUNTIFS(JSMVC!E$5:E$14987,UCDEffortSpread!D14, JSMVC!B$5:B$14987,Definition!C$11,JSMVC!D$5:D$14987,Definition!E$3),0)</f>
        <v>0</v>
      </c>
      <c r="N338" s="68">
        <f>IF(compute_ManualOverrideSPA="No", COUNTIFS(JSMVC!E$5:E$14987,UCDEffortSpread!D14, JSMVC!B$5:B$14987,Definition!C$11,JSMVC!D$5:D$14987,Definition!F$3),0)</f>
        <v>0</v>
      </c>
      <c r="O338" s="68">
        <f>IF(compute_ManualOverrideSPA="No", COUNTIFS(JSMVC!E$5:E$14987,UCDEffortSpread!D14, JSMVC!B$5:B$14987,Definition!C$11,JSMVC!D$5:D$14987,Definition!G$3),0)</f>
        <v>0</v>
      </c>
      <c r="P338" s="68">
        <f>IF(compute_ManualOverrideSPA="No", COUNTIFS(JSMVC!E$5:E$14987,UCDEffortSpread!D14, JSMVC!B$5:B$14987,Definition!C$11,JSMVC!D$5:D$14987,Definition!H$3),0)</f>
        <v>0</v>
      </c>
      <c r="Q338" s="68">
        <f>IF(compute_ManualOverrideSPA="No", COUNTIFS(JSMVC!E$5:E$14987,UCDEffortSpread!D14, JSMVC!B$5:B$14987,Definition!C$11,JSMVC!D$5:D$14987,Definition!I$3),0)</f>
        <v>0</v>
      </c>
      <c r="R338" s="204">
        <f>(Definition!M338*Definition!E$11)</f>
        <v>0</v>
      </c>
      <c r="S338" s="204">
        <f>(Definition!N338*Definition!F$11)</f>
        <v>0</v>
      </c>
      <c r="T338" s="204">
        <f>(Definition!O338*Definition!G$11)</f>
        <v>0</v>
      </c>
      <c r="U338" s="204">
        <f>(Definition!P338*Definition!H$11)</f>
        <v>0</v>
      </c>
      <c r="V338" s="204">
        <f>(Definition!Q338*Definition!I$11)</f>
        <v>0</v>
      </c>
      <c r="W338" s="203">
        <f t="shared" si="34"/>
        <v>0</v>
      </c>
      <c r="X338" s="206">
        <f t="shared" si="33"/>
        <v>0</v>
      </c>
    </row>
    <row r="339" spans="12:24">
      <c r="L339" s="423"/>
      <c r="M339" s="68">
        <f>IF(compute_ManualOverrideSPA="No", COUNTIFS(JSMVC!E$5:E$14987,UCDEffortSpread!D15, JSMVC!B$5:B$14987,Definition!C$11,JSMVC!D$5:D$14987,Definition!E$3),0)</f>
        <v>0</v>
      </c>
      <c r="N339" s="68">
        <f>IF(compute_ManualOverrideSPA="No", COUNTIFS(JSMVC!E$5:E$14987,UCDEffortSpread!D15, JSMVC!B$5:B$14987,Definition!C$11,JSMVC!D$5:D$14987,Definition!F$3),0)</f>
        <v>0</v>
      </c>
      <c r="O339" s="68">
        <f>IF(compute_ManualOverrideSPA="No", COUNTIFS(JSMVC!E$5:E$14987,UCDEffortSpread!D15, JSMVC!B$5:B$14987,Definition!C$11,JSMVC!D$5:D$14987,Definition!G$3),0)</f>
        <v>0</v>
      </c>
      <c r="P339" s="68">
        <f>IF(compute_ManualOverrideSPA="No", COUNTIFS(JSMVC!E$5:E$14987,UCDEffortSpread!D15, JSMVC!B$5:B$14987,Definition!C$11,JSMVC!D$5:D$14987,Definition!H$3),0)</f>
        <v>0</v>
      </c>
      <c r="Q339" s="68">
        <f>IF(compute_ManualOverrideSPA="No", COUNTIFS(JSMVC!E$5:E$14987,UCDEffortSpread!D15, JSMVC!B$5:B$14987,Definition!C$11,JSMVC!D$5:D$14987,Definition!I$3),0)</f>
        <v>0</v>
      </c>
      <c r="R339" s="204">
        <f>(Definition!M339*Definition!E$11)</f>
        <v>0</v>
      </c>
      <c r="S339" s="204">
        <f>(Definition!N339*Definition!F$11)</f>
        <v>0</v>
      </c>
      <c r="T339" s="204">
        <f>(Definition!O339*Definition!G$11)</f>
        <v>0</v>
      </c>
      <c r="U339" s="204">
        <f>(Definition!P339*Definition!H$11)</f>
        <v>0</v>
      </c>
      <c r="V339" s="204">
        <f>(Definition!Q339*Definition!I$11)</f>
        <v>0</v>
      </c>
      <c r="W339" s="203">
        <f t="shared" si="34"/>
        <v>0</v>
      </c>
      <c r="X339" s="206">
        <f t="shared" si="33"/>
        <v>0</v>
      </c>
    </row>
    <row r="340" spans="12:24">
      <c r="L340" s="423"/>
      <c r="M340" s="68">
        <f>IF(compute_ManualOverrideSPA="No", COUNTIFS(JSMVC!E$5:E$14987,UCDEffortSpread!D16, JSMVC!B$5:B$14987,Definition!C$11,JSMVC!D$5:D$14987,Definition!E$3),0)</f>
        <v>0</v>
      </c>
      <c r="N340" s="68">
        <f>IF(compute_ManualOverrideSPA="No", COUNTIFS(JSMVC!E$5:E$14987,UCDEffortSpread!D16, JSMVC!B$5:B$14987,Definition!C$11,JSMVC!D$5:D$14987,Definition!F$3),0)</f>
        <v>0</v>
      </c>
      <c r="O340" s="68">
        <f>IF(compute_ManualOverrideSPA="No", COUNTIFS(JSMVC!E$5:E$14987,UCDEffortSpread!D16, JSMVC!B$5:B$14987,Definition!C$11,JSMVC!D$5:D$14987,Definition!G$3),0)</f>
        <v>0</v>
      </c>
      <c r="P340" s="68">
        <f>IF(compute_ManualOverrideSPA="No", COUNTIFS(JSMVC!E$5:E$14987,UCDEffortSpread!D16, JSMVC!B$5:B$14987,Definition!C$11,JSMVC!D$5:D$14987,Definition!H$3),0)</f>
        <v>0</v>
      </c>
      <c r="Q340" s="68">
        <f>IF(compute_ManualOverrideSPA="No", COUNTIFS(JSMVC!E$5:E$14987,UCDEffortSpread!D16, JSMVC!B$5:B$14987,Definition!C$11,JSMVC!D$5:D$14987,Definition!I$3),0)</f>
        <v>0</v>
      </c>
      <c r="R340" s="204">
        <f>(Definition!M340*Definition!E$11)</f>
        <v>0</v>
      </c>
      <c r="S340" s="204">
        <f>(Definition!N340*Definition!F$11)</f>
        <v>0</v>
      </c>
      <c r="T340" s="204">
        <f>(Definition!O340*Definition!G$11)</f>
        <v>0</v>
      </c>
      <c r="U340" s="204">
        <f>(Definition!P340*Definition!H$11)</f>
        <v>0</v>
      </c>
      <c r="V340" s="204">
        <f>(Definition!Q340*Definition!I$11)</f>
        <v>0</v>
      </c>
      <c r="W340" s="203">
        <f t="shared" si="34"/>
        <v>0</v>
      </c>
      <c r="X340" s="206">
        <f t="shared" si="33"/>
        <v>0</v>
      </c>
    </row>
    <row r="341" spans="12:24">
      <c r="L341" s="423"/>
      <c r="M341" s="68">
        <f>IF(compute_ManualOverrideSPA="No", COUNTIFS(JSMVC!E$5:E$14987,UCDEffortSpread!D17, JSMVC!B$5:B$14987,Definition!C$11,JSMVC!D$5:D$14987,Definition!E$3),0)</f>
        <v>0</v>
      </c>
      <c r="N341" s="68">
        <f>IF(compute_ManualOverrideSPA="No", COUNTIFS(JSMVC!E$5:E$14987,UCDEffortSpread!D17, JSMVC!B$5:B$14987,Definition!C$11,JSMVC!D$5:D$14987,Definition!F$3),0)</f>
        <v>0</v>
      </c>
      <c r="O341" s="68">
        <f>IF(compute_ManualOverrideSPA="No", COUNTIFS(JSMVC!E$5:E$14987,UCDEffortSpread!D17, JSMVC!B$5:B$14987,Definition!C$11,JSMVC!D$5:D$14987,Definition!G$3),0)</f>
        <v>0</v>
      </c>
      <c r="P341" s="68">
        <f>IF(compute_ManualOverrideSPA="No", COUNTIFS(JSMVC!E$5:E$14987,UCDEffortSpread!D17, JSMVC!B$5:B$14987,Definition!C$11,JSMVC!D$5:D$14987,Definition!H$3),0)</f>
        <v>0</v>
      </c>
      <c r="Q341" s="68">
        <f>IF(compute_ManualOverrideSPA="No", COUNTIFS(JSMVC!E$5:E$14987,UCDEffortSpread!D17, JSMVC!B$5:B$14987,Definition!C$11,JSMVC!D$5:D$14987,Definition!I$3),0)</f>
        <v>0</v>
      </c>
      <c r="R341" s="204">
        <f>(Definition!M341*Definition!E$11)</f>
        <v>0</v>
      </c>
      <c r="S341" s="204">
        <f>(Definition!N341*Definition!F$11)</f>
        <v>0</v>
      </c>
      <c r="T341" s="204">
        <f>(Definition!O341*Definition!G$11)</f>
        <v>0</v>
      </c>
      <c r="U341" s="204">
        <f>(Definition!P341*Definition!H$11)</f>
        <v>0</v>
      </c>
      <c r="V341" s="204">
        <f>(Definition!Q341*Definition!I$11)</f>
        <v>0</v>
      </c>
      <c r="W341" s="203">
        <f t="shared" si="34"/>
        <v>0</v>
      </c>
      <c r="X341" s="206">
        <f t="shared" si="33"/>
        <v>0</v>
      </c>
    </row>
    <row r="342" spans="12:24">
      <c r="L342" s="423"/>
      <c r="M342" s="68">
        <f>IF(compute_ManualOverrideSPA="No", COUNTIFS(JSMVC!E$5:E$14987,UCDEffortSpread!D18, JSMVC!B$5:B$14987,Definition!C$11,JSMVC!D$5:D$14987,Definition!E$3),0)</f>
        <v>0</v>
      </c>
      <c r="N342" s="68">
        <f>IF(compute_ManualOverrideSPA="No", COUNTIFS(JSMVC!E$5:E$14987,UCDEffortSpread!D18, JSMVC!B$5:B$14987,Definition!C$11,JSMVC!D$5:D$14987,Definition!F$3),0)</f>
        <v>0</v>
      </c>
      <c r="O342" s="68">
        <f>IF(compute_ManualOverrideSPA="No", COUNTIFS(JSMVC!E$5:E$14987,UCDEffortSpread!D18, JSMVC!B$5:B$14987,Definition!C$11,JSMVC!D$5:D$14987,Definition!G$3),0)</f>
        <v>0</v>
      </c>
      <c r="P342" s="68">
        <f>IF(compute_ManualOverrideSPA="No", COUNTIFS(JSMVC!E$5:E$14987,UCDEffortSpread!D18, JSMVC!B$5:B$14987,Definition!C$11,JSMVC!D$5:D$14987,Definition!H$3),0)</f>
        <v>0</v>
      </c>
      <c r="Q342" s="68">
        <f>IF(compute_ManualOverrideSPA="No", COUNTIFS(JSMVC!E$5:E$14987,UCDEffortSpread!D18, JSMVC!B$5:B$14987,Definition!C$11,JSMVC!D$5:D$14987,Definition!I$3),0)</f>
        <v>0</v>
      </c>
      <c r="R342" s="204">
        <f>(Definition!M342*Definition!E$11)</f>
        <v>0</v>
      </c>
      <c r="S342" s="204">
        <f>(Definition!N342*Definition!F$11)</f>
        <v>0</v>
      </c>
      <c r="T342" s="204">
        <f>(Definition!O342*Definition!G$11)</f>
        <v>0</v>
      </c>
      <c r="U342" s="204">
        <f>(Definition!P342*Definition!H$11)</f>
        <v>0</v>
      </c>
      <c r="V342" s="204">
        <f>(Definition!Q342*Definition!I$11)</f>
        <v>0</v>
      </c>
      <c r="W342" s="203">
        <f t="shared" si="34"/>
        <v>0</v>
      </c>
      <c r="X342" s="206">
        <f t="shared" si="33"/>
        <v>0</v>
      </c>
    </row>
    <row r="343" spans="12:24">
      <c r="L343" s="423"/>
      <c r="M343" s="68">
        <f>IF(compute_ManualOverrideSPA="No", COUNTIFS(JSMVC!E$5:E$14987,UCDEffortSpread!D19, JSMVC!B$5:B$14987,Definition!C$11,JSMVC!D$5:D$14987,Definition!E$3),0)</f>
        <v>0</v>
      </c>
      <c r="N343" s="68">
        <f>IF(compute_ManualOverrideSPA="No", COUNTIFS(JSMVC!E$5:E$14987,UCDEffortSpread!D19, JSMVC!B$5:B$14987,Definition!C$11,JSMVC!D$5:D$14987,Definition!F$3),0)</f>
        <v>0</v>
      </c>
      <c r="O343" s="68">
        <f>IF(compute_ManualOverrideSPA="No", COUNTIFS(JSMVC!E$5:E$14987,UCDEffortSpread!D19, JSMVC!B$5:B$14987,Definition!C$11,JSMVC!D$5:D$14987,Definition!G$3),0)</f>
        <v>0</v>
      </c>
      <c r="P343" s="68">
        <f>IF(compute_ManualOverrideSPA="No", COUNTIFS(JSMVC!E$5:E$14987,UCDEffortSpread!D19, JSMVC!B$5:B$14987,Definition!C$11,JSMVC!D$5:D$14987,Definition!H$3),0)</f>
        <v>0</v>
      </c>
      <c r="Q343" s="68">
        <f>IF(compute_ManualOverrideSPA="No", COUNTIFS(JSMVC!E$5:E$14987,UCDEffortSpread!D19, JSMVC!B$5:B$14987,Definition!C$11,JSMVC!D$5:D$14987,Definition!I$3),0)</f>
        <v>0</v>
      </c>
      <c r="R343" s="204">
        <f>(Definition!M343*Definition!E$11)</f>
        <v>0</v>
      </c>
      <c r="S343" s="204">
        <f>(Definition!N343*Definition!F$11)</f>
        <v>0</v>
      </c>
      <c r="T343" s="204">
        <f>(Definition!O343*Definition!G$11)</f>
        <v>0</v>
      </c>
      <c r="U343" s="204">
        <f>(Definition!P343*Definition!H$11)</f>
        <v>0</v>
      </c>
      <c r="V343" s="204">
        <f>(Definition!Q343*Definition!I$11)</f>
        <v>0</v>
      </c>
      <c r="W343" s="203">
        <f t="shared" si="34"/>
        <v>0</v>
      </c>
      <c r="X343" s="206">
        <f t="shared" si="33"/>
        <v>0</v>
      </c>
    </row>
    <row r="344" spans="12:24">
      <c r="L344" s="423"/>
      <c r="M344" s="68">
        <f>IF(compute_ManualOverrideSPA="No", COUNTIFS(JSMVC!E$5:E$14987,UCDEffortSpread!D20, JSMVC!B$5:B$14987,Definition!C$11,JSMVC!D$5:D$14987,Definition!E$3),0)</f>
        <v>0</v>
      </c>
      <c r="N344" s="68">
        <f>IF(compute_ManualOverrideSPA="No", COUNTIFS(JSMVC!E$5:E$14987,UCDEffortSpread!D20, JSMVC!B$5:B$14987,Definition!C$11,JSMVC!D$5:D$14987,Definition!F$3),0)</f>
        <v>0</v>
      </c>
      <c r="O344" s="68">
        <f>IF(compute_ManualOverrideSPA="No", COUNTIFS(JSMVC!E$5:E$14987,UCDEffortSpread!D20, JSMVC!B$5:B$14987,Definition!C$11,JSMVC!D$5:D$14987,Definition!G$3),0)</f>
        <v>0</v>
      </c>
      <c r="P344" s="68">
        <f>IF(compute_ManualOverrideSPA="No", COUNTIFS(JSMVC!E$5:E$14987,UCDEffortSpread!D20, JSMVC!B$5:B$14987,Definition!C$11,JSMVC!D$5:D$14987,Definition!H$3),0)</f>
        <v>0</v>
      </c>
      <c r="Q344" s="68">
        <f>IF(compute_ManualOverrideSPA="No", COUNTIFS(JSMVC!E$5:E$14987,UCDEffortSpread!D20, JSMVC!B$5:B$14987,Definition!C$11,JSMVC!D$5:D$14987,Definition!I$3),0)</f>
        <v>0</v>
      </c>
      <c r="R344" s="204">
        <f>(Definition!M344*Definition!E$11)</f>
        <v>0</v>
      </c>
      <c r="S344" s="204">
        <f>(Definition!N344*Definition!F$11)</f>
        <v>0</v>
      </c>
      <c r="T344" s="204">
        <f>(Definition!O344*Definition!G$11)</f>
        <v>0</v>
      </c>
      <c r="U344" s="204">
        <f>(Definition!P344*Definition!H$11)</f>
        <v>0</v>
      </c>
      <c r="V344" s="204">
        <f>(Definition!Q344*Definition!I$11)</f>
        <v>0</v>
      </c>
      <c r="W344" s="203">
        <f t="shared" ref="W344:W378" si="35">SUM(R344:V344)</f>
        <v>0</v>
      </c>
      <c r="X344" s="206">
        <f t="shared" si="33"/>
        <v>0</v>
      </c>
    </row>
    <row r="345" spans="12:24">
      <c r="L345" s="423"/>
      <c r="M345" s="68">
        <f>IF(compute_ManualOverrideSPA="No", COUNTIFS(JSMVC!E$5:E$14987,UCDEffortSpread!D21, JSMVC!B$5:B$14987,Definition!C$11,JSMVC!D$5:D$14987,Definition!E$3),0)</f>
        <v>0</v>
      </c>
      <c r="N345" s="68">
        <f>IF(compute_ManualOverrideSPA="No", COUNTIFS(JSMVC!E$5:E$14987,UCDEffortSpread!D21, JSMVC!B$5:B$14987,Definition!C$11,JSMVC!D$5:D$14987,Definition!F$3),0)</f>
        <v>0</v>
      </c>
      <c r="O345" s="68">
        <f>IF(compute_ManualOverrideSPA="No", COUNTIFS(JSMVC!E$5:E$14987,UCDEffortSpread!D21, JSMVC!B$5:B$14987,Definition!C$11,JSMVC!D$5:D$14987,Definition!G$3),0)</f>
        <v>0</v>
      </c>
      <c r="P345" s="68">
        <f>IF(compute_ManualOverrideSPA="No", COUNTIFS(JSMVC!E$5:E$14987,UCDEffortSpread!D21, JSMVC!B$5:B$14987,Definition!C$11,JSMVC!D$5:D$14987,Definition!H$3),0)</f>
        <v>0</v>
      </c>
      <c r="Q345" s="68">
        <f>IF(compute_ManualOverrideSPA="No", COUNTIFS(JSMVC!E$5:E$14987,UCDEffortSpread!D21, JSMVC!B$5:B$14987,Definition!C$11,JSMVC!D$5:D$14987,Definition!I$3),0)</f>
        <v>0</v>
      </c>
      <c r="R345" s="204">
        <f>(Definition!M345*Definition!E$11)</f>
        <v>0</v>
      </c>
      <c r="S345" s="204">
        <f>(Definition!N345*Definition!F$11)</f>
        <v>0</v>
      </c>
      <c r="T345" s="204">
        <f>(Definition!O345*Definition!G$11)</f>
        <v>0</v>
      </c>
      <c r="U345" s="204">
        <f>(Definition!P345*Definition!H$11)</f>
        <v>0</v>
      </c>
      <c r="V345" s="204">
        <f>(Definition!Q345*Definition!I$11)</f>
        <v>0</v>
      </c>
      <c r="W345" s="203">
        <f t="shared" si="35"/>
        <v>0</v>
      </c>
      <c r="X345" s="206">
        <f t="shared" si="33"/>
        <v>0</v>
      </c>
    </row>
    <row r="346" spans="12:24">
      <c r="L346" s="423"/>
      <c r="M346" s="68">
        <f>IF(compute_ManualOverrideSPA="No", COUNTIFS(JSMVC!E$5:E$14987,UCDEffortSpread!D22, JSMVC!B$5:B$14987,Definition!C$11,JSMVC!D$5:D$14987,Definition!E$3),0)</f>
        <v>0</v>
      </c>
      <c r="N346" s="68">
        <f>IF(compute_ManualOverrideSPA="No", COUNTIFS(JSMVC!E$5:E$14987,UCDEffortSpread!D22, JSMVC!B$5:B$14987,Definition!C$11,JSMVC!D$5:D$14987,Definition!F$3),0)</f>
        <v>0</v>
      </c>
      <c r="O346" s="68">
        <f>IF(compute_ManualOverrideSPA="No", COUNTIFS(JSMVC!E$5:E$14987,UCDEffortSpread!D22, JSMVC!B$5:B$14987,Definition!C$11,JSMVC!D$5:D$14987,Definition!G$3),0)</f>
        <v>0</v>
      </c>
      <c r="P346" s="68">
        <f>IF(compute_ManualOverrideSPA="No", COUNTIFS(JSMVC!E$5:E$14987,UCDEffortSpread!D22, JSMVC!B$5:B$14987,Definition!C$11,JSMVC!D$5:D$14987,Definition!H$3),0)</f>
        <v>0</v>
      </c>
      <c r="Q346" s="68">
        <f>IF(compute_ManualOverrideSPA="No", COUNTIFS(JSMVC!E$5:E$14987,UCDEffortSpread!D22, JSMVC!B$5:B$14987,Definition!C$11,JSMVC!D$5:D$14987,Definition!I$3),0)</f>
        <v>0</v>
      </c>
      <c r="R346" s="204">
        <f>(Definition!M346*Definition!E$11)</f>
        <v>0</v>
      </c>
      <c r="S346" s="204">
        <f>(Definition!N346*Definition!F$11)</f>
        <v>0</v>
      </c>
      <c r="T346" s="204">
        <f>(Definition!O346*Definition!G$11)</f>
        <v>0</v>
      </c>
      <c r="U346" s="204">
        <f>(Definition!P346*Definition!H$11)</f>
        <v>0</v>
      </c>
      <c r="V346" s="204">
        <f>(Definition!Q346*Definition!I$11)</f>
        <v>0</v>
      </c>
      <c r="W346" s="203">
        <f t="shared" si="35"/>
        <v>0</v>
      </c>
      <c r="X346" s="206">
        <f t="shared" si="33"/>
        <v>0</v>
      </c>
    </row>
    <row r="347" spans="12:24">
      <c r="L347" s="423"/>
      <c r="M347" s="68">
        <f>IF(compute_ManualOverrideSPA="No", COUNTIFS(JSMVC!E$5:E$14987,UCDEffortSpread!D23, JSMVC!B$5:B$14987,Definition!C$11,JSMVC!D$5:D$14987,Definition!E$3),0)</f>
        <v>0</v>
      </c>
      <c r="N347" s="68">
        <f>IF(compute_ManualOverrideSPA="No", COUNTIFS(JSMVC!E$5:E$14987,UCDEffortSpread!D23, JSMVC!B$5:B$14987,Definition!C$11,JSMVC!D$5:D$14987,Definition!F$3),0)</f>
        <v>0</v>
      </c>
      <c r="O347" s="68">
        <f>IF(compute_ManualOverrideSPA="No", COUNTIFS(JSMVC!E$5:E$14987,UCDEffortSpread!D23, JSMVC!B$5:B$14987,Definition!C$11,JSMVC!D$5:D$14987,Definition!G$3),0)</f>
        <v>0</v>
      </c>
      <c r="P347" s="68">
        <f>IF(compute_ManualOverrideSPA="No", COUNTIFS(JSMVC!E$5:E$14987,UCDEffortSpread!D23, JSMVC!B$5:B$14987,Definition!C$11,JSMVC!D$5:D$14987,Definition!H$3),0)</f>
        <v>0</v>
      </c>
      <c r="Q347" s="68">
        <f>IF(compute_ManualOverrideSPA="No", COUNTIFS(JSMVC!E$5:E$14987,UCDEffortSpread!D23, JSMVC!B$5:B$14987,Definition!C$11,JSMVC!D$5:D$14987,Definition!I$3),0)</f>
        <v>0</v>
      </c>
      <c r="R347" s="204">
        <f>(Definition!M347*Definition!E$11)</f>
        <v>0</v>
      </c>
      <c r="S347" s="204">
        <f>(Definition!N347*Definition!F$11)</f>
        <v>0</v>
      </c>
      <c r="T347" s="204">
        <f>(Definition!O347*Definition!G$11)</f>
        <v>0</v>
      </c>
      <c r="U347" s="204">
        <f>(Definition!P347*Definition!H$11)</f>
        <v>0</v>
      </c>
      <c r="V347" s="204">
        <f>(Definition!Q347*Definition!I$11)</f>
        <v>0</v>
      </c>
      <c r="W347" s="203">
        <f t="shared" si="35"/>
        <v>0</v>
      </c>
      <c r="X347" s="206">
        <f t="shared" si="33"/>
        <v>0</v>
      </c>
    </row>
    <row r="348" spans="12:24">
      <c r="L348" s="423"/>
      <c r="M348" s="68">
        <f>IF(compute_ManualOverrideSPA="No", COUNTIFS(JSMVC!E$5:E$14987,UCDEffortSpread!D24, JSMVC!B$5:B$14987,Definition!C$11,JSMVC!D$5:D$14987,Definition!E$3),0)</f>
        <v>0</v>
      </c>
      <c r="N348" s="68">
        <f>IF(compute_ManualOverrideSPA="No", COUNTIFS(JSMVC!E$5:E$14987,UCDEffortSpread!D24, JSMVC!B$5:B$14987,Definition!C$11,JSMVC!D$5:D$14987,Definition!F$3),0)</f>
        <v>0</v>
      </c>
      <c r="O348" s="68">
        <f>IF(compute_ManualOverrideSPA="No", COUNTIFS(JSMVC!E$5:E$14987,UCDEffortSpread!D24, JSMVC!B$5:B$14987,Definition!C$11,JSMVC!D$5:D$14987,Definition!G$3),0)</f>
        <v>0</v>
      </c>
      <c r="P348" s="68">
        <f>IF(compute_ManualOverrideSPA="No", COUNTIFS(JSMVC!E$5:E$14987,UCDEffortSpread!D24, JSMVC!B$5:B$14987,Definition!C$11,JSMVC!D$5:D$14987,Definition!H$3),0)</f>
        <v>0</v>
      </c>
      <c r="Q348" s="68">
        <f>IF(compute_ManualOverrideSPA="No", COUNTIFS(JSMVC!E$5:E$14987,UCDEffortSpread!D24, JSMVC!B$5:B$14987,Definition!C$11,JSMVC!D$5:D$14987,Definition!I$3),0)</f>
        <v>0</v>
      </c>
      <c r="R348" s="204">
        <f>(Definition!M348*Definition!E$11)</f>
        <v>0</v>
      </c>
      <c r="S348" s="204">
        <f>(Definition!N348*Definition!F$11)</f>
        <v>0</v>
      </c>
      <c r="T348" s="204">
        <f>(Definition!O348*Definition!G$11)</f>
        <v>0</v>
      </c>
      <c r="U348" s="204">
        <f>(Definition!P348*Definition!H$11)</f>
        <v>0</v>
      </c>
      <c r="V348" s="204">
        <f>(Definition!Q348*Definition!I$11)</f>
        <v>0</v>
      </c>
      <c r="W348" s="203">
        <f t="shared" si="35"/>
        <v>0</v>
      </c>
      <c r="X348" s="206">
        <f t="shared" si="33"/>
        <v>0</v>
      </c>
    </row>
    <row r="349" spans="12:24">
      <c r="L349" s="423"/>
      <c r="M349" s="68">
        <f>IF(compute_ManualOverrideSPA="No", COUNTIFS(JSMVC!E$5:E$14987,UCDEffortSpread!D25, JSMVC!B$5:B$14987,Definition!C$11,JSMVC!D$5:D$14987,Definition!E$3),0)</f>
        <v>0</v>
      </c>
      <c r="N349" s="68">
        <f>IF(compute_ManualOverrideSPA="No", COUNTIFS(JSMVC!E$5:E$14987,UCDEffortSpread!D25, JSMVC!B$5:B$14987,Definition!C$11,JSMVC!D$5:D$14987,Definition!F$3),0)</f>
        <v>0</v>
      </c>
      <c r="O349" s="68">
        <f>IF(compute_ManualOverrideSPA="No", COUNTIFS(JSMVC!E$5:E$14987,UCDEffortSpread!D25, JSMVC!B$5:B$14987,Definition!C$11,JSMVC!D$5:D$14987,Definition!G$3),0)</f>
        <v>0</v>
      </c>
      <c r="P349" s="68">
        <f>IF(compute_ManualOverrideSPA="No", COUNTIFS(JSMVC!E$5:E$14987,UCDEffortSpread!D25, JSMVC!B$5:B$14987,Definition!C$11,JSMVC!D$5:D$14987,Definition!H$3),0)</f>
        <v>0</v>
      </c>
      <c r="Q349" s="68">
        <f>IF(compute_ManualOverrideSPA="No", COUNTIFS(JSMVC!E$5:E$14987,UCDEffortSpread!D25, JSMVC!B$5:B$14987,Definition!C$11,JSMVC!D$5:D$14987,Definition!I$3),0)</f>
        <v>0</v>
      </c>
      <c r="R349" s="204">
        <f>(Definition!M349*Definition!E$11)</f>
        <v>0</v>
      </c>
      <c r="S349" s="204">
        <f>(Definition!N349*Definition!F$11)</f>
        <v>0</v>
      </c>
      <c r="T349" s="204">
        <f>(Definition!O349*Definition!G$11)</f>
        <v>0</v>
      </c>
      <c r="U349" s="204">
        <f>(Definition!P349*Definition!H$11)</f>
        <v>0</v>
      </c>
      <c r="V349" s="204">
        <f>(Definition!Q349*Definition!I$11)</f>
        <v>0</v>
      </c>
      <c r="W349" s="203">
        <f t="shared" si="35"/>
        <v>0</v>
      </c>
      <c r="X349" s="206">
        <f t="shared" si="33"/>
        <v>0</v>
      </c>
    </row>
    <row r="350" spans="12:24">
      <c r="L350" s="423"/>
      <c r="M350" s="68">
        <f>IF(compute_ManualOverrideSPA="No", COUNTIFS(JSMVC!E$5:E$14987,UCDEffortSpread!D26, JSMVC!B$5:B$14987,Definition!C$11,JSMVC!D$5:D$14987,Definition!E$3),0)</f>
        <v>0</v>
      </c>
      <c r="N350" s="68">
        <f>IF(compute_ManualOverrideSPA="No", COUNTIFS(JSMVC!E$5:E$14987,UCDEffortSpread!D26, JSMVC!B$5:B$14987,Definition!C$11,JSMVC!D$5:D$14987,Definition!F$3),0)</f>
        <v>0</v>
      </c>
      <c r="O350" s="68">
        <f>IF(compute_ManualOverrideSPA="No", COUNTIFS(JSMVC!E$5:E$14987,UCDEffortSpread!D26, JSMVC!B$5:B$14987,Definition!C$11,JSMVC!D$5:D$14987,Definition!G$3),0)</f>
        <v>0</v>
      </c>
      <c r="P350" s="68">
        <f>IF(compute_ManualOverrideSPA="No", COUNTIFS(JSMVC!E$5:E$14987,UCDEffortSpread!D26, JSMVC!B$5:B$14987,Definition!C$11,JSMVC!D$5:D$14987,Definition!H$3),0)</f>
        <v>0</v>
      </c>
      <c r="Q350" s="68">
        <f>IF(compute_ManualOverrideSPA="No", COUNTIFS(JSMVC!E$5:E$14987,UCDEffortSpread!D26, JSMVC!B$5:B$14987,Definition!C$11,JSMVC!D$5:D$14987,Definition!I$3),0)</f>
        <v>0</v>
      </c>
      <c r="R350" s="204">
        <f>(Definition!M350*Definition!E$11)</f>
        <v>0</v>
      </c>
      <c r="S350" s="204">
        <f>(Definition!N350*Definition!F$11)</f>
        <v>0</v>
      </c>
      <c r="T350" s="204">
        <f>(Definition!O350*Definition!G$11)</f>
        <v>0</v>
      </c>
      <c r="U350" s="204">
        <f>(Definition!P350*Definition!H$11)</f>
        <v>0</v>
      </c>
      <c r="V350" s="204">
        <f>(Definition!Q350*Definition!I$11)</f>
        <v>0</v>
      </c>
      <c r="W350" s="203">
        <f t="shared" si="35"/>
        <v>0</v>
      </c>
      <c r="X350" s="206">
        <f t="shared" si="33"/>
        <v>0</v>
      </c>
    </row>
    <row r="351" spans="12:24">
      <c r="L351" s="423"/>
      <c r="M351" s="68">
        <f>IF(compute_ManualOverrideSPA="No", COUNTIFS(JSMVC!E$5:E$14987,UCDEffortSpread!D27, JSMVC!B$5:B$14987,Definition!C$11,JSMVC!D$5:D$14987,Definition!E$3),0)</f>
        <v>0</v>
      </c>
      <c r="N351" s="68">
        <f>IF(compute_ManualOverrideSPA="No", COUNTIFS(JSMVC!E$5:E$14987,UCDEffortSpread!D27, JSMVC!B$5:B$14987,Definition!C$11,JSMVC!D$5:D$14987,Definition!F$3),0)</f>
        <v>0</v>
      </c>
      <c r="O351" s="68">
        <f>IF(compute_ManualOverrideSPA="No", COUNTIFS(JSMVC!E$5:E$14987,UCDEffortSpread!D27, JSMVC!B$5:B$14987,Definition!C$11,JSMVC!D$5:D$14987,Definition!G$3),0)</f>
        <v>0</v>
      </c>
      <c r="P351" s="68">
        <f>IF(compute_ManualOverrideSPA="No", COUNTIFS(JSMVC!E$5:E$14987,UCDEffortSpread!D27, JSMVC!B$5:B$14987,Definition!C$11,JSMVC!D$5:D$14987,Definition!H$3),0)</f>
        <v>0</v>
      </c>
      <c r="Q351" s="68">
        <f>IF(compute_ManualOverrideSPA="No", COUNTIFS(JSMVC!E$5:E$14987,UCDEffortSpread!D27, JSMVC!B$5:B$14987,Definition!C$11,JSMVC!D$5:D$14987,Definition!I$3),0)</f>
        <v>0</v>
      </c>
      <c r="R351" s="204">
        <f>(Definition!M351*Definition!E$11)</f>
        <v>0</v>
      </c>
      <c r="S351" s="204">
        <f>(Definition!N351*Definition!F$11)</f>
        <v>0</v>
      </c>
      <c r="T351" s="204">
        <f>(Definition!O351*Definition!G$11)</f>
        <v>0</v>
      </c>
      <c r="U351" s="204">
        <f>(Definition!P351*Definition!H$11)</f>
        <v>0</v>
      </c>
      <c r="V351" s="204">
        <f>(Definition!Q351*Definition!I$11)</f>
        <v>0</v>
      </c>
      <c r="W351" s="203">
        <f t="shared" si="35"/>
        <v>0</v>
      </c>
      <c r="X351" s="206">
        <f t="shared" si="33"/>
        <v>0</v>
      </c>
    </row>
    <row r="352" spans="12:24">
      <c r="L352" s="423"/>
      <c r="M352" s="68">
        <f>IF(compute_ManualOverrideSPA="No", COUNTIFS(JSMVC!E$5:E$14987,UCDEffortSpread!D28, JSMVC!B$5:B$14987,Definition!C$11,JSMVC!D$5:D$14987,Definition!E$3),0)</f>
        <v>0</v>
      </c>
      <c r="N352" s="68">
        <f>IF(compute_ManualOverrideSPA="No", COUNTIFS(JSMVC!E$5:E$14987,UCDEffortSpread!D28, JSMVC!B$5:B$14987,Definition!C$11,JSMVC!D$5:D$14987,Definition!F$3),0)</f>
        <v>0</v>
      </c>
      <c r="O352" s="68">
        <f>IF(compute_ManualOverrideSPA="No", COUNTIFS(JSMVC!E$5:E$14987,UCDEffortSpread!D28, JSMVC!B$5:B$14987,Definition!C$11,JSMVC!D$5:D$14987,Definition!G$3),0)</f>
        <v>0</v>
      </c>
      <c r="P352" s="68">
        <f>IF(compute_ManualOverrideSPA="No", COUNTIFS(JSMVC!E$5:E$14987,UCDEffortSpread!D28, JSMVC!B$5:B$14987,Definition!C$11,JSMVC!D$5:D$14987,Definition!H$3),0)</f>
        <v>0</v>
      </c>
      <c r="Q352" s="68">
        <f>IF(compute_ManualOverrideSPA="No", COUNTIFS(JSMVC!E$5:E$14987,UCDEffortSpread!D28, JSMVC!B$5:B$14987,Definition!C$11,JSMVC!D$5:D$14987,Definition!I$3),0)</f>
        <v>0</v>
      </c>
      <c r="R352" s="204">
        <f>(Definition!M352*Definition!E$11)</f>
        <v>0</v>
      </c>
      <c r="S352" s="204">
        <f>(Definition!N352*Definition!F$11)</f>
        <v>0</v>
      </c>
      <c r="T352" s="204">
        <f>(Definition!O352*Definition!G$11)</f>
        <v>0</v>
      </c>
      <c r="U352" s="204">
        <f>(Definition!P352*Definition!H$11)</f>
        <v>0</v>
      </c>
      <c r="V352" s="204">
        <f>(Definition!Q352*Definition!I$11)</f>
        <v>0</v>
      </c>
      <c r="W352" s="203">
        <f t="shared" si="35"/>
        <v>0</v>
      </c>
      <c r="X352" s="206">
        <f t="shared" si="33"/>
        <v>0</v>
      </c>
    </row>
    <row r="353" spans="12:24">
      <c r="L353" s="423"/>
      <c r="M353" s="68">
        <f>IF(compute_ManualOverrideSPA="No", COUNTIFS(JSMVC!E$5:E$14987,UCDEffortSpread!D29, JSMVC!B$5:B$14987,Definition!C$11,JSMVC!D$5:D$14987,Definition!E$3),0)</f>
        <v>0</v>
      </c>
      <c r="N353" s="68">
        <f>IF(compute_ManualOverrideSPA="No", COUNTIFS(JSMVC!E$5:E$14987,UCDEffortSpread!D29, JSMVC!B$5:B$14987,Definition!C$11,JSMVC!D$5:D$14987,Definition!F$3),0)</f>
        <v>0</v>
      </c>
      <c r="O353" s="68">
        <f>IF(compute_ManualOverrideSPA="No", COUNTIFS(JSMVC!E$5:E$14987,UCDEffortSpread!D29, JSMVC!B$5:B$14987,Definition!C$11,JSMVC!D$5:D$14987,Definition!G$3),0)</f>
        <v>0</v>
      </c>
      <c r="P353" s="68">
        <f>IF(compute_ManualOverrideSPA="No", COUNTIFS(JSMVC!E$5:E$14987,UCDEffortSpread!D29, JSMVC!B$5:B$14987,Definition!C$11,JSMVC!D$5:D$14987,Definition!H$3),0)</f>
        <v>0</v>
      </c>
      <c r="Q353" s="68">
        <f>IF(compute_ManualOverrideSPA="No", COUNTIFS(JSMVC!E$5:E$14987,UCDEffortSpread!D29, JSMVC!B$5:B$14987,Definition!C$11,JSMVC!D$5:D$14987,Definition!I$3),0)</f>
        <v>0</v>
      </c>
      <c r="R353" s="204">
        <f>(Definition!M353*Definition!E$11)</f>
        <v>0</v>
      </c>
      <c r="S353" s="204">
        <f>(Definition!N353*Definition!F$11)</f>
        <v>0</v>
      </c>
      <c r="T353" s="204">
        <f>(Definition!O353*Definition!G$11)</f>
        <v>0</v>
      </c>
      <c r="U353" s="204">
        <f>(Definition!P353*Definition!H$11)</f>
        <v>0</v>
      </c>
      <c r="V353" s="204">
        <f>(Definition!Q353*Definition!I$11)</f>
        <v>0</v>
      </c>
      <c r="W353" s="203">
        <f t="shared" si="35"/>
        <v>0</v>
      </c>
      <c r="X353" s="206">
        <f t="shared" si="33"/>
        <v>0</v>
      </c>
    </row>
    <row r="354" spans="12:24">
      <c r="L354" s="423"/>
      <c r="M354" s="68">
        <f>IF(compute_ManualOverrideSPA="No", COUNTIFS(JSMVC!E$5:E$14987,UCDEffortSpread!D30, JSMVC!B$5:B$14987,Definition!C$11,JSMVC!D$5:D$14987,Definition!E$3),0)</f>
        <v>0</v>
      </c>
      <c r="N354" s="68">
        <f>IF(compute_ManualOverrideSPA="No", COUNTIFS(JSMVC!E$5:E$14987,UCDEffortSpread!D30, JSMVC!B$5:B$14987,Definition!C$11,JSMVC!D$5:D$14987,Definition!F$3),0)</f>
        <v>0</v>
      </c>
      <c r="O354" s="68">
        <f>IF(compute_ManualOverrideSPA="No", COUNTIFS(JSMVC!E$5:E$14987,UCDEffortSpread!D30, JSMVC!B$5:B$14987,Definition!C$11,JSMVC!D$5:D$14987,Definition!G$3),0)</f>
        <v>0</v>
      </c>
      <c r="P354" s="68">
        <f>IF(compute_ManualOverrideSPA="No", COUNTIFS(JSMVC!E$5:E$14987,UCDEffortSpread!D30, JSMVC!B$5:B$14987,Definition!C$11,JSMVC!D$5:D$14987,Definition!H$3),0)</f>
        <v>0</v>
      </c>
      <c r="Q354" s="68">
        <f>IF(compute_ManualOverrideSPA="No", COUNTIFS(JSMVC!E$5:E$14987,UCDEffortSpread!D30, JSMVC!B$5:B$14987,Definition!C$11,JSMVC!D$5:D$14987,Definition!I$3),0)</f>
        <v>0</v>
      </c>
      <c r="R354" s="204">
        <f>(Definition!M354*Definition!E$11)</f>
        <v>0</v>
      </c>
      <c r="S354" s="204">
        <f>(Definition!N354*Definition!F$11)</f>
        <v>0</v>
      </c>
      <c r="T354" s="204">
        <f>(Definition!O354*Definition!G$11)</f>
        <v>0</v>
      </c>
      <c r="U354" s="204">
        <f>(Definition!P354*Definition!H$11)</f>
        <v>0</v>
      </c>
      <c r="V354" s="204">
        <f>(Definition!Q354*Definition!I$11)</f>
        <v>0</v>
      </c>
      <c r="W354" s="203">
        <f t="shared" si="35"/>
        <v>0</v>
      </c>
      <c r="X354" s="206">
        <f t="shared" si="33"/>
        <v>0</v>
      </c>
    </row>
    <row r="355" spans="12:24">
      <c r="L355" s="423"/>
      <c r="M355" s="68">
        <f>IF(compute_ManualOverrideSPA="No", COUNTIFS(JSMVC!E$5:E$14987,UCDEffortSpread!D31, JSMVC!B$5:B$14987,Definition!C$11,JSMVC!D$5:D$14987,Definition!E$3),0)</f>
        <v>0</v>
      </c>
      <c r="N355" s="68">
        <f>IF(compute_ManualOverrideSPA="No", COUNTIFS(JSMVC!E$5:E$14987,UCDEffortSpread!D31, JSMVC!B$5:B$14987,Definition!C$11,JSMVC!D$5:D$14987,Definition!F$3),0)</f>
        <v>0</v>
      </c>
      <c r="O355" s="68">
        <f>IF(compute_ManualOverrideSPA="No", COUNTIFS(JSMVC!E$5:E$14987,UCDEffortSpread!D31, JSMVC!B$5:B$14987,Definition!C$11,JSMVC!D$5:D$14987,Definition!G$3),0)</f>
        <v>0</v>
      </c>
      <c r="P355" s="68">
        <f>IF(compute_ManualOverrideSPA="No", COUNTIFS(JSMVC!E$5:E$14987,UCDEffortSpread!D31, JSMVC!B$5:B$14987,Definition!C$11,JSMVC!D$5:D$14987,Definition!H$3),0)</f>
        <v>0</v>
      </c>
      <c r="Q355" s="68">
        <f>IF(compute_ManualOverrideSPA="No", COUNTIFS(JSMVC!E$5:E$14987,UCDEffortSpread!D31, JSMVC!B$5:B$14987,Definition!C$11,JSMVC!D$5:D$14987,Definition!I$3),0)</f>
        <v>0</v>
      </c>
      <c r="R355" s="204">
        <f>(Definition!M355*Definition!E$11)</f>
        <v>0</v>
      </c>
      <c r="S355" s="204">
        <f>(Definition!N355*Definition!F$11)</f>
        <v>0</v>
      </c>
      <c r="T355" s="204">
        <f>(Definition!O355*Definition!G$11)</f>
        <v>0</v>
      </c>
      <c r="U355" s="204">
        <f>(Definition!P355*Definition!H$11)</f>
        <v>0</v>
      </c>
      <c r="V355" s="204">
        <f>(Definition!Q355*Definition!I$11)</f>
        <v>0</v>
      </c>
      <c r="W355" s="203">
        <f t="shared" si="35"/>
        <v>0</v>
      </c>
      <c r="X355" s="206">
        <f t="shared" si="33"/>
        <v>0</v>
      </c>
    </row>
    <row r="356" spans="12:24">
      <c r="L356" s="423"/>
      <c r="M356" s="68">
        <f>IF(compute_ManualOverrideSPA="No", COUNTIFS(JSMVC!E$5:E$14987,UCDEffortSpread!D32, JSMVC!B$5:B$14987,Definition!C$11,JSMVC!D$5:D$14987,Definition!E$3),0)</f>
        <v>0</v>
      </c>
      <c r="N356" s="68">
        <f>IF(compute_ManualOverrideSPA="No", COUNTIFS(JSMVC!E$5:E$14987,UCDEffortSpread!D32, JSMVC!B$5:B$14987,Definition!C$11,JSMVC!D$5:D$14987,Definition!F$3),0)</f>
        <v>0</v>
      </c>
      <c r="O356" s="68">
        <f>IF(compute_ManualOverrideSPA="No", COUNTIFS(JSMVC!E$5:E$14987,UCDEffortSpread!D32, JSMVC!B$5:B$14987,Definition!C$11,JSMVC!D$5:D$14987,Definition!G$3),0)</f>
        <v>0</v>
      </c>
      <c r="P356" s="68">
        <f>IF(compute_ManualOverrideSPA="No", COUNTIFS(JSMVC!E$5:E$14987,UCDEffortSpread!D32, JSMVC!B$5:B$14987,Definition!C$11,JSMVC!D$5:D$14987,Definition!H$3),0)</f>
        <v>0</v>
      </c>
      <c r="Q356" s="68">
        <f>IF(compute_ManualOverrideSPA="No", COUNTIFS(JSMVC!E$5:E$14987,UCDEffortSpread!D32, JSMVC!B$5:B$14987,Definition!C$11,JSMVC!D$5:D$14987,Definition!I$3),0)</f>
        <v>0</v>
      </c>
      <c r="R356" s="204">
        <f>(Definition!M356*Definition!E$11)</f>
        <v>0</v>
      </c>
      <c r="S356" s="204">
        <f>(Definition!N356*Definition!F$11)</f>
        <v>0</v>
      </c>
      <c r="T356" s="204">
        <f>(Definition!O356*Definition!G$11)</f>
        <v>0</v>
      </c>
      <c r="U356" s="204">
        <f>(Definition!P356*Definition!H$11)</f>
        <v>0</v>
      </c>
      <c r="V356" s="204">
        <f>(Definition!Q356*Definition!I$11)</f>
        <v>0</v>
      </c>
      <c r="W356" s="203">
        <f t="shared" si="35"/>
        <v>0</v>
      </c>
      <c r="X356" s="206">
        <f t="shared" si="33"/>
        <v>0</v>
      </c>
    </row>
    <row r="357" spans="12:24">
      <c r="L357" s="423"/>
      <c r="M357" s="68">
        <f>IF(compute_ManualOverrideSPA="No", COUNTIFS(JSMVC!E$5:E$14987,UCDEffortSpread!D33, JSMVC!B$5:B$14987,Definition!C$11,JSMVC!D$5:D$14987,Definition!E$3),0)</f>
        <v>0</v>
      </c>
      <c r="N357" s="68">
        <f>IF(compute_ManualOverrideSPA="No", COUNTIFS(JSMVC!E$5:E$14987,UCDEffortSpread!D33, JSMVC!B$5:B$14987,Definition!C$11,JSMVC!D$5:D$14987,Definition!F$3),0)</f>
        <v>0</v>
      </c>
      <c r="O357" s="68">
        <f>IF(compute_ManualOverrideSPA="No", COUNTIFS(JSMVC!E$5:E$14987,UCDEffortSpread!D33, JSMVC!B$5:B$14987,Definition!C$11,JSMVC!D$5:D$14987,Definition!G$3),0)</f>
        <v>0</v>
      </c>
      <c r="P357" s="68">
        <f>IF(compute_ManualOverrideSPA="No", COUNTIFS(JSMVC!E$5:E$14987,UCDEffortSpread!D33, JSMVC!B$5:B$14987,Definition!C$11,JSMVC!D$5:D$14987,Definition!H$3),0)</f>
        <v>0</v>
      </c>
      <c r="Q357" s="68">
        <f>IF(compute_ManualOverrideSPA="No", COUNTIFS(JSMVC!E$5:E$14987,UCDEffortSpread!D33, JSMVC!B$5:B$14987,Definition!C$11,JSMVC!D$5:D$14987,Definition!I$3),0)</f>
        <v>0</v>
      </c>
      <c r="R357" s="204">
        <f>(Definition!M357*Definition!E$11)</f>
        <v>0</v>
      </c>
      <c r="S357" s="204">
        <f>(Definition!N357*Definition!F$11)</f>
        <v>0</v>
      </c>
      <c r="T357" s="204">
        <f>(Definition!O357*Definition!G$11)</f>
        <v>0</v>
      </c>
      <c r="U357" s="204">
        <f>(Definition!P357*Definition!H$11)</f>
        <v>0</v>
      </c>
      <c r="V357" s="204">
        <f>(Definition!Q357*Definition!I$11)</f>
        <v>0</v>
      </c>
      <c r="W357" s="203">
        <f t="shared" si="35"/>
        <v>0</v>
      </c>
      <c r="X357" s="206">
        <f t="shared" si="33"/>
        <v>0</v>
      </c>
    </row>
    <row r="358" spans="12:24">
      <c r="L358" s="423"/>
      <c r="M358" s="68">
        <f>IF(compute_ManualOverrideSPA="No", COUNTIFS(JSMVC!E$5:E$14987,UCDEffortSpread!D34, JSMVC!B$5:B$14987,Definition!C$11,JSMVC!D$5:D$14987,Definition!E$3),0)</f>
        <v>0</v>
      </c>
      <c r="N358" s="68">
        <f>IF(compute_ManualOverrideSPA="No", COUNTIFS(JSMVC!E$5:E$14987,UCDEffortSpread!D34, JSMVC!B$5:B$14987,Definition!C$11,JSMVC!D$5:D$14987,Definition!F$3),0)</f>
        <v>0</v>
      </c>
      <c r="O358" s="68">
        <f>IF(compute_ManualOverrideSPA="No", COUNTIFS(JSMVC!E$5:E$14987,UCDEffortSpread!D34, JSMVC!B$5:B$14987,Definition!C$11,JSMVC!D$5:D$14987,Definition!G$3),0)</f>
        <v>0</v>
      </c>
      <c r="P358" s="68">
        <f>IF(compute_ManualOverrideSPA="No", COUNTIFS(JSMVC!E$5:E$14987,UCDEffortSpread!D34, JSMVC!B$5:B$14987,Definition!C$11,JSMVC!D$5:D$14987,Definition!H$3),0)</f>
        <v>0</v>
      </c>
      <c r="Q358" s="68">
        <f>IF(compute_ManualOverrideSPA="No", COUNTIFS(JSMVC!E$5:E$14987,UCDEffortSpread!D34, JSMVC!B$5:B$14987,Definition!C$11,JSMVC!D$5:D$14987,Definition!I$3),0)</f>
        <v>0</v>
      </c>
      <c r="R358" s="204">
        <f>(Definition!M358*Definition!E$11)</f>
        <v>0</v>
      </c>
      <c r="S358" s="204">
        <f>(Definition!N358*Definition!F$11)</f>
        <v>0</v>
      </c>
      <c r="T358" s="204">
        <f>(Definition!O358*Definition!G$11)</f>
        <v>0</v>
      </c>
      <c r="U358" s="204">
        <f>(Definition!P358*Definition!H$11)</f>
        <v>0</v>
      </c>
      <c r="V358" s="204">
        <f>(Definition!Q358*Definition!I$11)</f>
        <v>0</v>
      </c>
      <c r="W358" s="203">
        <f t="shared" si="35"/>
        <v>0</v>
      </c>
      <c r="X358" s="206">
        <f t="shared" si="33"/>
        <v>0</v>
      </c>
    </row>
    <row r="359" spans="12:24">
      <c r="L359" s="423"/>
      <c r="M359" s="68">
        <f>IF(compute_ManualOverrideSPA="No", COUNTIFS(JSMVC!E$5:E$14987,UCDEffortSpread!D35, JSMVC!B$5:B$14987,Definition!C$11,JSMVC!D$5:D$14987,Definition!E$3),0)</f>
        <v>0</v>
      </c>
      <c r="N359" s="68">
        <f>IF(compute_ManualOverrideSPA="No", COUNTIFS(JSMVC!E$5:E$14987,UCDEffortSpread!D35, JSMVC!B$5:B$14987,Definition!C$11,JSMVC!D$5:D$14987,Definition!F$3),0)</f>
        <v>0</v>
      </c>
      <c r="O359" s="68">
        <f>IF(compute_ManualOverrideSPA="No", COUNTIFS(JSMVC!E$5:E$14987,UCDEffortSpread!D35, JSMVC!B$5:B$14987,Definition!C$11,JSMVC!D$5:D$14987,Definition!G$3),0)</f>
        <v>0</v>
      </c>
      <c r="P359" s="68">
        <f>IF(compute_ManualOverrideSPA="No", COUNTIFS(JSMVC!E$5:E$14987,UCDEffortSpread!D35, JSMVC!B$5:B$14987,Definition!C$11,JSMVC!D$5:D$14987,Definition!H$3),0)</f>
        <v>0</v>
      </c>
      <c r="Q359" s="68">
        <f>IF(compute_ManualOverrideSPA="No", COUNTIFS(JSMVC!E$5:E$14987,UCDEffortSpread!D35, JSMVC!B$5:B$14987,Definition!C$11,JSMVC!D$5:D$14987,Definition!I$3),0)</f>
        <v>0</v>
      </c>
      <c r="R359" s="204">
        <f>(Definition!M359*Definition!E$11)</f>
        <v>0</v>
      </c>
      <c r="S359" s="204">
        <f>(Definition!N359*Definition!F$11)</f>
        <v>0</v>
      </c>
      <c r="T359" s="204">
        <f>(Definition!O359*Definition!G$11)</f>
        <v>0</v>
      </c>
      <c r="U359" s="204">
        <f>(Definition!P359*Definition!H$11)</f>
        <v>0</v>
      </c>
      <c r="V359" s="204">
        <f>(Definition!Q359*Definition!I$11)</f>
        <v>0</v>
      </c>
      <c r="W359" s="203">
        <f t="shared" si="35"/>
        <v>0</v>
      </c>
      <c r="X359" s="206">
        <f t="shared" si="33"/>
        <v>0</v>
      </c>
    </row>
    <row r="360" spans="12:24">
      <c r="L360" s="423"/>
      <c r="M360" s="68">
        <f>IF(compute_ManualOverrideSPA="No", COUNTIFS(JSMVC!E$5:E$14987,UCDEffortSpread!D36, JSMVC!B$5:B$14987,Definition!C$11,JSMVC!D$5:D$14987,Definition!E$3),0)</f>
        <v>0</v>
      </c>
      <c r="N360" s="68">
        <f>IF(compute_ManualOverrideSPA="No", COUNTIFS(JSMVC!E$5:E$14987,UCDEffortSpread!D36, JSMVC!B$5:B$14987,Definition!C$11,JSMVC!D$5:D$14987,Definition!F$3),0)</f>
        <v>0</v>
      </c>
      <c r="O360" s="68">
        <f>IF(compute_ManualOverrideSPA="No", COUNTIFS(JSMVC!E$5:E$14987,UCDEffortSpread!D36, JSMVC!B$5:B$14987,Definition!C$11,JSMVC!D$5:D$14987,Definition!G$3),0)</f>
        <v>0</v>
      </c>
      <c r="P360" s="68">
        <f>IF(compute_ManualOverrideSPA="No", COUNTIFS(JSMVC!E$5:E$14987,UCDEffortSpread!D36, JSMVC!B$5:B$14987,Definition!C$11,JSMVC!D$5:D$14987,Definition!H$3),0)</f>
        <v>0</v>
      </c>
      <c r="Q360" s="68">
        <f>IF(compute_ManualOverrideSPA="No", COUNTIFS(JSMVC!E$5:E$14987,UCDEffortSpread!D36, JSMVC!B$5:B$14987,Definition!C$11,JSMVC!D$5:D$14987,Definition!I$3),0)</f>
        <v>0</v>
      </c>
      <c r="R360" s="204">
        <f>(Definition!M360*Definition!E$11)</f>
        <v>0</v>
      </c>
      <c r="S360" s="204">
        <f>(Definition!N360*Definition!F$11)</f>
        <v>0</v>
      </c>
      <c r="T360" s="204">
        <f>(Definition!O360*Definition!G$11)</f>
        <v>0</v>
      </c>
      <c r="U360" s="204">
        <f>(Definition!P360*Definition!H$11)</f>
        <v>0</v>
      </c>
      <c r="V360" s="204">
        <f>(Definition!Q360*Definition!I$11)</f>
        <v>0</v>
      </c>
      <c r="W360" s="203">
        <f t="shared" si="35"/>
        <v>0</v>
      </c>
      <c r="X360" s="206">
        <f t="shared" si="33"/>
        <v>0</v>
      </c>
    </row>
    <row r="361" spans="12:24">
      <c r="L361" s="423"/>
      <c r="M361" s="68">
        <f>IF(compute_ManualOverrideSPA="No", COUNTIFS(JSMVC!E$5:E$14987,UCDEffortSpread!D37, JSMVC!B$5:B$14987,Definition!C$11,JSMVC!D$5:D$14987,Definition!E$3),0)</f>
        <v>0</v>
      </c>
      <c r="N361" s="68">
        <f>IF(compute_ManualOverrideSPA="No", COUNTIFS(JSMVC!E$5:E$14987,UCDEffortSpread!D37, JSMVC!B$5:B$14987,Definition!C$11,JSMVC!D$5:D$14987,Definition!F$3),0)</f>
        <v>0</v>
      </c>
      <c r="O361" s="68">
        <f>IF(compute_ManualOverrideSPA="No", COUNTIFS(JSMVC!E$5:E$14987,UCDEffortSpread!D37, JSMVC!B$5:B$14987,Definition!C$11,JSMVC!D$5:D$14987,Definition!G$3),0)</f>
        <v>0</v>
      </c>
      <c r="P361" s="68">
        <f>IF(compute_ManualOverrideSPA="No", COUNTIFS(JSMVC!E$5:E$14987,UCDEffortSpread!D37, JSMVC!B$5:B$14987,Definition!C$11,JSMVC!D$5:D$14987,Definition!H$3),0)</f>
        <v>0</v>
      </c>
      <c r="Q361" s="68">
        <f>IF(compute_ManualOverrideSPA="No", COUNTIFS(JSMVC!E$5:E$14987,UCDEffortSpread!D37, JSMVC!B$5:B$14987,Definition!C$11,JSMVC!D$5:D$14987,Definition!I$3),0)</f>
        <v>0</v>
      </c>
      <c r="R361" s="204">
        <f>(Definition!M361*Definition!E$11)</f>
        <v>0</v>
      </c>
      <c r="S361" s="204">
        <f>(Definition!N361*Definition!F$11)</f>
        <v>0</v>
      </c>
      <c r="T361" s="204">
        <f>(Definition!O361*Definition!G$11)</f>
        <v>0</v>
      </c>
      <c r="U361" s="204">
        <f>(Definition!P361*Definition!H$11)</f>
        <v>0</v>
      </c>
      <c r="V361" s="204">
        <f>(Definition!Q361*Definition!I$11)</f>
        <v>0</v>
      </c>
      <c r="W361" s="203">
        <f t="shared" si="35"/>
        <v>0</v>
      </c>
      <c r="X361" s="206">
        <f t="shared" si="33"/>
        <v>0</v>
      </c>
    </row>
    <row r="362" spans="12:24">
      <c r="L362" s="423"/>
      <c r="M362" s="68">
        <f>IF(compute_ManualOverrideSPA="No", COUNTIFS(JSMVC!E$5:E$14987,UCDEffortSpread!D38, JSMVC!B$5:B$14987,Definition!C$11,JSMVC!D$5:D$14987,Definition!E$3),0)</f>
        <v>0</v>
      </c>
      <c r="N362" s="68">
        <f>IF(compute_ManualOverrideSPA="No", COUNTIFS(JSMVC!E$5:E$14987,UCDEffortSpread!D38, JSMVC!B$5:B$14987,Definition!C$11,JSMVC!D$5:D$14987,Definition!F$3),0)</f>
        <v>0</v>
      </c>
      <c r="O362" s="68">
        <f>IF(compute_ManualOverrideSPA="No", COUNTIFS(JSMVC!E$5:E$14987,UCDEffortSpread!D38, JSMVC!B$5:B$14987,Definition!C$11,JSMVC!D$5:D$14987,Definition!G$3),0)</f>
        <v>0</v>
      </c>
      <c r="P362" s="68">
        <f>IF(compute_ManualOverrideSPA="No", COUNTIFS(JSMVC!E$5:E$14987,UCDEffortSpread!D38, JSMVC!B$5:B$14987,Definition!C$11,JSMVC!D$5:D$14987,Definition!H$3),0)</f>
        <v>0</v>
      </c>
      <c r="Q362" s="68">
        <f>IF(compute_ManualOverrideSPA="No", COUNTIFS(JSMVC!E$5:E$14987,UCDEffortSpread!D38, JSMVC!B$5:B$14987,Definition!C$11,JSMVC!D$5:D$14987,Definition!I$3),0)</f>
        <v>0</v>
      </c>
      <c r="R362" s="204">
        <f>(Definition!M362*Definition!E$11)</f>
        <v>0</v>
      </c>
      <c r="S362" s="204">
        <f>(Definition!N362*Definition!F$11)</f>
        <v>0</v>
      </c>
      <c r="T362" s="204">
        <f>(Definition!O362*Definition!G$11)</f>
        <v>0</v>
      </c>
      <c r="U362" s="204">
        <f>(Definition!P362*Definition!H$11)</f>
        <v>0</v>
      </c>
      <c r="V362" s="204">
        <f>(Definition!Q362*Definition!I$11)</f>
        <v>0</v>
      </c>
      <c r="W362" s="203">
        <f t="shared" si="35"/>
        <v>0</v>
      </c>
      <c r="X362" s="206">
        <f t="shared" si="33"/>
        <v>0</v>
      </c>
    </row>
    <row r="363" spans="12:24">
      <c r="L363" s="423"/>
      <c r="M363" s="68">
        <f>IF(compute_ManualOverrideSPA="No", COUNTIFS(JSMVC!E$5:E$14987,UCDEffortSpread!D39, JSMVC!B$5:B$14987,Definition!C$11,JSMVC!D$5:D$14987,Definition!E$3),0)</f>
        <v>0</v>
      </c>
      <c r="N363" s="68">
        <f>IF(compute_ManualOverrideSPA="No", COUNTIFS(JSMVC!E$5:E$14987,UCDEffortSpread!D39, JSMVC!B$5:B$14987,Definition!C$11,JSMVC!D$5:D$14987,Definition!F$3),0)</f>
        <v>0</v>
      </c>
      <c r="O363" s="68">
        <f>IF(compute_ManualOverrideSPA="No", COUNTIFS(JSMVC!E$5:E$14987,UCDEffortSpread!D39, JSMVC!B$5:B$14987,Definition!C$11,JSMVC!D$5:D$14987,Definition!G$3),0)</f>
        <v>0</v>
      </c>
      <c r="P363" s="68">
        <f>IF(compute_ManualOverrideSPA="No", COUNTIFS(JSMVC!E$5:E$14987,UCDEffortSpread!D39, JSMVC!B$5:B$14987,Definition!C$11,JSMVC!D$5:D$14987,Definition!H$3),0)</f>
        <v>0</v>
      </c>
      <c r="Q363" s="68">
        <f>IF(compute_ManualOverrideSPA="No", COUNTIFS(JSMVC!E$5:E$14987,UCDEffortSpread!D39, JSMVC!B$5:B$14987,Definition!C$11,JSMVC!D$5:D$14987,Definition!I$3),0)</f>
        <v>0</v>
      </c>
      <c r="R363" s="204">
        <f>(Definition!M363*Definition!E$11)</f>
        <v>0</v>
      </c>
      <c r="S363" s="204">
        <f>(Definition!N363*Definition!F$11)</f>
        <v>0</v>
      </c>
      <c r="T363" s="204">
        <f>(Definition!O363*Definition!G$11)</f>
        <v>0</v>
      </c>
      <c r="U363" s="204">
        <f>(Definition!P363*Definition!H$11)</f>
        <v>0</v>
      </c>
      <c r="V363" s="204">
        <f>(Definition!Q363*Definition!I$11)</f>
        <v>0</v>
      </c>
      <c r="W363" s="203">
        <f t="shared" si="35"/>
        <v>0</v>
      </c>
      <c r="X363" s="206">
        <f t="shared" si="33"/>
        <v>0</v>
      </c>
    </row>
    <row r="364" spans="12:24">
      <c r="L364" s="423"/>
      <c r="M364" s="68">
        <f>IF(compute_ManualOverrideSPA="No", COUNTIFS(JSMVC!E$5:E$14987,UCDEffortSpread!D40, JSMVC!B$5:B$14987,Definition!C$11,JSMVC!D$5:D$14987,Definition!E$3),0)</f>
        <v>0</v>
      </c>
      <c r="N364" s="68">
        <f>IF(compute_ManualOverrideSPA="No", COUNTIFS(JSMVC!E$5:E$14987,UCDEffortSpread!D40, JSMVC!B$5:B$14987,Definition!C$11,JSMVC!D$5:D$14987,Definition!F$3),0)</f>
        <v>0</v>
      </c>
      <c r="O364" s="68">
        <f>IF(compute_ManualOverrideSPA="No", COUNTIFS(JSMVC!E$5:E$14987,UCDEffortSpread!D40, JSMVC!B$5:B$14987,Definition!C$11,JSMVC!D$5:D$14987,Definition!G$3),0)</f>
        <v>0</v>
      </c>
      <c r="P364" s="68">
        <f>IF(compute_ManualOverrideSPA="No", COUNTIFS(JSMVC!E$5:E$14987,UCDEffortSpread!D40, JSMVC!B$5:B$14987,Definition!C$11,JSMVC!D$5:D$14987,Definition!H$3),0)</f>
        <v>0</v>
      </c>
      <c r="Q364" s="68">
        <f>IF(compute_ManualOverrideSPA="No", COUNTIFS(JSMVC!E$5:E$14987,UCDEffortSpread!D40, JSMVC!B$5:B$14987,Definition!C$11,JSMVC!D$5:D$14987,Definition!I$3),0)</f>
        <v>0</v>
      </c>
      <c r="R364" s="204">
        <f>(Definition!M364*Definition!E$11)</f>
        <v>0</v>
      </c>
      <c r="S364" s="204">
        <f>(Definition!N364*Definition!F$11)</f>
        <v>0</v>
      </c>
      <c r="T364" s="204">
        <f>(Definition!O364*Definition!G$11)</f>
        <v>0</v>
      </c>
      <c r="U364" s="204">
        <f>(Definition!P364*Definition!H$11)</f>
        <v>0</v>
      </c>
      <c r="V364" s="204">
        <f>(Definition!Q364*Definition!I$11)</f>
        <v>0</v>
      </c>
      <c r="W364" s="203">
        <f t="shared" si="35"/>
        <v>0</v>
      </c>
      <c r="X364" s="206">
        <f t="shared" si="33"/>
        <v>0</v>
      </c>
    </row>
    <row r="365" spans="12:24">
      <c r="L365" s="423"/>
      <c r="M365" s="68">
        <f>IF(compute_ManualOverrideSPA="No", COUNTIFS(JSMVC!E$5:E$14987,UCDEffortSpread!D41, JSMVC!B$5:B$14987,Definition!C$11,JSMVC!D$5:D$14987,Definition!E$3),0)</f>
        <v>0</v>
      </c>
      <c r="N365" s="68">
        <f>IF(compute_ManualOverrideSPA="No", COUNTIFS(JSMVC!E$5:E$14987,UCDEffortSpread!D41, JSMVC!B$5:B$14987,Definition!C$11,JSMVC!D$5:D$14987,Definition!F$3),0)</f>
        <v>0</v>
      </c>
      <c r="O365" s="68">
        <f>IF(compute_ManualOverrideSPA="No", COUNTIFS(JSMVC!E$5:E$14987,UCDEffortSpread!D41, JSMVC!B$5:B$14987,Definition!C$11,JSMVC!D$5:D$14987,Definition!G$3),0)</f>
        <v>0</v>
      </c>
      <c r="P365" s="68">
        <f>IF(compute_ManualOverrideSPA="No", COUNTIFS(JSMVC!E$5:E$14987,UCDEffortSpread!D41, JSMVC!B$5:B$14987,Definition!C$11,JSMVC!D$5:D$14987,Definition!H$3),0)</f>
        <v>0</v>
      </c>
      <c r="Q365" s="68">
        <f>IF(compute_ManualOverrideSPA="No", COUNTIFS(JSMVC!E$5:E$14987,UCDEffortSpread!D41, JSMVC!B$5:B$14987,Definition!C$11,JSMVC!D$5:D$14987,Definition!I$3),0)</f>
        <v>0</v>
      </c>
      <c r="R365" s="204">
        <f>(Definition!M365*Definition!E$11)</f>
        <v>0</v>
      </c>
      <c r="S365" s="204">
        <f>(Definition!N365*Definition!F$11)</f>
        <v>0</v>
      </c>
      <c r="T365" s="204">
        <f>(Definition!O365*Definition!G$11)</f>
        <v>0</v>
      </c>
      <c r="U365" s="204">
        <f>(Definition!P365*Definition!H$11)</f>
        <v>0</v>
      </c>
      <c r="V365" s="204">
        <f>(Definition!Q365*Definition!I$11)</f>
        <v>0</v>
      </c>
      <c r="W365" s="203">
        <f t="shared" si="35"/>
        <v>0</v>
      </c>
      <c r="X365" s="206">
        <f t="shared" si="33"/>
        <v>0</v>
      </c>
    </row>
    <row r="366" spans="12:24">
      <c r="L366" s="423"/>
      <c r="M366" s="68">
        <f>IF(compute_ManualOverrideSPA="No", COUNTIFS(JSMVC!E$5:E$14987,UCDEffortSpread!D42, JSMVC!B$5:B$14987,Definition!C$11,JSMVC!D$5:D$14987,Definition!E$3),0)</f>
        <v>0</v>
      </c>
      <c r="N366" s="68">
        <f>IF(compute_ManualOverrideSPA="No", COUNTIFS(JSMVC!E$5:E$14987,UCDEffortSpread!D42, JSMVC!B$5:B$14987,Definition!C$11,JSMVC!D$5:D$14987,Definition!F$3),0)</f>
        <v>0</v>
      </c>
      <c r="O366" s="68">
        <f>IF(compute_ManualOverrideSPA="No", COUNTIFS(JSMVC!E$5:E$14987,UCDEffortSpread!D42, JSMVC!B$5:B$14987,Definition!C$11,JSMVC!D$5:D$14987,Definition!G$3),0)</f>
        <v>0</v>
      </c>
      <c r="P366" s="68">
        <f>IF(compute_ManualOverrideSPA="No", COUNTIFS(JSMVC!E$5:E$14987,UCDEffortSpread!D42, JSMVC!B$5:B$14987,Definition!C$11,JSMVC!D$5:D$14987,Definition!H$3),0)</f>
        <v>0</v>
      </c>
      <c r="Q366" s="68">
        <f>IF(compute_ManualOverrideSPA="No", COUNTIFS(JSMVC!E$5:E$14987,UCDEffortSpread!D42, JSMVC!B$5:B$14987,Definition!C$11,JSMVC!D$5:D$14987,Definition!I$3),0)</f>
        <v>0</v>
      </c>
      <c r="R366" s="204">
        <f>(Definition!M366*Definition!E$11)</f>
        <v>0</v>
      </c>
      <c r="S366" s="204">
        <f>(Definition!N366*Definition!F$11)</f>
        <v>0</v>
      </c>
      <c r="T366" s="204">
        <f>(Definition!O366*Definition!G$11)</f>
        <v>0</v>
      </c>
      <c r="U366" s="204">
        <f>(Definition!P366*Definition!H$11)</f>
        <v>0</v>
      </c>
      <c r="V366" s="204">
        <f>(Definition!Q366*Definition!I$11)</f>
        <v>0</v>
      </c>
      <c r="W366" s="203">
        <f t="shared" si="35"/>
        <v>0</v>
      </c>
      <c r="X366" s="206">
        <f t="shared" si="33"/>
        <v>0</v>
      </c>
    </row>
    <row r="367" spans="12:24">
      <c r="L367" s="423"/>
      <c r="M367" s="68">
        <f>IF(compute_ManualOverrideSPA="No", COUNTIFS(JSMVC!E$5:E$14987,UCDEffortSpread!D43, JSMVC!B$5:B$14987,Definition!C$11,JSMVC!D$5:D$14987,Definition!E$3),0)</f>
        <v>0</v>
      </c>
      <c r="N367" s="68">
        <f>IF(compute_ManualOverrideSPA="No", COUNTIFS(JSMVC!E$5:E$14987,UCDEffortSpread!D43, JSMVC!B$5:B$14987,Definition!C$11,JSMVC!D$5:D$14987,Definition!F$3),0)</f>
        <v>0</v>
      </c>
      <c r="O367" s="68">
        <f>IF(compute_ManualOverrideSPA="No", COUNTIFS(JSMVC!E$5:E$14987,UCDEffortSpread!D43, JSMVC!B$5:B$14987,Definition!C$11,JSMVC!D$5:D$14987,Definition!G$3),0)</f>
        <v>0</v>
      </c>
      <c r="P367" s="68">
        <f>IF(compute_ManualOverrideSPA="No", COUNTIFS(JSMVC!E$5:E$14987,UCDEffortSpread!D43, JSMVC!B$5:B$14987,Definition!C$11,JSMVC!D$5:D$14987,Definition!H$3),0)</f>
        <v>0</v>
      </c>
      <c r="Q367" s="68">
        <f>IF(compute_ManualOverrideSPA="No", COUNTIFS(JSMVC!E$5:E$14987,UCDEffortSpread!D43, JSMVC!B$5:B$14987,Definition!C$11,JSMVC!D$5:D$14987,Definition!I$3),0)</f>
        <v>0</v>
      </c>
      <c r="R367" s="204">
        <f>(Definition!M367*Definition!E$11)</f>
        <v>0</v>
      </c>
      <c r="S367" s="204">
        <f>(Definition!N367*Definition!F$11)</f>
        <v>0</v>
      </c>
      <c r="T367" s="204">
        <f>(Definition!O367*Definition!G$11)</f>
        <v>0</v>
      </c>
      <c r="U367" s="204">
        <f>(Definition!P367*Definition!H$11)</f>
        <v>0</v>
      </c>
      <c r="V367" s="204">
        <f>(Definition!Q367*Definition!I$11)</f>
        <v>0</v>
      </c>
      <c r="W367" s="203">
        <f t="shared" si="35"/>
        <v>0</v>
      </c>
      <c r="X367" s="206">
        <f t="shared" si="33"/>
        <v>0</v>
      </c>
    </row>
    <row r="368" spans="12:24">
      <c r="L368" s="423"/>
      <c r="M368" s="68">
        <f>IF(compute_ManualOverrideSPA="No", COUNTIFS(JSMVC!E$5:E$14987,UCDEffortSpread!D44, JSMVC!B$5:B$14987,Definition!C$11,JSMVC!D$5:D$14987,Definition!E$3),0)</f>
        <v>0</v>
      </c>
      <c r="N368" s="68">
        <f>IF(compute_ManualOverrideSPA="No", COUNTIFS(JSMVC!E$5:E$14987,UCDEffortSpread!D44, JSMVC!B$5:B$14987,Definition!C$11,JSMVC!D$5:D$14987,Definition!F$3),0)</f>
        <v>0</v>
      </c>
      <c r="O368" s="68">
        <f>IF(compute_ManualOverrideSPA="No", COUNTIFS(JSMVC!E$5:E$14987,UCDEffortSpread!D44, JSMVC!B$5:B$14987,Definition!C$11,JSMVC!D$5:D$14987,Definition!G$3),0)</f>
        <v>0</v>
      </c>
      <c r="P368" s="68">
        <f>IF(compute_ManualOverrideSPA="No", COUNTIFS(JSMVC!E$5:E$14987,UCDEffortSpread!D44, JSMVC!B$5:B$14987,Definition!C$11,JSMVC!D$5:D$14987,Definition!H$3),0)</f>
        <v>0</v>
      </c>
      <c r="Q368" s="68">
        <f>IF(compute_ManualOverrideSPA="No", COUNTIFS(JSMVC!E$5:E$14987,UCDEffortSpread!D44, JSMVC!B$5:B$14987,Definition!C$11,JSMVC!D$5:D$14987,Definition!I$3),0)</f>
        <v>0</v>
      </c>
      <c r="R368" s="204">
        <f>(Definition!M368*Definition!E$11)</f>
        <v>0</v>
      </c>
      <c r="S368" s="204">
        <f>(Definition!N368*Definition!F$11)</f>
        <v>0</v>
      </c>
      <c r="T368" s="204">
        <f>(Definition!O368*Definition!G$11)</f>
        <v>0</v>
      </c>
      <c r="U368" s="204">
        <f>(Definition!P368*Definition!H$11)</f>
        <v>0</v>
      </c>
      <c r="V368" s="204">
        <f>(Definition!Q368*Definition!I$11)</f>
        <v>0</v>
      </c>
      <c r="W368" s="203">
        <f t="shared" si="35"/>
        <v>0</v>
      </c>
      <c r="X368" s="206">
        <f t="shared" si="33"/>
        <v>0</v>
      </c>
    </row>
    <row r="369" spans="12:24">
      <c r="L369" s="423"/>
      <c r="M369" s="68">
        <f>IF(compute_ManualOverrideSPA="No", COUNTIFS(JSMVC!E$5:E$14987,UCDEffortSpread!D45, JSMVC!B$5:B$14987,Definition!C$11,JSMVC!D$5:D$14987,Definition!E$3),0)</f>
        <v>0</v>
      </c>
      <c r="N369" s="68">
        <f>IF(compute_ManualOverrideSPA="No", COUNTIFS(JSMVC!E$5:E$14987,UCDEffortSpread!D45, JSMVC!B$5:B$14987,Definition!C$11,JSMVC!D$5:D$14987,Definition!F$3),0)</f>
        <v>0</v>
      </c>
      <c r="O369" s="68">
        <f>IF(compute_ManualOverrideSPA="No", COUNTIFS(JSMVC!E$5:E$14987,UCDEffortSpread!D45, JSMVC!B$5:B$14987,Definition!C$11,JSMVC!D$5:D$14987,Definition!G$3),0)</f>
        <v>0</v>
      </c>
      <c r="P369" s="68">
        <f>IF(compute_ManualOverrideSPA="No", COUNTIFS(JSMVC!E$5:E$14987,UCDEffortSpread!D45, JSMVC!B$5:B$14987,Definition!C$11,JSMVC!D$5:D$14987,Definition!H$3),0)</f>
        <v>0</v>
      </c>
      <c r="Q369" s="68">
        <f>IF(compute_ManualOverrideSPA="No", COUNTIFS(JSMVC!E$5:E$14987,UCDEffortSpread!D45, JSMVC!B$5:B$14987,Definition!C$11,JSMVC!D$5:D$14987,Definition!I$3),0)</f>
        <v>0</v>
      </c>
      <c r="R369" s="204">
        <f>(Definition!M369*Definition!E$11)</f>
        <v>0</v>
      </c>
      <c r="S369" s="204">
        <f>(Definition!N369*Definition!F$11)</f>
        <v>0</v>
      </c>
      <c r="T369" s="204">
        <f>(Definition!O369*Definition!G$11)</f>
        <v>0</v>
      </c>
      <c r="U369" s="204">
        <f>(Definition!P369*Definition!H$11)</f>
        <v>0</v>
      </c>
      <c r="V369" s="204">
        <f>(Definition!Q369*Definition!I$11)</f>
        <v>0</v>
      </c>
      <c r="W369" s="203">
        <f t="shared" si="35"/>
        <v>0</v>
      </c>
      <c r="X369" s="206">
        <f t="shared" si="33"/>
        <v>0</v>
      </c>
    </row>
    <row r="370" spans="12:24">
      <c r="L370" s="423"/>
      <c r="M370" s="68">
        <f>IF(compute_ManualOverrideSPA="No", COUNTIFS(JSMVC!E$5:E$14987,UCDEffortSpread!D46, JSMVC!B$5:B$14987,Definition!C$11,JSMVC!D$5:D$14987,Definition!E$3),0)</f>
        <v>0</v>
      </c>
      <c r="N370" s="68">
        <f>IF(compute_ManualOverrideSPA="No", COUNTIFS(JSMVC!E$5:E$14987,UCDEffortSpread!D46, JSMVC!B$5:B$14987,Definition!C$11,JSMVC!D$5:D$14987,Definition!F$3),0)</f>
        <v>0</v>
      </c>
      <c r="O370" s="68">
        <f>IF(compute_ManualOverrideSPA="No", COUNTIFS(JSMVC!E$5:E$14987,UCDEffortSpread!D46, JSMVC!B$5:B$14987,Definition!C$11,JSMVC!D$5:D$14987,Definition!G$3),0)</f>
        <v>0</v>
      </c>
      <c r="P370" s="68">
        <f>IF(compute_ManualOverrideSPA="No", COUNTIFS(JSMVC!E$5:E$14987,UCDEffortSpread!D46, JSMVC!B$5:B$14987,Definition!C$11,JSMVC!D$5:D$14987,Definition!H$3),0)</f>
        <v>0</v>
      </c>
      <c r="Q370" s="68">
        <f>IF(compute_ManualOverrideSPA="No", COUNTIFS(JSMVC!E$5:E$14987,UCDEffortSpread!D46, JSMVC!B$5:B$14987,Definition!C$11,JSMVC!D$5:D$14987,Definition!I$3),0)</f>
        <v>0</v>
      </c>
      <c r="R370" s="204">
        <f>(Definition!M370*Definition!E$11)</f>
        <v>0</v>
      </c>
      <c r="S370" s="204">
        <f>(Definition!N370*Definition!F$11)</f>
        <v>0</v>
      </c>
      <c r="T370" s="204">
        <f>(Definition!O370*Definition!G$11)</f>
        <v>0</v>
      </c>
      <c r="U370" s="204">
        <f>(Definition!P370*Definition!H$11)</f>
        <v>0</v>
      </c>
      <c r="V370" s="204">
        <f>(Definition!Q370*Definition!I$11)</f>
        <v>0</v>
      </c>
      <c r="W370" s="203">
        <f t="shared" si="35"/>
        <v>0</v>
      </c>
      <c r="X370" s="206">
        <f t="shared" si="33"/>
        <v>0</v>
      </c>
    </row>
    <row r="371" spans="12:24">
      <c r="L371" s="423"/>
      <c r="M371" s="68">
        <f>IF(compute_ManualOverrideSPA="No", COUNTIFS(JSMVC!E$5:E$14987,UCDEffortSpread!D47, JSMVC!B$5:B$14987,Definition!C$11,JSMVC!D$5:D$14987,Definition!E$3),0)</f>
        <v>0</v>
      </c>
      <c r="N371" s="68">
        <f>IF(compute_ManualOverrideSPA="No", COUNTIFS(JSMVC!E$5:E$14987,UCDEffortSpread!D47, JSMVC!B$5:B$14987,Definition!C$11,JSMVC!D$5:D$14987,Definition!F$3),0)</f>
        <v>0</v>
      </c>
      <c r="O371" s="68">
        <f>IF(compute_ManualOverrideSPA="No", COUNTIFS(JSMVC!E$5:E$14987,UCDEffortSpread!D47, JSMVC!B$5:B$14987,Definition!C$11,JSMVC!D$5:D$14987,Definition!G$3),0)</f>
        <v>0</v>
      </c>
      <c r="P371" s="68">
        <f>IF(compute_ManualOverrideSPA="No", COUNTIFS(JSMVC!E$5:E$14987,UCDEffortSpread!D47, JSMVC!B$5:B$14987,Definition!C$11,JSMVC!D$5:D$14987,Definition!H$3),0)</f>
        <v>0</v>
      </c>
      <c r="Q371" s="68">
        <f>IF(compute_ManualOverrideSPA="No", COUNTIFS(JSMVC!E$5:E$14987,UCDEffortSpread!D47, JSMVC!B$5:B$14987,Definition!C$11,JSMVC!D$5:D$14987,Definition!I$3),0)</f>
        <v>0</v>
      </c>
      <c r="R371" s="204">
        <f>(Definition!M371*Definition!E$11)</f>
        <v>0</v>
      </c>
      <c r="S371" s="204">
        <f>(Definition!N371*Definition!F$11)</f>
        <v>0</v>
      </c>
      <c r="T371" s="204">
        <f>(Definition!O371*Definition!G$11)</f>
        <v>0</v>
      </c>
      <c r="U371" s="204">
        <f>(Definition!P371*Definition!H$11)</f>
        <v>0</v>
      </c>
      <c r="V371" s="204">
        <f>(Definition!Q371*Definition!I$11)</f>
        <v>0</v>
      </c>
      <c r="W371" s="203">
        <f t="shared" si="35"/>
        <v>0</v>
      </c>
      <c r="X371" s="206">
        <f t="shared" si="33"/>
        <v>0</v>
      </c>
    </row>
    <row r="372" spans="12:24">
      <c r="L372" s="423"/>
      <c r="M372" s="68">
        <f>IF(compute_ManualOverrideSPA="No", COUNTIFS(JSMVC!E$5:E$14987,UCDEffortSpread!D48, JSMVC!B$5:B$14987,Definition!C$11,JSMVC!D$5:D$14987,Definition!E$3),0)</f>
        <v>0</v>
      </c>
      <c r="N372" s="68">
        <f>IF(compute_ManualOverrideSPA="No", COUNTIFS(JSMVC!E$5:E$14987,UCDEffortSpread!D48, JSMVC!B$5:B$14987,Definition!C$11,JSMVC!D$5:D$14987,Definition!F$3),0)</f>
        <v>0</v>
      </c>
      <c r="O372" s="68">
        <f>IF(compute_ManualOverrideSPA="No", COUNTIFS(JSMVC!E$5:E$14987,UCDEffortSpread!D48, JSMVC!B$5:B$14987,Definition!C$11,JSMVC!D$5:D$14987,Definition!G$3),0)</f>
        <v>0</v>
      </c>
      <c r="P372" s="68">
        <f>IF(compute_ManualOverrideSPA="No", COUNTIFS(JSMVC!E$5:E$14987,UCDEffortSpread!D48, JSMVC!B$5:B$14987,Definition!C$11,JSMVC!D$5:D$14987,Definition!H$3),0)</f>
        <v>0</v>
      </c>
      <c r="Q372" s="68">
        <f>IF(compute_ManualOverrideSPA="No", COUNTIFS(JSMVC!E$5:E$14987,UCDEffortSpread!D48, JSMVC!B$5:B$14987,Definition!C$11,JSMVC!D$5:D$14987,Definition!I$3),0)</f>
        <v>0</v>
      </c>
      <c r="R372" s="204">
        <f>(Definition!M372*Definition!E$11)</f>
        <v>0</v>
      </c>
      <c r="S372" s="204">
        <f>(Definition!N372*Definition!F$11)</f>
        <v>0</v>
      </c>
      <c r="T372" s="204">
        <f>(Definition!O372*Definition!G$11)</f>
        <v>0</v>
      </c>
      <c r="U372" s="204">
        <f>(Definition!P372*Definition!H$11)</f>
        <v>0</v>
      </c>
      <c r="V372" s="204">
        <f>(Definition!Q372*Definition!I$11)</f>
        <v>0</v>
      </c>
      <c r="W372" s="203">
        <f t="shared" si="35"/>
        <v>0</v>
      </c>
      <c r="X372" s="206">
        <f t="shared" ref="X372:X435" si="36">IF(W372&lt;&gt;0,SUM(R372:V372),0)</f>
        <v>0</v>
      </c>
    </row>
    <row r="373" spans="12:24">
      <c r="L373" s="423"/>
      <c r="M373" s="68">
        <f>IF(compute_ManualOverrideSPA="No", COUNTIFS(JSMVC!E$5:E$14987,UCDEffortSpread!D49, JSMVC!B$5:B$14987,Definition!C$11,JSMVC!D$5:D$14987,Definition!E$3),0)</f>
        <v>0</v>
      </c>
      <c r="N373" s="68">
        <f>IF(compute_ManualOverrideSPA="No", COUNTIFS(JSMVC!E$5:E$14987,UCDEffortSpread!D49, JSMVC!B$5:B$14987,Definition!C$11,JSMVC!D$5:D$14987,Definition!F$3),0)</f>
        <v>0</v>
      </c>
      <c r="O373" s="68">
        <f>IF(compute_ManualOverrideSPA="No", COUNTIFS(JSMVC!E$5:E$14987,UCDEffortSpread!D49, JSMVC!B$5:B$14987,Definition!C$11,JSMVC!D$5:D$14987,Definition!G$3),0)</f>
        <v>0</v>
      </c>
      <c r="P373" s="68">
        <f>IF(compute_ManualOverrideSPA="No", COUNTIFS(JSMVC!E$5:E$14987,UCDEffortSpread!D49, JSMVC!B$5:B$14987,Definition!C$11,JSMVC!D$5:D$14987,Definition!H$3),0)</f>
        <v>0</v>
      </c>
      <c r="Q373" s="68">
        <f>IF(compute_ManualOverrideSPA="No", COUNTIFS(JSMVC!E$5:E$14987,UCDEffortSpread!D49, JSMVC!B$5:B$14987,Definition!C$11,JSMVC!D$5:D$14987,Definition!I$3),0)</f>
        <v>0</v>
      </c>
      <c r="R373" s="204">
        <f>(Definition!M373*Definition!E$11)</f>
        <v>0</v>
      </c>
      <c r="S373" s="204">
        <f>(Definition!N373*Definition!F$11)</f>
        <v>0</v>
      </c>
      <c r="T373" s="204">
        <f>(Definition!O373*Definition!G$11)</f>
        <v>0</v>
      </c>
      <c r="U373" s="204">
        <f>(Definition!P373*Definition!H$11)</f>
        <v>0</v>
      </c>
      <c r="V373" s="204">
        <f>(Definition!Q373*Definition!I$11)</f>
        <v>0</v>
      </c>
      <c r="W373" s="203">
        <f t="shared" si="35"/>
        <v>0</v>
      </c>
      <c r="X373" s="206">
        <f t="shared" si="36"/>
        <v>0</v>
      </c>
    </row>
    <row r="374" spans="12:24">
      <c r="L374" s="423"/>
      <c r="M374" s="68">
        <f>IF(compute_ManualOverrideSPA="No", COUNTIFS(JSMVC!E$5:E$14987,UCDEffortSpread!D50, JSMVC!B$5:B$14987,Definition!C$11,JSMVC!D$5:D$14987,Definition!E$3),0)</f>
        <v>0</v>
      </c>
      <c r="N374" s="68">
        <f>IF(compute_ManualOverrideSPA="No", COUNTIFS(JSMVC!E$5:E$14987,UCDEffortSpread!D50, JSMVC!B$5:B$14987,Definition!C$11,JSMVC!D$5:D$14987,Definition!F$3),0)</f>
        <v>0</v>
      </c>
      <c r="O374" s="68">
        <f>IF(compute_ManualOverrideSPA="No", COUNTIFS(JSMVC!E$5:E$14987,UCDEffortSpread!D50, JSMVC!B$5:B$14987,Definition!C$11,JSMVC!D$5:D$14987,Definition!G$3),0)</f>
        <v>0</v>
      </c>
      <c r="P374" s="68">
        <f>IF(compute_ManualOverrideSPA="No", COUNTIFS(JSMVC!E$5:E$14987,UCDEffortSpread!D50, JSMVC!B$5:B$14987,Definition!C$11,JSMVC!D$5:D$14987,Definition!H$3),0)</f>
        <v>0</v>
      </c>
      <c r="Q374" s="68">
        <f>IF(compute_ManualOverrideSPA="No", COUNTIFS(JSMVC!E$5:E$14987,UCDEffortSpread!D50, JSMVC!B$5:B$14987,Definition!C$11,JSMVC!D$5:D$14987,Definition!I$3),0)</f>
        <v>0</v>
      </c>
      <c r="R374" s="204">
        <f>(Definition!M374*Definition!E$11)</f>
        <v>0</v>
      </c>
      <c r="S374" s="204">
        <f>(Definition!N374*Definition!F$11)</f>
        <v>0</v>
      </c>
      <c r="T374" s="204">
        <f>(Definition!O374*Definition!G$11)</f>
        <v>0</v>
      </c>
      <c r="U374" s="204">
        <f>(Definition!P374*Definition!H$11)</f>
        <v>0</v>
      </c>
      <c r="V374" s="204">
        <f>(Definition!Q374*Definition!I$11)</f>
        <v>0</v>
      </c>
      <c r="W374" s="203">
        <f t="shared" si="35"/>
        <v>0</v>
      </c>
      <c r="X374" s="206">
        <f t="shared" si="36"/>
        <v>0</v>
      </c>
    </row>
    <row r="375" spans="12:24">
      <c r="L375" s="423"/>
      <c r="M375" s="68">
        <f>IF(compute_ManualOverrideSPA="No", COUNTIFS(JSMVC!E$5:E$14987,UCDEffortSpread!D51, JSMVC!B$5:B$14987,Definition!C$11,JSMVC!D$5:D$14987,Definition!E$3),0)</f>
        <v>0</v>
      </c>
      <c r="N375" s="68">
        <f>IF(compute_ManualOverrideSPA="No", COUNTIFS(JSMVC!E$5:E$14987,UCDEffortSpread!D51, JSMVC!B$5:B$14987,Definition!C$11,JSMVC!D$5:D$14987,Definition!F$3),0)</f>
        <v>0</v>
      </c>
      <c r="O375" s="68">
        <f>IF(compute_ManualOverrideSPA="No", COUNTIFS(JSMVC!E$5:E$14987,UCDEffortSpread!D51, JSMVC!B$5:B$14987,Definition!C$11,JSMVC!D$5:D$14987,Definition!G$3),0)</f>
        <v>0</v>
      </c>
      <c r="P375" s="68">
        <f>IF(compute_ManualOverrideSPA="No", COUNTIFS(JSMVC!E$5:E$14987,UCDEffortSpread!D51, JSMVC!B$5:B$14987,Definition!C$11,JSMVC!D$5:D$14987,Definition!H$3),0)</f>
        <v>0</v>
      </c>
      <c r="Q375" s="68">
        <f>IF(compute_ManualOverrideSPA="No", COUNTIFS(JSMVC!E$5:E$14987,UCDEffortSpread!D51, JSMVC!B$5:B$14987,Definition!C$11,JSMVC!D$5:D$14987,Definition!I$3),0)</f>
        <v>0</v>
      </c>
      <c r="R375" s="204">
        <f>(Definition!M375*Definition!E$11)</f>
        <v>0</v>
      </c>
      <c r="S375" s="204">
        <f>(Definition!N375*Definition!F$11)</f>
        <v>0</v>
      </c>
      <c r="T375" s="204">
        <f>(Definition!O375*Definition!G$11)</f>
        <v>0</v>
      </c>
      <c r="U375" s="204">
        <f>(Definition!P375*Definition!H$11)</f>
        <v>0</v>
      </c>
      <c r="V375" s="204">
        <f>(Definition!Q375*Definition!I$11)</f>
        <v>0</v>
      </c>
      <c r="W375" s="203">
        <f t="shared" si="35"/>
        <v>0</v>
      </c>
      <c r="X375" s="206">
        <f t="shared" si="36"/>
        <v>0</v>
      </c>
    </row>
    <row r="376" spans="12:24">
      <c r="L376" s="423"/>
      <c r="M376" s="68">
        <f>IF(compute_ManualOverrideSPA="No", COUNTIFS(JSMVC!E$5:E$14987,UCDEffortSpread!D52, JSMVC!B$5:B$14987,Definition!C$11,JSMVC!D$5:D$14987,Definition!E$3),0)</f>
        <v>0</v>
      </c>
      <c r="N376" s="68">
        <f>IF(compute_ManualOverrideSPA="No", COUNTIFS(JSMVC!E$5:E$14987,UCDEffortSpread!D52, JSMVC!B$5:B$14987,Definition!C$11,JSMVC!D$5:D$14987,Definition!F$3),0)</f>
        <v>0</v>
      </c>
      <c r="O376" s="68">
        <f>IF(compute_ManualOverrideSPA="No", COUNTIFS(JSMVC!E$5:E$14987,UCDEffortSpread!D52, JSMVC!B$5:B$14987,Definition!C$11,JSMVC!D$5:D$14987,Definition!G$3),0)</f>
        <v>0</v>
      </c>
      <c r="P376" s="68">
        <f>IF(compute_ManualOverrideSPA="No", COUNTIFS(JSMVC!E$5:E$14987,UCDEffortSpread!D52, JSMVC!B$5:B$14987,Definition!C$11,JSMVC!D$5:D$14987,Definition!H$3),0)</f>
        <v>0</v>
      </c>
      <c r="Q376" s="68">
        <f>IF(compute_ManualOverrideSPA="No", COUNTIFS(JSMVC!E$5:E$14987,UCDEffortSpread!D52, JSMVC!B$5:B$14987,Definition!C$11,JSMVC!D$5:D$14987,Definition!I$3),0)</f>
        <v>0</v>
      </c>
      <c r="R376" s="204">
        <f>(Definition!M376*Definition!E$11)</f>
        <v>0</v>
      </c>
      <c r="S376" s="204">
        <f>(Definition!N376*Definition!F$11)</f>
        <v>0</v>
      </c>
      <c r="T376" s="204">
        <f>(Definition!O376*Definition!G$11)</f>
        <v>0</v>
      </c>
      <c r="U376" s="204">
        <f>(Definition!P376*Definition!H$11)</f>
        <v>0</v>
      </c>
      <c r="V376" s="204">
        <f>(Definition!Q376*Definition!I$11)</f>
        <v>0</v>
      </c>
      <c r="W376" s="203">
        <f t="shared" si="35"/>
        <v>0</v>
      </c>
      <c r="X376" s="206">
        <f t="shared" si="36"/>
        <v>0</v>
      </c>
    </row>
    <row r="377" spans="12:24">
      <c r="L377" s="423"/>
      <c r="M377" s="68">
        <f>IF(compute_ManualOverrideSPA="No", COUNTIFS(JSMVC!E$5:E$14987,UCDEffortSpread!D53, JSMVC!B$5:B$14987,Definition!C$11,JSMVC!D$5:D$14987,Definition!E$3),0)</f>
        <v>0</v>
      </c>
      <c r="N377" s="68">
        <f>IF(compute_ManualOverrideSPA="No", COUNTIFS(JSMVC!E$5:E$14987,UCDEffortSpread!D53, JSMVC!B$5:B$14987,Definition!C$11,JSMVC!D$5:D$14987,Definition!F$3),0)</f>
        <v>0</v>
      </c>
      <c r="O377" s="68">
        <f>IF(compute_ManualOverrideSPA="No", COUNTIFS(JSMVC!E$5:E$14987,UCDEffortSpread!D53, JSMVC!B$5:B$14987,Definition!C$11,JSMVC!D$5:D$14987,Definition!G$3),0)</f>
        <v>0</v>
      </c>
      <c r="P377" s="68">
        <f>IF(compute_ManualOverrideSPA="No", COUNTIFS(JSMVC!E$5:E$14987,UCDEffortSpread!D53, JSMVC!B$5:B$14987,Definition!C$11,JSMVC!D$5:D$14987,Definition!H$3),0)</f>
        <v>0</v>
      </c>
      <c r="Q377" s="68">
        <f>IF(compute_ManualOverrideSPA="No", COUNTIFS(JSMVC!E$5:E$14987,UCDEffortSpread!D53, JSMVC!B$5:B$14987,Definition!C$11,JSMVC!D$5:D$14987,Definition!I$3),0)</f>
        <v>0</v>
      </c>
      <c r="R377" s="204">
        <f>(Definition!M377*Definition!E$11)</f>
        <v>0</v>
      </c>
      <c r="S377" s="204">
        <f>(Definition!N377*Definition!F$11)</f>
        <v>0</v>
      </c>
      <c r="T377" s="204">
        <f>(Definition!O377*Definition!G$11)</f>
        <v>0</v>
      </c>
      <c r="U377" s="204">
        <f>(Definition!P377*Definition!H$11)</f>
        <v>0</v>
      </c>
      <c r="V377" s="204">
        <f>(Definition!Q377*Definition!I$11)</f>
        <v>0</v>
      </c>
      <c r="W377" s="203">
        <f t="shared" si="35"/>
        <v>0</v>
      </c>
      <c r="X377" s="206">
        <f t="shared" si="36"/>
        <v>0</v>
      </c>
    </row>
    <row r="378" spans="12:24">
      <c r="L378" s="424"/>
      <c r="M378" s="68">
        <f>IF(compute_ManualOverrideSPA="No", COUNTIFS(JSMVC!E$5:E$14987,UCDEffortSpread!D54, JSMVC!B$5:B$14987,Definition!C$11,JSMVC!D$5:D$14987,Definition!E$3),0)</f>
        <v>0</v>
      </c>
      <c r="N378" s="68">
        <f>IF(compute_ManualOverrideSPA="No", COUNTIFS(JSMVC!E$5:E$14987,UCDEffortSpread!D54, JSMVC!B$5:B$14987,Definition!C$11,JSMVC!D$5:D$14987,Definition!F$3),0)</f>
        <v>0</v>
      </c>
      <c r="O378" s="68">
        <f>IF(compute_ManualOverrideSPA="No", COUNTIFS(JSMVC!E$5:E$14987,UCDEffortSpread!D54, JSMVC!B$5:B$14987,Definition!C$11,JSMVC!D$5:D$14987,Definition!G$3),0)</f>
        <v>0</v>
      </c>
      <c r="P378" s="68">
        <f>IF(compute_ManualOverrideSPA="No", COUNTIFS(JSMVC!E$5:E$14987,UCDEffortSpread!D54, JSMVC!B$5:B$14987,Definition!C$11,JSMVC!D$5:D$14987,Definition!H$3),0)</f>
        <v>0</v>
      </c>
      <c r="Q378" s="68">
        <f>IF(compute_ManualOverrideSPA="No", COUNTIFS(JSMVC!E$5:E$14987,UCDEffortSpread!D54, JSMVC!B$5:B$14987,Definition!C$11,JSMVC!D$5:D$14987,Definition!I$3),0)</f>
        <v>0</v>
      </c>
      <c r="R378" s="204">
        <f>(Definition!M378*Definition!E$11)</f>
        <v>0</v>
      </c>
      <c r="S378" s="204">
        <f>(Definition!N378*Definition!F$11)</f>
        <v>0</v>
      </c>
      <c r="T378" s="204">
        <f>(Definition!O378*Definition!G$11)</f>
        <v>0</v>
      </c>
      <c r="U378" s="204">
        <f>(Definition!P378*Definition!H$11)</f>
        <v>0</v>
      </c>
      <c r="V378" s="204">
        <f>(Definition!Q378*Definition!I$11)</f>
        <v>0</v>
      </c>
      <c r="W378" s="203">
        <f t="shared" si="35"/>
        <v>0</v>
      </c>
      <c r="X378" s="206">
        <f t="shared" si="36"/>
        <v>0</v>
      </c>
    </row>
    <row r="379" spans="12:24">
      <c r="L379" s="422" t="str">
        <f>C12</f>
        <v>Test Automation</v>
      </c>
      <c r="M379" s="68">
        <f>IF(compute_ManualOverrideSPA="No", COUNTIFS(JSMVC!E$5:E$14987,UCDEffortSpread!D5, JSMVC!B$5:B$14987,Definition!C$12,JSMVC!D$5:D$14987,Definition!E$3),JSMVC!H$20)</f>
        <v>0</v>
      </c>
      <c r="N379" s="68">
        <f>IF(compute_ManualOverrideSPA="No", COUNTIFS(JSMVC!E$5:E$14987,UCDEffortSpread!D5, JSMVC!B$5:B$14987,Definition!C$12,JSMVC!D$5:D$14987,Definition!F$3),JSMVC!I$20)</f>
        <v>0</v>
      </c>
      <c r="O379" s="68">
        <f>IF(compute_ManualOverrideSPA="No", COUNTIFS(JSMVC!E$5:E$14987,UCDEffortSpread!D5, JSMVC!B$5:B$14987,Definition!C$12,JSMVC!D$5:D$14987,Definition!G$3),JSMVC!J$20)</f>
        <v>0</v>
      </c>
      <c r="P379" s="68">
        <f>IF(compute_ManualOverrideSPA="No", COUNTIFS(JSMVC!E$5:E$14987,UCDEffortSpread!D5, JSMVC!B$5:B$14987,Definition!C$12,JSMVC!D$5:D$14987,Definition!H$3),JSMVC!K$20)</f>
        <v>0</v>
      </c>
      <c r="Q379" s="68">
        <f>IF(compute_ManualOverrideSPA="No", COUNTIFS(JSMVC!E$5:E$14987,UCDEffortSpread!D5, JSMVC!B$5:B$14987,Definition!C$12,JSMVC!D$5:D$14987,Definition!I$3),JSMVC!L$20)</f>
        <v>0</v>
      </c>
      <c r="R379" s="203">
        <f>(Definition!M379*Definition!E$12)</f>
        <v>0</v>
      </c>
      <c r="S379" s="203">
        <f>(Definition!N379*Definition!F$12)</f>
        <v>0</v>
      </c>
      <c r="T379" s="203">
        <f>(Definition!O379*Definition!G$12)</f>
        <v>0</v>
      </c>
      <c r="U379" s="203">
        <f>(Definition!P379*Definition!H$12)</f>
        <v>0</v>
      </c>
      <c r="V379" s="203">
        <f>(Definition!Q379*Definition!I$12)</f>
        <v>0</v>
      </c>
      <c r="W379" s="204">
        <f>SUM(R379:V379)</f>
        <v>0</v>
      </c>
      <c r="X379" s="206">
        <f>IF(W379&lt;&gt;0,SUM(R379:V379),0)</f>
        <v>0</v>
      </c>
    </row>
    <row r="380" spans="12:24">
      <c r="L380" s="423"/>
      <c r="M380" s="68">
        <f>IF(compute_ManualOverrideSPA="No", COUNTIFS(JSMVC!E$5:E$14987,UCDEffortSpread!D6, JSMVC!B$5:B$14987,Definition!C$12,JSMVC!D$5:D$14987,Definition!E$3),0)</f>
        <v>0</v>
      </c>
      <c r="N380" s="68">
        <f>IF(compute_ManualOverrideSPA="No", COUNTIFS(JSMVC!E$5:E$14987,UCDEffortSpread!D6, JSMVC!B$5:B$14987,Definition!C$12,JSMVC!D$5:D$14987,Definition!F$3),0)</f>
        <v>0</v>
      </c>
      <c r="O380" s="68">
        <f>IF(compute_ManualOverrideSPA="No", COUNTIFS(JSMVC!E$5:E$14987,UCDEffortSpread!D6, JSMVC!B$5:B$14987,Definition!C$12,JSMVC!D$5:D$14987,Definition!G$3),0)</f>
        <v>0</v>
      </c>
      <c r="P380" s="68">
        <f>IF(compute_ManualOverrideSPA="No", COUNTIFS(JSMVC!E$5:E$14987,UCDEffortSpread!D6, JSMVC!B$5:B$14987,Definition!C$12,JSMVC!D$5:D$14987,Definition!H$3),0)</f>
        <v>0</v>
      </c>
      <c r="Q380" s="68">
        <f>IF(compute_ManualOverrideSPA="No", COUNTIFS(JSMVC!E$5:E$14987,UCDEffortSpread!D6, JSMVC!B$5:B$14987,Definition!C$12,JSMVC!D$5:D$14987,Definition!I$3),0)</f>
        <v>0</v>
      </c>
      <c r="R380" s="203">
        <f>(Definition!M380*Definition!E$12)</f>
        <v>0</v>
      </c>
      <c r="S380" s="203">
        <f>(Definition!N380*Definition!F$12)</f>
        <v>0</v>
      </c>
      <c r="T380" s="203">
        <f>(Definition!O380*Definition!G$12)</f>
        <v>0</v>
      </c>
      <c r="U380" s="203">
        <f>(Definition!P380*Definition!H$12)</f>
        <v>0</v>
      </c>
      <c r="V380" s="203">
        <f>(Definition!Q380*Definition!I$12)</f>
        <v>0</v>
      </c>
      <c r="W380" s="204">
        <f t="shared" ref="W380:W393" si="37">SUM(R380:V380)</f>
        <v>0</v>
      </c>
      <c r="X380" s="206">
        <f t="shared" si="36"/>
        <v>0</v>
      </c>
    </row>
    <row r="381" spans="12:24">
      <c r="L381" s="423"/>
      <c r="M381" s="68">
        <f>IF(compute_ManualOverrideSPA="No", COUNTIFS(JSMVC!E$5:E$14987,UCDEffortSpread!D7, JSMVC!B$5:B$14987,Definition!C$12,JSMVC!D$5:D$14987,Definition!E$3),0)</f>
        <v>0</v>
      </c>
      <c r="N381" s="68">
        <f>IF(compute_ManualOverrideSPA="No", COUNTIFS(JSMVC!E$5:E$14987,UCDEffortSpread!D7, JSMVC!B$5:B$14987,Definition!C$12,JSMVC!D$5:D$14987,Definition!F$3),0)</f>
        <v>0</v>
      </c>
      <c r="O381" s="68">
        <f>IF(compute_ManualOverrideSPA="No", COUNTIFS(JSMVC!E$5:E$14987,UCDEffortSpread!D7, JSMVC!B$5:B$14987,Definition!C$12,JSMVC!D$5:D$14987,Definition!G$3),0)</f>
        <v>0</v>
      </c>
      <c r="P381" s="68">
        <f>IF(compute_ManualOverrideSPA="No", COUNTIFS(JSMVC!E$5:E$14987,UCDEffortSpread!D7, JSMVC!B$5:B$14987,Definition!C$12,JSMVC!D$5:D$14987,Definition!H$3),0)</f>
        <v>0</v>
      </c>
      <c r="Q381" s="68">
        <f>IF(compute_ManualOverrideSPA="No", COUNTIFS(JSMVC!E$5:E$14987,UCDEffortSpread!D7, JSMVC!B$5:B$14987,Definition!C$12,JSMVC!D$5:D$14987,Definition!I$3),0)</f>
        <v>0</v>
      </c>
      <c r="R381" s="203">
        <f>(Definition!M381*Definition!E$12)</f>
        <v>0</v>
      </c>
      <c r="S381" s="203">
        <f>(Definition!N381*Definition!F$12)</f>
        <v>0</v>
      </c>
      <c r="T381" s="203">
        <f>(Definition!O381*Definition!G$12)</f>
        <v>0</v>
      </c>
      <c r="U381" s="203">
        <f>(Definition!P381*Definition!H$12)</f>
        <v>0</v>
      </c>
      <c r="V381" s="203">
        <f>(Definition!Q381*Definition!I$12)</f>
        <v>0</v>
      </c>
      <c r="W381" s="204">
        <f t="shared" si="37"/>
        <v>0</v>
      </c>
      <c r="X381" s="206">
        <f t="shared" si="36"/>
        <v>0</v>
      </c>
    </row>
    <row r="382" spans="12:24">
      <c r="L382" s="423"/>
      <c r="M382" s="68">
        <f>IF(compute_ManualOverrideSPA="No", COUNTIFS(JSMVC!E$5:E$14987,UCDEffortSpread!D8, JSMVC!B$5:B$14987,Definition!C$12,JSMVC!D$5:D$14987,Definition!E$3),0)</f>
        <v>0</v>
      </c>
      <c r="N382" s="68">
        <f>IF(compute_ManualOverrideSPA="No", COUNTIFS(JSMVC!E$5:E$14987,UCDEffortSpread!D8, JSMVC!B$5:B$14987,Definition!C$12,JSMVC!D$5:D$14987,Definition!F$3),0)</f>
        <v>0</v>
      </c>
      <c r="O382" s="68">
        <f>IF(compute_ManualOverrideSPA="No", COUNTIFS(JSMVC!E$5:E$14987,UCDEffortSpread!D8, JSMVC!B$5:B$14987,Definition!C$12,JSMVC!D$5:D$14987,Definition!G$3),0)</f>
        <v>0</v>
      </c>
      <c r="P382" s="68">
        <f>IF(compute_ManualOverrideSPA="No", COUNTIFS(JSMVC!E$5:E$14987,UCDEffortSpread!D8, JSMVC!B$5:B$14987,Definition!C$12,JSMVC!D$5:D$14987,Definition!H$3),0)</f>
        <v>0</v>
      </c>
      <c r="Q382" s="68">
        <f>IF(compute_ManualOverrideSPA="No", COUNTIFS(JSMVC!E$5:E$14987,UCDEffortSpread!D8, JSMVC!B$5:B$14987,Definition!C$12,JSMVC!D$5:D$14987,Definition!I$3),0)</f>
        <v>0</v>
      </c>
      <c r="R382" s="203">
        <f>(Definition!M382*Definition!E$12)</f>
        <v>0</v>
      </c>
      <c r="S382" s="203">
        <f>(Definition!N382*Definition!F$12)</f>
        <v>0</v>
      </c>
      <c r="T382" s="203">
        <f>(Definition!O382*Definition!G$12)</f>
        <v>0</v>
      </c>
      <c r="U382" s="203">
        <f>(Definition!P382*Definition!H$12)</f>
        <v>0</v>
      </c>
      <c r="V382" s="203">
        <f>(Definition!Q382*Definition!I$12)</f>
        <v>0</v>
      </c>
      <c r="W382" s="204">
        <f t="shared" si="37"/>
        <v>0</v>
      </c>
      <c r="X382" s="206">
        <f t="shared" si="36"/>
        <v>0</v>
      </c>
    </row>
    <row r="383" spans="12:24">
      <c r="L383" s="423"/>
      <c r="M383" s="68">
        <f>IF(compute_ManualOverrideSPA="No", COUNTIFS(JSMVC!E$5:E$14987,UCDEffortSpread!D9, JSMVC!B$5:B$14987,Definition!C$12,JSMVC!D$5:D$14987,Definition!E$3),0)</f>
        <v>0</v>
      </c>
      <c r="N383" s="68">
        <f>IF(compute_ManualOverrideSPA="No", COUNTIFS(JSMVC!E$5:E$14987,UCDEffortSpread!D9, JSMVC!B$5:B$14987,Definition!C$12,JSMVC!D$5:D$14987,Definition!F$3),0)</f>
        <v>0</v>
      </c>
      <c r="O383" s="68">
        <f>IF(compute_ManualOverrideSPA="No", COUNTIFS(JSMVC!E$5:E$14987,UCDEffortSpread!D9, JSMVC!B$5:B$14987,Definition!C$12,JSMVC!D$5:D$14987,Definition!G$3),0)</f>
        <v>0</v>
      </c>
      <c r="P383" s="68">
        <f>IF(compute_ManualOverrideSPA="No", COUNTIFS(JSMVC!E$5:E$14987,UCDEffortSpread!D9, JSMVC!B$5:B$14987,Definition!C$12,JSMVC!D$5:D$14987,Definition!H$3),0)</f>
        <v>0</v>
      </c>
      <c r="Q383" s="68">
        <f>IF(compute_ManualOverrideSPA="No", COUNTIFS(JSMVC!E$5:E$14987,UCDEffortSpread!D9, JSMVC!B$5:B$14987,Definition!C$12,JSMVC!D$5:D$14987,Definition!I$3),0)</f>
        <v>0</v>
      </c>
      <c r="R383" s="203">
        <f>(Definition!M383*Definition!E$12)</f>
        <v>0</v>
      </c>
      <c r="S383" s="203">
        <f>(Definition!N383*Definition!F$12)</f>
        <v>0</v>
      </c>
      <c r="T383" s="203">
        <f>(Definition!O383*Definition!G$12)</f>
        <v>0</v>
      </c>
      <c r="U383" s="203">
        <f>(Definition!P383*Definition!H$12)</f>
        <v>0</v>
      </c>
      <c r="V383" s="203">
        <f>(Definition!Q383*Definition!I$12)</f>
        <v>0</v>
      </c>
      <c r="W383" s="204">
        <f t="shared" si="37"/>
        <v>0</v>
      </c>
      <c r="X383" s="206">
        <f t="shared" si="36"/>
        <v>0</v>
      </c>
    </row>
    <row r="384" spans="12:24">
      <c r="L384" s="423"/>
      <c r="M384" s="68">
        <f>IF(compute_ManualOverrideSPA="No", COUNTIFS(JSMVC!E$5:E$14987,UCDEffortSpread!D10, JSMVC!B$5:B$14987,Definition!C$12,JSMVC!D$5:D$14987,Definition!E$3),0)</f>
        <v>0</v>
      </c>
      <c r="N384" s="68">
        <f>IF(compute_ManualOverrideSPA="No", COUNTIFS(JSMVC!E$5:E$14987,UCDEffortSpread!D10, JSMVC!B$5:B$14987,Definition!C$12,JSMVC!D$5:D$14987,Definition!F$3),0)</f>
        <v>0</v>
      </c>
      <c r="O384" s="68">
        <f>IF(compute_ManualOverrideSPA="No", COUNTIFS(JSMVC!E$5:E$14987,UCDEffortSpread!D10, JSMVC!B$5:B$14987,Definition!C$12,JSMVC!D$5:D$14987,Definition!G$3),0)</f>
        <v>0</v>
      </c>
      <c r="P384" s="68">
        <f>IF(compute_ManualOverrideSPA="No", COUNTIFS(JSMVC!E$5:E$14987,UCDEffortSpread!D10, JSMVC!B$5:B$14987,Definition!C$12,JSMVC!D$5:D$14987,Definition!H$3),0)</f>
        <v>0</v>
      </c>
      <c r="Q384" s="68">
        <f>IF(compute_ManualOverrideSPA="No", COUNTIFS(JSMVC!E$5:E$14987,UCDEffortSpread!D10, JSMVC!B$5:B$14987,Definition!C$12,JSMVC!D$5:D$14987,Definition!I$3),0)</f>
        <v>0</v>
      </c>
      <c r="R384" s="203">
        <f>(Definition!M384*Definition!E$12)</f>
        <v>0</v>
      </c>
      <c r="S384" s="203">
        <f>(Definition!N384*Definition!F$12)</f>
        <v>0</v>
      </c>
      <c r="T384" s="203">
        <f>(Definition!O384*Definition!G$12)</f>
        <v>0</v>
      </c>
      <c r="U384" s="203">
        <f>(Definition!P384*Definition!H$12)</f>
        <v>0</v>
      </c>
      <c r="V384" s="203">
        <f>(Definition!Q384*Definition!I$12)</f>
        <v>0</v>
      </c>
      <c r="W384" s="204">
        <f t="shared" si="37"/>
        <v>0</v>
      </c>
      <c r="X384" s="206">
        <f t="shared" si="36"/>
        <v>0</v>
      </c>
    </row>
    <row r="385" spans="12:24">
      <c r="L385" s="423"/>
      <c r="M385" s="68">
        <f>IF(compute_ManualOverrideSPA="No", COUNTIFS(JSMVC!E$5:E$14987,UCDEffortSpread!D11, JSMVC!B$5:B$14987,Definition!C$12,JSMVC!D$5:D$14987,Definition!E$3),0)</f>
        <v>0</v>
      </c>
      <c r="N385" s="68">
        <f>IF(compute_ManualOverrideSPA="No", COUNTIFS(JSMVC!E$5:E$14987,UCDEffortSpread!D11, JSMVC!B$5:B$14987,Definition!C$12,JSMVC!D$5:D$14987,Definition!F$3),0)</f>
        <v>0</v>
      </c>
      <c r="O385" s="68">
        <f>IF(compute_ManualOverrideSPA="No", COUNTIFS(JSMVC!E$5:E$14987,UCDEffortSpread!D11, JSMVC!B$5:B$14987,Definition!C$12,JSMVC!D$5:D$14987,Definition!G$3),0)</f>
        <v>0</v>
      </c>
      <c r="P385" s="68">
        <f>IF(compute_ManualOverrideSPA="No", COUNTIFS(JSMVC!E$5:E$14987,UCDEffortSpread!D11, JSMVC!B$5:B$14987,Definition!C$12,JSMVC!D$5:D$14987,Definition!H$3),0)</f>
        <v>0</v>
      </c>
      <c r="Q385" s="68">
        <f>IF(compute_ManualOverrideSPA="No", COUNTIFS(JSMVC!E$5:E$14987,UCDEffortSpread!D11, JSMVC!B$5:B$14987,Definition!C$12,JSMVC!D$5:D$14987,Definition!I$3),0)</f>
        <v>0</v>
      </c>
      <c r="R385" s="203">
        <f>(Definition!M385*Definition!E$12)</f>
        <v>0</v>
      </c>
      <c r="S385" s="203">
        <f>(Definition!N385*Definition!F$12)</f>
        <v>0</v>
      </c>
      <c r="T385" s="203">
        <f>(Definition!O385*Definition!G$12)</f>
        <v>0</v>
      </c>
      <c r="U385" s="203">
        <f>(Definition!P385*Definition!H$12)</f>
        <v>0</v>
      </c>
      <c r="V385" s="203">
        <f>(Definition!Q385*Definition!I$12)</f>
        <v>0</v>
      </c>
      <c r="W385" s="204">
        <f t="shared" si="37"/>
        <v>0</v>
      </c>
      <c r="X385" s="206">
        <f t="shared" si="36"/>
        <v>0</v>
      </c>
    </row>
    <row r="386" spans="12:24">
      <c r="L386" s="423"/>
      <c r="M386" s="68">
        <f>IF(compute_ManualOverrideSPA="No", COUNTIFS(JSMVC!E$5:E$14987,UCDEffortSpread!D12, JSMVC!B$5:B$14987,Definition!C$12,JSMVC!D$5:D$14987,Definition!E$3),0)</f>
        <v>0</v>
      </c>
      <c r="N386" s="68">
        <f>IF(compute_ManualOverrideSPA="No", COUNTIFS(JSMVC!E$5:E$14987,UCDEffortSpread!D12, JSMVC!B$5:B$14987,Definition!C$12,JSMVC!D$5:D$14987,Definition!F$3),0)</f>
        <v>0</v>
      </c>
      <c r="O386" s="68">
        <f>IF(compute_ManualOverrideSPA="No", COUNTIFS(JSMVC!E$5:E$14987,UCDEffortSpread!D12, JSMVC!B$5:B$14987,Definition!C$12,JSMVC!D$5:D$14987,Definition!G$3),0)</f>
        <v>0</v>
      </c>
      <c r="P386" s="68">
        <f>IF(compute_ManualOverrideSPA="No", COUNTIFS(JSMVC!E$5:E$14987,UCDEffortSpread!D12, JSMVC!B$5:B$14987,Definition!C$12,JSMVC!D$5:D$14987,Definition!H$3),0)</f>
        <v>0</v>
      </c>
      <c r="Q386" s="68">
        <f>IF(compute_ManualOverrideSPA="No", COUNTIFS(JSMVC!E$5:E$14987,UCDEffortSpread!D12, JSMVC!B$5:B$14987,Definition!C$12,JSMVC!D$5:D$14987,Definition!I$3),0)</f>
        <v>0</v>
      </c>
      <c r="R386" s="203">
        <f>(Definition!M386*Definition!E$12)</f>
        <v>0</v>
      </c>
      <c r="S386" s="203">
        <f>(Definition!N386*Definition!F$12)</f>
        <v>0</v>
      </c>
      <c r="T386" s="203">
        <f>(Definition!O386*Definition!G$12)</f>
        <v>0</v>
      </c>
      <c r="U386" s="203">
        <f>(Definition!P386*Definition!H$12)</f>
        <v>0</v>
      </c>
      <c r="V386" s="203">
        <f>(Definition!Q386*Definition!I$12)</f>
        <v>0</v>
      </c>
      <c r="W386" s="204">
        <f t="shared" si="37"/>
        <v>0</v>
      </c>
      <c r="X386" s="206">
        <f t="shared" si="36"/>
        <v>0</v>
      </c>
    </row>
    <row r="387" spans="12:24">
      <c r="L387" s="423"/>
      <c r="M387" s="68">
        <f>IF(compute_ManualOverrideSPA="No", COUNTIFS(JSMVC!E$5:E$14987,UCDEffortSpread!D13, JSMVC!B$5:B$14987,Definition!C$12,JSMVC!D$5:D$14987,Definition!E$3),0)</f>
        <v>0</v>
      </c>
      <c r="N387" s="68">
        <f>IF(compute_ManualOverrideSPA="No", COUNTIFS(JSMVC!E$5:E$14987,UCDEffortSpread!D13, JSMVC!B$5:B$14987,Definition!C$12,JSMVC!D$5:D$14987,Definition!F$3),0)</f>
        <v>0</v>
      </c>
      <c r="O387" s="68">
        <f>IF(compute_ManualOverrideSPA="No", COUNTIFS(JSMVC!E$5:E$14987,UCDEffortSpread!D13, JSMVC!B$5:B$14987,Definition!C$12,JSMVC!D$5:D$14987,Definition!G$3),0)</f>
        <v>0</v>
      </c>
      <c r="P387" s="68">
        <f>IF(compute_ManualOverrideSPA="No", COUNTIFS(JSMVC!E$5:E$14987,UCDEffortSpread!D13, JSMVC!B$5:B$14987,Definition!C$12,JSMVC!D$5:D$14987,Definition!H$3),0)</f>
        <v>0</v>
      </c>
      <c r="Q387" s="68">
        <f>IF(compute_ManualOverrideSPA="No", COUNTIFS(JSMVC!E$5:E$14987,UCDEffortSpread!D13, JSMVC!B$5:B$14987,Definition!C$12,JSMVC!D$5:D$14987,Definition!I$3),0)</f>
        <v>0</v>
      </c>
      <c r="R387" s="203">
        <f>(Definition!M387*Definition!E$12)</f>
        <v>0</v>
      </c>
      <c r="S387" s="203">
        <f>(Definition!N387*Definition!F$12)</f>
        <v>0</v>
      </c>
      <c r="T387" s="203">
        <f>(Definition!O387*Definition!G$12)</f>
        <v>0</v>
      </c>
      <c r="U387" s="203">
        <f>(Definition!P387*Definition!H$12)</f>
        <v>0</v>
      </c>
      <c r="V387" s="203">
        <f>(Definition!Q387*Definition!I$12)</f>
        <v>0</v>
      </c>
      <c r="W387" s="204">
        <f t="shared" si="37"/>
        <v>0</v>
      </c>
      <c r="X387" s="206">
        <f t="shared" si="36"/>
        <v>0</v>
      </c>
    </row>
    <row r="388" spans="12:24">
      <c r="L388" s="423"/>
      <c r="M388" s="68">
        <f>IF(compute_ManualOverrideSPA="No", COUNTIFS(JSMVC!E$5:E$14987,UCDEffortSpread!D14, JSMVC!B$5:B$14987,Definition!C$12,JSMVC!D$5:D$14987,Definition!E$3),0)</f>
        <v>0</v>
      </c>
      <c r="N388" s="68">
        <f>IF(compute_ManualOverrideSPA="No", COUNTIFS(JSMVC!E$5:E$14987,UCDEffortSpread!D14, JSMVC!B$5:B$14987,Definition!C$12,JSMVC!D$5:D$14987,Definition!F$3),0)</f>
        <v>0</v>
      </c>
      <c r="O388" s="68">
        <f>IF(compute_ManualOverrideSPA="No", COUNTIFS(JSMVC!E$5:E$14987,UCDEffortSpread!D14, JSMVC!B$5:B$14987,Definition!C$12,JSMVC!D$5:D$14987,Definition!G$3),0)</f>
        <v>0</v>
      </c>
      <c r="P388" s="68">
        <f>IF(compute_ManualOverrideSPA="No", COUNTIFS(JSMVC!E$5:E$14987,UCDEffortSpread!D14, JSMVC!B$5:B$14987,Definition!C$12,JSMVC!D$5:D$14987,Definition!H$3),0)</f>
        <v>0</v>
      </c>
      <c r="Q388" s="68">
        <f>IF(compute_ManualOverrideSPA="No", COUNTIFS(JSMVC!E$5:E$14987,UCDEffortSpread!D14, JSMVC!B$5:B$14987,Definition!C$12,JSMVC!D$5:D$14987,Definition!I$3),0)</f>
        <v>0</v>
      </c>
      <c r="R388" s="203">
        <f>(Definition!M388*Definition!E$12)</f>
        <v>0</v>
      </c>
      <c r="S388" s="203">
        <f>(Definition!N388*Definition!F$12)</f>
        <v>0</v>
      </c>
      <c r="T388" s="203">
        <f>(Definition!O388*Definition!G$12)</f>
        <v>0</v>
      </c>
      <c r="U388" s="203">
        <f>(Definition!P388*Definition!H$12)</f>
        <v>0</v>
      </c>
      <c r="V388" s="203">
        <f>(Definition!Q388*Definition!I$12)</f>
        <v>0</v>
      </c>
      <c r="W388" s="204">
        <f t="shared" si="37"/>
        <v>0</v>
      </c>
      <c r="X388" s="206">
        <f t="shared" si="36"/>
        <v>0</v>
      </c>
    </row>
    <row r="389" spans="12:24">
      <c r="L389" s="423"/>
      <c r="M389" s="68">
        <f>IF(compute_ManualOverrideSPA="No", COUNTIFS(JSMVC!E$5:E$14987,UCDEffortSpread!D15, JSMVC!B$5:B$14987,Definition!C$12,JSMVC!D$5:D$14987,Definition!E$3),0)</f>
        <v>0</v>
      </c>
      <c r="N389" s="68">
        <f>IF(compute_ManualOverrideSPA="No", COUNTIFS(JSMVC!E$5:E$14987,UCDEffortSpread!D15, JSMVC!B$5:B$14987,Definition!C$12,JSMVC!D$5:D$14987,Definition!F$3),0)</f>
        <v>0</v>
      </c>
      <c r="O389" s="68">
        <f>IF(compute_ManualOverrideSPA="No", COUNTIFS(JSMVC!E$5:E$14987,UCDEffortSpread!D15, JSMVC!B$5:B$14987,Definition!C$12,JSMVC!D$5:D$14987,Definition!G$3),0)</f>
        <v>0</v>
      </c>
      <c r="P389" s="68">
        <f>IF(compute_ManualOverrideSPA="No", COUNTIFS(JSMVC!E$5:E$14987,UCDEffortSpread!D15, JSMVC!B$5:B$14987,Definition!C$12,JSMVC!D$5:D$14987,Definition!H$3),0)</f>
        <v>0</v>
      </c>
      <c r="Q389" s="68">
        <f>IF(compute_ManualOverrideSPA="No", COUNTIFS(JSMVC!E$5:E$14987,UCDEffortSpread!D15, JSMVC!B$5:B$14987,Definition!C$12,JSMVC!D$5:D$14987,Definition!I$3),0)</f>
        <v>0</v>
      </c>
      <c r="R389" s="203">
        <f>(Definition!M389*Definition!E$12)</f>
        <v>0</v>
      </c>
      <c r="S389" s="203">
        <f>(Definition!N389*Definition!F$12)</f>
        <v>0</v>
      </c>
      <c r="T389" s="203">
        <f>(Definition!O389*Definition!G$12)</f>
        <v>0</v>
      </c>
      <c r="U389" s="203">
        <f>(Definition!P389*Definition!H$12)</f>
        <v>0</v>
      </c>
      <c r="V389" s="203">
        <f>(Definition!Q389*Definition!I$12)</f>
        <v>0</v>
      </c>
      <c r="W389" s="204">
        <f t="shared" si="37"/>
        <v>0</v>
      </c>
      <c r="X389" s="206">
        <f t="shared" si="36"/>
        <v>0</v>
      </c>
    </row>
    <row r="390" spans="12:24">
      <c r="L390" s="423"/>
      <c r="M390" s="68">
        <f>IF(compute_ManualOverrideSPA="No", COUNTIFS(JSMVC!E$5:E$14987,UCDEffortSpread!D16, JSMVC!B$5:B$14987,Definition!C$12,JSMVC!D$5:D$14987,Definition!E$3),0)</f>
        <v>0</v>
      </c>
      <c r="N390" s="68">
        <f>IF(compute_ManualOverrideSPA="No", COUNTIFS(JSMVC!E$5:E$14987,UCDEffortSpread!D16, JSMVC!B$5:B$14987,Definition!C$12,JSMVC!D$5:D$14987,Definition!F$3),0)</f>
        <v>0</v>
      </c>
      <c r="O390" s="68">
        <f>IF(compute_ManualOverrideSPA="No", COUNTIFS(JSMVC!E$5:E$14987,UCDEffortSpread!D16, JSMVC!B$5:B$14987,Definition!C$12,JSMVC!D$5:D$14987,Definition!G$3),0)</f>
        <v>0</v>
      </c>
      <c r="P390" s="68">
        <f>IF(compute_ManualOverrideSPA="No", COUNTIFS(JSMVC!E$5:E$14987,UCDEffortSpread!D16, JSMVC!B$5:B$14987,Definition!C$12,JSMVC!D$5:D$14987,Definition!H$3),0)</f>
        <v>0</v>
      </c>
      <c r="Q390" s="68">
        <f>IF(compute_ManualOverrideSPA="No", COUNTIFS(JSMVC!E$5:E$14987,UCDEffortSpread!D16, JSMVC!B$5:B$14987,Definition!C$12,JSMVC!D$5:D$14987,Definition!I$3),0)</f>
        <v>0</v>
      </c>
      <c r="R390" s="203">
        <f>(Definition!M390*Definition!E$12)</f>
        <v>0</v>
      </c>
      <c r="S390" s="203">
        <f>(Definition!N390*Definition!F$12)</f>
        <v>0</v>
      </c>
      <c r="T390" s="203">
        <f>(Definition!O390*Definition!G$12)</f>
        <v>0</v>
      </c>
      <c r="U390" s="203">
        <f>(Definition!P390*Definition!H$12)</f>
        <v>0</v>
      </c>
      <c r="V390" s="203">
        <f>(Definition!Q390*Definition!I$12)</f>
        <v>0</v>
      </c>
      <c r="W390" s="204">
        <f t="shared" si="37"/>
        <v>0</v>
      </c>
      <c r="X390" s="206">
        <f t="shared" si="36"/>
        <v>0</v>
      </c>
    </row>
    <row r="391" spans="12:24">
      <c r="L391" s="423"/>
      <c r="M391" s="68">
        <f>IF(compute_ManualOverrideSPA="No", COUNTIFS(JSMVC!E$5:E$14987,UCDEffortSpread!D17, JSMVC!B$5:B$14987,Definition!C$12,JSMVC!D$5:D$14987,Definition!E$3),0)</f>
        <v>0</v>
      </c>
      <c r="N391" s="68">
        <f>IF(compute_ManualOverrideSPA="No", COUNTIFS(JSMVC!E$5:E$14987,UCDEffortSpread!D17, JSMVC!B$5:B$14987,Definition!C$12,JSMVC!D$5:D$14987,Definition!F$3),0)</f>
        <v>0</v>
      </c>
      <c r="O391" s="68">
        <f>IF(compute_ManualOverrideSPA="No", COUNTIFS(JSMVC!E$5:E$14987,UCDEffortSpread!D17, JSMVC!B$5:B$14987,Definition!C$12,JSMVC!D$5:D$14987,Definition!G$3),0)</f>
        <v>0</v>
      </c>
      <c r="P391" s="68">
        <f>IF(compute_ManualOverrideSPA="No", COUNTIFS(JSMVC!E$5:E$14987,UCDEffortSpread!D17, JSMVC!B$5:B$14987,Definition!C$12,JSMVC!D$5:D$14987,Definition!H$3),0)</f>
        <v>0</v>
      </c>
      <c r="Q391" s="68">
        <f>IF(compute_ManualOverrideSPA="No", COUNTIFS(JSMVC!E$5:E$14987,UCDEffortSpread!D17, JSMVC!B$5:B$14987,Definition!C$12,JSMVC!D$5:D$14987,Definition!I$3),0)</f>
        <v>0</v>
      </c>
      <c r="R391" s="203">
        <f>(Definition!M391*Definition!E$12)</f>
        <v>0</v>
      </c>
      <c r="S391" s="203">
        <f>(Definition!N391*Definition!F$12)</f>
        <v>0</v>
      </c>
      <c r="T391" s="203">
        <f>(Definition!O391*Definition!G$12)</f>
        <v>0</v>
      </c>
      <c r="U391" s="203">
        <f>(Definition!P391*Definition!H$12)</f>
        <v>0</v>
      </c>
      <c r="V391" s="203">
        <f>(Definition!Q391*Definition!I$12)</f>
        <v>0</v>
      </c>
      <c r="W391" s="204">
        <f t="shared" si="37"/>
        <v>0</v>
      </c>
      <c r="X391" s="206">
        <f t="shared" si="36"/>
        <v>0</v>
      </c>
    </row>
    <row r="392" spans="12:24">
      <c r="L392" s="423"/>
      <c r="M392" s="68">
        <f>IF(compute_ManualOverrideSPA="No", COUNTIFS(JSMVC!E$5:E$14987,UCDEffortSpread!D18, JSMVC!B$5:B$14987,Definition!C$12,JSMVC!D$5:D$14987,Definition!E$3),0)</f>
        <v>0</v>
      </c>
      <c r="N392" s="68">
        <f>IF(compute_ManualOverrideSPA="No", COUNTIFS(JSMVC!E$5:E$14987,UCDEffortSpread!D18, JSMVC!B$5:B$14987,Definition!C$12,JSMVC!D$5:D$14987,Definition!F$3),0)</f>
        <v>0</v>
      </c>
      <c r="O392" s="68">
        <f>IF(compute_ManualOverrideSPA="No", COUNTIFS(JSMVC!E$5:E$14987,UCDEffortSpread!D18, JSMVC!B$5:B$14987,Definition!C$12,JSMVC!D$5:D$14987,Definition!G$3),0)</f>
        <v>0</v>
      </c>
      <c r="P392" s="68">
        <f>IF(compute_ManualOverrideSPA="No", COUNTIFS(JSMVC!E$5:E$14987,UCDEffortSpread!D18, JSMVC!B$5:B$14987,Definition!C$12,JSMVC!D$5:D$14987,Definition!H$3),0)</f>
        <v>0</v>
      </c>
      <c r="Q392" s="68">
        <f>IF(compute_ManualOverrideSPA="No", COUNTIFS(JSMVC!E$5:E$14987,UCDEffortSpread!D18, JSMVC!B$5:B$14987,Definition!C$12,JSMVC!D$5:D$14987,Definition!I$3),0)</f>
        <v>0</v>
      </c>
      <c r="R392" s="203">
        <f>(Definition!M392*Definition!E$12)</f>
        <v>0</v>
      </c>
      <c r="S392" s="203">
        <f>(Definition!N392*Definition!F$12)</f>
        <v>0</v>
      </c>
      <c r="T392" s="203">
        <f>(Definition!O392*Definition!G$12)</f>
        <v>0</v>
      </c>
      <c r="U392" s="203">
        <f>(Definition!P392*Definition!H$12)</f>
        <v>0</v>
      </c>
      <c r="V392" s="203">
        <f>(Definition!Q392*Definition!I$12)</f>
        <v>0</v>
      </c>
      <c r="W392" s="204">
        <f t="shared" si="37"/>
        <v>0</v>
      </c>
      <c r="X392" s="206">
        <f t="shared" si="36"/>
        <v>0</v>
      </c>
    </row>
    <row r="393" spans="12:24">
      <c r="L393" s="423"/>
      <c r="M393" s="68">
        <f>IF(compute_ManualOverrideSPA="No", COUNTIFS(JSMVC!E$5:E$14987,UCDEffortSpread!D19, JSMVC!B$5:B$14987,Definition!C$12,JSMVC!D$5:D$14987,Definition!E$3),0)</f>
        <v>0</v>
      </c>
      <c r="N393" s="68">
        <f>IF(compute_ManualOverrideSPA="No", COUNTIFS(JSMVC!E$5:E$14987,UCDEffortSpread!D19, JSMVC!B$5:B$14987,Definition!C$12,JSMVC!D$5:D$14987,Definition!F$3),0)</f>
        <v>0</v>
      </c>
      <c r="O393" s="68">
        <f>IF(compute_ManualOverrideSPA="No", COUNTIFS(JSMVC!E$5:E$14987,UCDEffortSpread!D19, JSMVC!B$5:B$14987,Definition!C$12,JSMVC!D$5:D$14987,Definition!G$3),0)</f>
        <v>0</v>
      </c>
      <c r="P393" s="68">
        <f>IF(compute_ManualOverrideSPA="No", COUNTIFS(JSMVC!E$5:E$14987,UCDEffortSpread!D19, JSMVC!B$5:B$14987,Definition!C$12,JSMVC!D$5:D$14987,Definition!H$3),0)</f>
        <v>0</v>
      </c>
      <c r="Q393" s="68">
        <f>IF(compute_ManualOverrideSPA="No", COUNTIFS(JSMVC!E$5:E$14987,UCDEffortSpread!D19, JSMVC!B$5:B$14987,Definition!C$12,JSMVC!D$5:D$14987,Definition!I$3),0)</f>
        <v>0</v>
      </c>
      <c r="R393" s="203">
        <f>(Definition!M393*Definition!E$12)</f>
        <v>0</v>
      </c>
      <c r="S393" s="203">
        <f>(Definition!N393*Definition!F$12)</f>
        <v>0</v>
      </c>
      <c r="T393" s="203">
        <f>(Definition!O393*Definition!G$12)</f>
        <v>0</v>
      </c>
      <c r="U393" s="203">
        <f>(Definition!P393*Definition!H$12)</f>
        <v>0</v>
      </c>
      <c r="V393" s="203">
        <f>(Definition!Q393*Definition!I$12)</f>
        <v>0</v>
      </c>
      <c r="W393" s="204">
        <f t="shared" si="37"/>
        <v>0</v>
      </c>
      <c r="X393" s="206">
        <f t="shared" si="36"/>
        <v>0</v>
      </c>
    </row>
    <row r="394" spans="12:24">
      <c r="L394" s="423"/>
      <c r="M394" s="68">
        <f>IF(compute_ManualOverrideSPA="No", COUNTIFS(JSMVC!E$5:E$14987,UCDEffortSpread!D20, JSMVC!B$5:B$14987,Definition!C$12,JSMVC!D$5:D$14987,Definition!E$3),0)</f>
        <v>0</v>
      </c>
      <c r="N394" s="68">
        <f>IF(compute_ManualOverrideSPA="No", COUNTIFS(JSMVC!E$5:E$14987,UCDEffortSpread!D20, JSMVC!B$5:B$14987,Definition!C$12,JSMVC!D$5:D$14987,Definition!F$3),0)</f>
        <v>0</v>
      </c>
      <c r="O394" s="68">
        <f>IF(compute_ManualOverrideSPA="No", COUNTIFS(JSMVC!E$5:E$14987,UCDEffortSpread!D20, JSMVC!B$5:B$14987,Definition!C$12,JSMVC!D$5:D$14987,Definition!G$3),0)</f>
        <v>0</v>
      </c>
      <c r="P394" s="68">
        <f>IF(compute_ManualOverrideSPA="No", COUNTIFS(JSMVC!E$5:E$14987,UCDEffortSpread!D20, JSMVC!B$5:B$14987,Definition!C$12,JSMVC!D$5:D$14987,Definition!H$3),0)</f>
        <v>0</v>
      </c>
      <c r="Q394" s="68">
        <f>IF(compute_ManualOverrideSPA="No", COUNTIFS(JSMVC!E$5:E$14987,UCDEffortSpread!D20, JSMVC!B$5:B$14987,Definition!C$12,JSMVC!D$5:D$14987,Definition!I$3),0)</f>
        <v>0</v>
      </c>
      <c r="R394" s="203">
        <f>(Definition!M394*Definition!E$12)</f>
        <v>0</v>
      </c>
      <c r="S394" s="203">
        <f>(Definition!N394*Definition!F$12)</f>
        <v>0</v>
      </c>
      <c r="T394" s="203">
        <f>(Definition!O394*Definition!G$12)</f>
        <v>0</v>
      </c>
      <c r="U394" s="203">
        <f>(Definition!P394*Definition!H$12)</f>
        <v>0</v>
      </c>
      <c r="V394" s="203">
        <f>(Definition!Q394*Definition!I$12)</f>
        <v>0</v>
      </c>
      <c r="W394" s="204">
        <f t="shared" ref="W394:W428" si="38">SUM(R394:V394)</f>
        <v>0</v>
      </c>
      <c r="X394" s="206">
        <f t="shared" si="36"/>
        <v>0</v>
      </c>
    </row>
    <row r="395" spans="12:24">
      <c r="L395" s="423"/>
      <c r="M395" s="68">
        <f>IF(compute_ManualOverrideSPA="No", COUNTIFS(JSMVC!E$5:E$14987,UCDEffortSpread!D21, JSMVC!B$5:B$14987,Definition!C$12,JSMVC!D$5:D$14987,Definition!E$3),0)</f>
        <v>0</v>
      </c>
      <c r="N395" s="68">
        <f>IF(compute_ManualOverrideSPA="No", COUNTIFS(JSMVC!E$5:E$14987,UCDEffortSpread!D21, JSMVC!B$5:B$14987,Definition!C$12,JSMVC!D$5:D$14987,Definition!F$3),0)</f>
        <v>0</v>
      </c>
      <c r="O395" s="68">
        <f>IF(compute_ManualOverrideSPA="No", COUNTIFS(JSMVC!E$5:E$14987,UCDEffortSpread!D21, JSMVC!B$5:B$14987,Definition!C$12,JSMVC!D$5:D$14987,Definition!G$3),0)</f>
        <v>0</v>
      </c>
      <c r="P395" s="68">
        <f>IF(compute_ManualOverrideSPA="No", COUNTIFS(JSMVC!E$5:E$14987,UCDEffortSpread!D21, JSMVC!B$5:B$14987,Definition!C$12,JSMVC!D$5:D$14987,Definition!H$3),0)</f>
        <v>0</v>
      </c>
      <c r="Q395" s="68">
        <f>IF(compute_ManualOverrideSPA="No", COUNTIFS(JSMVC!E$5:E$14987,UCDEffortSpread!D21, JSMVC!B$5:B$14987,Definition!C$12,JSMVC!D$5:D$14987,Definition!I$3),0)</f>
        <v>0</v>
      </c>
      <c r="R395" s="203">
        <f>(Definition!M395*Definition!E$12)</f>
        <v>0</v>
      </c>
      <c r="S395" s="203">
        <f>(Definition!N395*Definition!F$12)</f>
        <v>0</v>
      </c>
      <c r="T395" s="203">
        <f>(Definition!O395*Definition!G$12)</f>
        <v>0</v>
      </c>
      <c r="U395" s="203">
        <f>(Definition!P395*Definition!H$12)</f>
        <v>0</v>
      </c>
      <c r="V395" s="203">
        <f>(Definition!Q395*Definition!I$12)</f>
        <v>0</v>
      </c>
      <c r="W395" s="204">
        <f t="shared" si="38"/>
        <v>0</v>
      </c>
      <c r="X395" s="206">
        <f t="shared" si="36"/>
        <v>0</v>
      </c>
    </row>
    <row r="396" spans="12:24">
      <c r="L396" s="423"/>
      <c r="M396" s="68">
        <f>IF(compute_ManualOverrideSPA="No", COUNTIFS(JSMVC!E$5:E$14987,UCDEffortSpread!D22, JSMVC!B$5:B$14987,Definition!C$12,JSMVC!D$5:D$14987,Definition!E$3),0)</f>
        <v>0</v>
      </c>
      <c r="N396" s="68">
        <f>IF(compute_ManualOverrideSPA="No", COUNTIFS(JSMVC!E$5:E$14987,UCDEffortSpread!D22, JSMVC!B$5:B$14987,Definition!C$12,JSMVC!D$5:D$14987,Definition!F$3),0)</f>
        <v>0</v>
      </c>
      <c r="O396" s="68">
        <f>IF(compute_ManualOverrideSPA="No", COUNTIFS(JSMVC!E$5:E$14987,UCDEffortSpread!D22, JSMVC!B$5:B$14987,Definition!C$12,JSMVC!D$5:D$14987,Definition!G$3),0)</f>
        <v>0</v>
      </c>
      <c r="P396" s="68">
        <f>IF(compute_ManualOverrideSPA="No", COUNTIFS(JSMVC!E$5:E$14987,UCDEffortSpread!D22, JSMVC!B$5:B$14987,Definition!C$12,JSMVC!D$5:D$14987,Definition!H$3),0)</f>
        <v>0</v>
      </c>
      <c r="Q396" s="68">
        <f>IF(compute_ManualOverrideSPA="No", COUNTIFS(JSMVC!E$5:E$14987,UCDEffortSpread!D22, JSMVC!B$5:B$14987,Definition!C$12,JSMVC!D$5:D$14987,Definition!I$3),0)</f>
        <v>0</v>
      </c>
      <c r="R396" s="203">
        <f>(Definition!M396*Definition!E$12)</f>
        <v>0</v>
      </c>
      <c r="S396" s="203">
        <f>(Definition!N396*Definition!F$12)</f>
        <v>0</v>
      </c>
      <c r="T396" s="203">
        <f>(Definition!O396*Definition!G$12)</f>
        <v>0</v>
      </c>
      <c r="U396" s="203">
        <f>(Definition!P396*Definition!H$12)</f>
        <v>0</v>
      </c>
      <c r="V396" s="203">
        <f>(Definition!Q396*Definition!I$12)</f>
        <v>0</v>
      </c>
      <c r="W396" s="204">
        <f t="shared" si="38"/>
        <v>0</v>
      </c>
      <c r="X396" s="206">
        <f t="shared" si="36"/>
        <v>0</v>
      </c>
    </row>
    <row r="397" spans="12:24">
      <c r="L397" s="423"/>
      <c r="M397" s="68">
        <f>IF(compute_ManualOverrideSPA="No", COUNTIFS(JSMVC!E$5:E$14987,UCDEffortSpread!D23, JSMVC!B$5:B$14987,Definition!C$12,JSMVC!D$5:D$14987,Definition!E$3),0)</f>
        <v>0</v>
      </c>
      <c r="N397" s="68">
        <f>IF(compute_ManualOverrideSPA="No", COUNTIFS(JSMVC!E$5:E$14987,UCDEffortSpread!D23, JSMVC!B$5:B$14987,Definition!C$12,JSMVC!D$5:D$14987,Definition!F$3),0)</f>
        <v>0</v>
      </c>
      <c r="O397" s="68">
        <f>IF(compute_ManualOverrideSPA="No", COUNTIFS(JSMVC!E$5:E$14987,UCDEffortSpread!D23, JSMVC!B$5:B$14987,Definition!C$12,JSMVC!D$5:D$14987,Definition!G$3),0)</f>
        <v>0</v>
      </c>
      <c r="P397" s="68">
        <f>IF(compute_ManualOverrideSPA="No", COUNTIFS(JSMVC!E$5:E$14987,UCDEffortSpread!D23, JSMVC!B$5:B$14987,Definition!C$12,JSMVC!D$5:D$14987,Definition!H$3),0)</f>
        <v>0</v>
      </c>
      <c r="Q397" s="68">
        <f>IF(compute_ManualOverrideSPA="No", COUNTIFS(JSMVC!E$5:E$14987,UCDEffortSpread!D23, JSMVC!B$5:B$14987,Definition!C$12,JSMVC!D$5:D$14987,Definition!I$3),0)</f>
        <v>0</v>
      </c>
      <c r="R397" s="203">
        <f>(Definition!M397*Definition!E$12)</f>
        <v>0</v>
      </c>
      <c r="S397" s="203">
        <f>(Definition!N397*Definition!F$12)</f>
        <v>0</v>
      </c>
      <c r="T397" s="203">
        <f>(Definition!O397*Definition!G$12)</f>
        <v>0</v>
      </c>
      <c r="U397" s="203">
        <f>(Definition!P397*Definition!H$12)</f>
        <v>0</v>
      </c>
      <c r="V397" s="203">
        <f>(Definition!Q397*Definition!I$12)</f>
        <v>0</v>
      </c>
      <c r="W397" s="204">
        <f t="shared" si="38"/>
        <v>0</v>
      </c>
      <c r="X397" s="206">
        <f t="shared" si="36"/>
        <v>0</v>
      </c>
    </row>
    <row r="398" spans="12:24">
      <c r="L398" s="423"/>
      <c r="M398" s="68">
        <f>IF(compute_ManualOverrideSPA="No", COUNTIFS(JSMVC!E$5:E$14987,UCDEffortSpread!D24, JSMVC!B$5:B$14987,Definition!C$12,JSMVC!D$5:D$14987,Definition!E$3),0)</f>
        <v>0</v>
      </c>
      <c r="N398" s="68">
        <f>IF(compute_ManualOverrideSPA="No", COUNTIFS(JSMVC!E$5:E$14987,UCDEffortSpread!D24, JSMVC!B$5:B$14987,Definition!C$12,JSMVC!D$5:D$14987,Definition!F$3),0)</f>
        <v>0</v>
      </c>
      <c r="O398" s="68">
        <f>IF(compute_ManualOverrideSPA="No", COUNTIFS(JSMVC!E$5:E$14987,UCDEffortSpread!D24, JSMVC!B$5:B$14987,Definition!C$12,JSMVC!D$5:D$14987,Definition!G$3),0)</f>
        <v>0</v>
      </c>
      <c r="P398" s="68">
        <f>IF(compute_ManualOverrideSPA="No", COUNTIFS(JSMVC!E$5:E$14987,UCDEffortSpread!D24, JSMVC!B$5:B$14987,Definition!C$12,JSMVC!D$5:D$14987,Definition!H$3),0)</f>
        <v>0</v>
      </c>
      <c r="Q398" s="68">
        <f>IF(compute_ManualOverrideSPA="No", COUNTIFS(JSMVC!E$5:E$14987,UCDEffortSpread!D24, JSMVC!B$5:B$14987,Definition!C$12,JSMVC!D$5:D$14987,Definition!I$3),0)</f>
        <v>0</v>
      </c>
      <c r="R398" s="203">
        <f>(Definition!M398*Definition!E$12)</f>
        <v>0</v>
      </c>
      <c r="S398" s="203">
        <f>(Definition!N398*Definition!F$12)</f>
        <v>0</v>
      </c>
      <c r="T398" s="203">
        <f>(Definition!O398*Definition!G$12)</f>
        <v>0</v>
      </c>
      <c r="U398" s="203">
        <f>(Definition!P398*Definition!H$12)</f>
        <v>0</v>
      </c>
      <c r="V398" s="203">
        <f>(Definition!Q398*Definition!I$12)</f>
        <v>0</v>
      </c>
      <c r="W398" s="204">
        <f t="shared" si="38"/>
        <v>0</v>
      </c>
      <c r="X398" s="206">
        <f t="shared" si="36"/>
        <v>0</v>
      </c>
    </row>
    <row r="399" spans="12:24">
      <c r="L399" s="423"/>
      <c r="M399" s="68">
        <f>IF(compute_ManualOverrideSPA="No", COUNTIFS(JSMVC!E$5:E$14987,UCDEffortSpread!D25, JSMVC!B$5:B$14987,Definition!C$12,JSMVC!D$5:D$14987,Definition!E$3),0)</f>
        <v>0</v>
      </c>
      <c r="N399" s="68">
        <f>IF(compute_ManualOverrideSPA="No", COUNTIFS(JSMVC!E$5:E$14987,UCDEffortSpread!D25, JSMVC!B$5:B$14987,Definition!C$12,JSMVC!D$5:D$14987,Definition!F$3),0)</f>
        <v>0</v>
      </c>
      <c r="O399" s="68">
        <f>IF(compute_ManualOverrideSPA="No", COUNTIFS(JSMVC!E$5:E$14987,UCDEffortSpread!D25, JSMVC!B$5:B$14987,Definition!C$12,JSMVC!D$5:D$14987,Definition!G$3),0)</f>
        <v>0</v>
      </c>
      <c r="P399" s="68">
        <f>IF(compute_ManualOverrideSPA="No", COUNTIFS(JSMVC!E$5:E$14987,UCDEffortSpread!D25, JSMVC!B$5:B$14987,Definition!C$12,JSMVC!D$5:D$14987,Definition!H$3),0)</f>
        <v>0</v>
      </c>
      <c r="Q399" s="68">
        <f>IF(compute_ManualOverrideSPA="No", COUNTIFS(JSMVC!E$5:E$14987,UCDEffortSpread!D25, JSMVC!B$5:B$14987,Definition!C$12,JSMVC!D$5:D$14987,Definition!I$3),0)</f>
        <v>0</v>
      </c>
      <c r="R399" s="203">
        <f>(Definition!M399*Definition!E$12)</f>
        <v>0</v>
      </c>
      <c r="S399" s="203">
        <f>(Definition!N399*Definition!F$12)</f>
        <v>0</v>
      </c>
      <c r="T399" s="203">
        <f>(Definition!O399*Definition!G$12)</f>
        <v>0</v>
      </c>
      <c r="U399" s="203">
        <f>(Definition!P399*Definition!H$12)</f>
        <v>0</v>
      </c>
      <c r="V399" s="203">
        <f>(Definition!Q399*Definition!I$12)</f>
        <v>0</v>
      </c>
      <c r="W399" s="204">
        <f t="shared" si="38"/>
        <v>0</v>
      </c>
      <c r="X399" s="206">
        <f t="shared" si="36"/>
        <v>0</v>
      </c>
    </row>
    <row r="400" spans="12:24">
      <c r="L400" s="423"/>
      <c r="M400" s="68">
        <f>IF(compute_ManualOverrideSPA="No", COUNTIFS(JSMVC!E$5:E$14987,UCDEffortSpread!D26, JSMVC!B$5:B$14987,Definition!C$12,JSMVC!D$5:D$14987,Definition!E$3),0)</f>
        <v>0</v>
      </c>
      <c r="N400" s="68">
        <f>IF(compute_ManualOverrideSPA="No", COUNTIFS(JSMVC!E$5:E$14987,UCDEffortSpread!D26, JSMVC!B$5:B$14987,Definition!C$12,JSMVC!D$5:D$14987,Definition!F$3),0)</f>
        <v>0</v>
      </c>
      <c r="O400" s="68">
        <f>IF(compute_ManualOverrideSPA="No", COUNTIFS(JSMVC!E$5:E$14987,UCDEffortSpread!D26, JSMVC!B$5:B$14987,Definition!C$12,JSMVC!D$5:D$14987,Definition!G$3),0)</f>
        <v>0</v>
      </c>
      <c r="P400" s="68">
        <f>IF(compute_ManualOverrideSPA="No", COUNTIFS(JSMVC!E$5:E$14987,UCDEffortSpread!D26, JSMVC!B$5:B$14987,Definition!C$12,JSMVC!D$5:D$14987,Definition!H$3),0)</f>
        <v>0</v>
      </c>
      <c r="Q400" s="68">
        <f>IF(compute_ManualOverrideSPA="No", COUNTIFS(JSMVC!E$5:E$14987,UCDEffortSpread!D26, JSMVC!B$5:B$14987,Definition!C$12,JSMVC!D$5:D$14987,Definition!I$3),0)</f>
        <v>0</v>
      </c>
      <c r="R400" s="203">
        <f>(Definition!M400*Definition!E$12)</f>
        <v>0</v>
      </c>
      <c r="S400" s="203">
        <f>(Definition!N400*Definition!F$12)</f>
        <v>0</v>
      </c>
      <c r="T400" s="203">
        <f>(Definition!O400*Definition!G$12)</f>
        <v>0</v>
      </c>
      <c r="U400" s="203">
        <f>(Definition!P400*Definition!H$12)</f>
        <v>0</v>
      </c>
      <c r="V400" s="203">
        <f>(Definition!Q400*Definition!I$12)</f>
        <v>0</v>
      </c>
      <c r="W400" s="204">
        <f t="shared" si="38"/>
        <v>0</v>
      </c>
      <c r="X400" s="206">
        <f t="shared" si="36"/>
        <v>0</v>
      </c>
    </row>
    <row r="401" spans="12:24">
      <c r="L401" s="423"/>
      <c r="M401" s="68">
        <f>IF(compute_ManualOverrideSPA="No", COUNTIFS(JSMVC!E$5:E$14987,UCDEffortSpread!D27, JSMVC!B$5:B$14987,Definition!C$12,JSMVC!D$5:D$14987,Definition!E$3),0)</f>
        <v>0</v>
      </c>
      <c r="N401" s="68">
        <f>IF(compute_ManualOverrideSPA="No", COUNTIFS(JSMVC!E$5:E$14987,UCDEffortSpread!D27, JSMVC!B$5:B$14987,Definition!C$12,JSMVC!D$5:D$14987,Definition!F$3),0)</f>
        <v>0</v>
      </c>
      <c r="O401" s="68">
        <f>IF(compute_ManualOverrideSPA="No", COUNTIFS(JSMVC!E$5:E$14987,UCDEffortSpread!D27, JSMVC!B$5:B$14987,Definition!C$12,JSMVC!D$5:D$14987,Definition!G$3),0)</f>
        <v>0</v>
      </c>
      <c r="P401" s="68">
        <f>IF(compute_ManualOverrideSPA="No", COUNTIFS(JSMVC!E$5:E$14987,UCDEffortSpread!D27, JSMVC!B$5:B$14987,Definition!C$12,JSMVC!D$5:D$14987,Definition!H$3),0)</f>
        <v>0</v>
      </c>
      <c r="Q401" s="68">
        <f>IF(compute_ManualOverrideSPA="No", COUNTIFS(JSMVC!E$5:E$14987,UCDEffortSpread!D27, JSMVC!B$5:B$14987,Definition!C$12,JSMVC!D$5:D$14987,Definition!I$3),0)</f>
        <v>0</v>
      </c>
      <c r="R401" s="203">
        <f>(Definition!M401*Definition!E$12)</f>
        <v>0</v>
      </c>
      <c r="S401" s="203">
        <f>(Definition!N401*Definition!F$12)</f>
        <v>0</v>
      </c>
      <c r="T401" s="203">
        <f>(Definition!O401*Definition!G$12)</f>
        <v>0</v>
      </c>
      <c r="U401" s="203">
        <f>(Definition!P401*Definition!H$12)</f>
        <v>0</v>
      </c>
      <c r="V401" s="203">
        <f>(Definition!Q401*Definition!I$12)</f>
        <v>0</v>
      </c>
      <c r="W401" s="204">
        <f t="shared" si="38"/>
        <v>0</v>
      </c>
      <c r="X401" s="206">
        <f t="shared" si="36"/>
        <v>0</v>
      </c>
    </row>
    <row r="402" spans="12:24">
      <c r="L402" s="423"/>
      <c r="M402" s="68">
        <f>IF(compute_ManualOverrideSPA="No", COUNTIFS(JSMVC!E$5:E$14987,UCDEffortSpread!D28, JSMVC!B$5:B$14987,Definition!C$12,JSMVC!D$5:D$14987,Definition!E$3),0)</f>
        <v>0</v>
      </c>
      <c r="N402" s="68">
        <f>IF(compute_ManualOverrideSPA="No", COUNTIFS(JSMVC!E$5:E$14987,UCDEffortSpread!D28, JSMVC!B$5:B$14987,Definition!C$12,JSMVC!D$5:D$14987,Definition!F$3),0)</f>
        <v>0</v>
      </c>
      <c r="O402" s="68">
        <f>IF(compute_ManualOverrideSPA="No", COUNTIFS(JSMVC!E$5:E$14987,UCDEffortSpread!D28, JSMVC!B$5:B$14987,Definition!C$12,JSMVC!D$5:D$14987,Definition!G$3),0)</f>
        <v>0</v>
      </c>
      <c r="P402" s="68">
        <f>IF(compute_ManualOverrideSPA="No", COUNTIFS(JSMVC!E$5:E$14987,UCDEffortSpread!D28, JSMVC!B$5:B$14987,Definition!C$12,JSMVC!D$5:D$14987,Definition!H$3),0)</f>
        <v>0</v>
      </c>
      <c r="Q402" s="68">
        <f>IF(compute_ManualOverrideSPA="No", COUNTIFS(JSMVC!E$5:E$14987,UCDEffortSpread!D28, JSMVC!B$5:B$14987,Definition!C$12,JSMVC!D$5:D$14987,Definition!I$3),0)</f>
        <v>0</v>
      </c>
      <c r="R402" s="203">
        <f>(Definition!M402*Definition!E$12)</f>
        <v>0</v>
      </c>
      <c r="S402" s="203">
        <f>(Definition!N402*Definition!F$12)</f>
        <v>0</v>
      </c>
      <c r="T402" s="203">
        <f>(Definition!O402*Definition!G$12)</f>
        <v>0</v>
      </c>
      <c r="U402" s="203">
        <f>(Definition!P402*Definition!H$12)</f>
        <v>0</v>
      </c>
      <c r="V402" s="203">
        <f>(Definition!Q402*Definition!I$12)</f>
        <v>0</v>
      </c>
      <c r="W402" s="204">
        <f t="shared" si="38"/>
        <v>0</v>
      </c>
      <c r="X402" s="206">
        <f t="shared" si="36"/>
        <v>0</v>
      </c>
    </row>
    <row r="403" spans="12:24">
      <c r="L403" s="423"/>
      <c r="M403" s="68">
        <f>IF(compute_ManualOverrideSPA="No", COUNTIFS(JSMVC!E$5:E$14987,UCDEffortSpread!D29, JSMVC!B$5:B$14987,Definition!C$12,JSMVC!D$5:D$14987,Definition!E$3),0)</f>
        <v>0</v>
      </c>
      <c r="N403" s="68">
        <f>IF(compute_ManualOverrideSPA="No", COUNTIFS(JSMVC!E$5:E$14987,UCDEffortSpread!D29, JSMVC!B$5:B$14987,Definition!C$12,JSMVC!D$5:D$14987,Definition!F$3),0)</f>
        <v>0</v>
      </c>
      <c r="O403" s="68">
        <f>IF(compute_ManualOverrideSPA="No", COUNTIFS(JSMVC!E$5:E$14987,UCDEffortSpread!D29, JSMVC!B$5:B$14987,Definition!C$12,JSMVC!D$5:D$14987,Definition!G$3),0)</f>
        <v>0</v>
      </c>
      <c r="P403" s="68">
        <f>IF(compute_ManualOverrideSPA="No", COUNTIFS(JSMVC!E$5:E$14987,UCDEffortSpread!D29, JSMVC!B$5:B$14987,Definition!C$12,JSMVC!D$5:D$14987,Definition!H$3),0)</f>
        <v>0</v>
      </c>
      <c r="Q403" s="68">
        <f>IF(compute_ManualOverrideSPA="No", COUNTIFS(JSMVC!E$5:E$14987,UCDEffortSpread!D29, JSMVC!B$5:B$14987,Definition!C$12,JSMVC!D$5:D$14987,Definition!I$3),0)</f>
        <v>0</v>
      </c>
      <c r="R403" s="203">
        <f>(Definition!M403*Definition!E$12)</f>
        <v>0</v>
      </c>
      <c r="S403" s="203">
        <f>(Definition!N403*Definition!F$12)</f>
        <v>0</v>
      </c>
      <c r="T403" s="203">
        <f>(Definition!O403*Definition!G$12)</f>
        <v>0</v>
      </c>
      <c r="U403" s="203">
        <f>(Definition!P403*Definition!H$12)</f>
        <v>0</v>
      </c>
      <c r="V403" s="203">
        <f>(Definition!Q403*Definition!I$12)</f>
        <v>0</v>
      </c>
      <c r="W403" s="204">
        <f t="shared" si="38"/>
        <v>0</v>
      </c>
      <c r="X403" s="206">
        <f t="shared" si="36"/>
        <v>0</v>
      </c>
    </row>
    <row r="404" spans="12:24">
      <c r="L404" s="423"/>
      <c r="M404" s="68">
        <f>IF(compute_ManualOverrideSPA="No", COUNTIFS(JSMVC!E$5:E$14987,UCDEffortSpread!D30, JSMVC!B$5:B$14987,Definition!C$12,JSMVC!D$5:D$14987,Definition!E$3),0)</f>
        <v>0</v>
      </c>
      <c r="N404" s="68">
        <f>IF(compute_ManualOverrideSPA="No", COUNTIFS(JSMVC!E$5:E$14987,UCDEffortSpread!D30, JSMVC!B$5:B$14987,Definition!C$12,JSMVC!D$5:D$14987,Definition!F$3),0)</f>
        <v>0</v>
      </c>
      <c r="O404" s="68">
        <f>IF(compute_ManualOverrideSPA="No", COUNTIFS(JSMVC!E$5:E$14987,UCDEffortSpread!D30, JSMVC!B$5:B$14987,Definition!C$12,JSMVC!D$5:D$14987,Definition!G$3),0)</f>
        <v>0</v>
      </c>
      <c r="P404" s="68">
        <f>IF(compute_ManualOverrideSPA="No", COUNTIFS(JSMVC!E$5:E$14987,UCDEffortSpread!D30, JSMVC!B$5:B$14987,Definition!C$12,JSMVC!D$5:D$14987,Definition!H$3),0)</f>
        <v>0</v>
      </c>
      <c r="Q404" s="68">
        <f>IF(compute_ManualOverrideSPA="No", COUNTIFS(JSMVC!E$5:E$14987,UCDEffortSpread!D30, JSMVC!B$5:B$14987,Definition!C$12,JSMVC!D$5:D$14987,Definition!I$3),0)</f>
        <v>0</v>
      </c>
      <c r="R404" s="203">
        <f>(Definition!M404*Definition!E$12)</f>
        <v>0</v>
      </c>
      <c r="S404" s="203">
        <f>(Definition!N404*Definition!F$12)</f>
        <v>0</v>
      </c>
      <c r="T404" s="203">
        <f>(Definition!O404*Definition!G$12)</f>
        <v>0</v>
      </c>
      <c r="U404" s="203">
        <f>(Definition!P404*Definition!H$12)</f>
        <v>0</v>
      </c>
      <c r="V404" s="203">
        <f>(Definition!Q404*Definition!I$12)</f>
        <v>0</v>
      </c>
      <c r="W404" s="204">
        <f t="shared" si="38"/>
        <v>0</v>
      </c>
      <c r="X404" s="206">
        <f t="shared" si="36"/>
        <v>0</v>
      </c>
    </row>
    <row r="405" spans="12:24">
      <c r="L405" s="423"/>
      <c r="M405" s="68">
        <f>IF(compute_ManualOverrideSPA="No", COUNTIFS(JSMVC!E$5:E$14987,UCDEffortSpread!D31, JSMVC!B$5:B$14987,Definition!C$12,JSMVC!D$5:D$14987,Definition!E$3),0)</f>
        <v>0</v>
      </c>
      <c r="N405" s="68">
        <f>IF(compute_ManualOverrideSPA="No", COUNTIFS(JSMVC!E$5:E$14987,UCDEffortSpread!D31, JSMVC!B$5:B$14987,Definition!C$12,JSMVC!D$5:D$14987,Definition!F$3),0)</f>
        <v>0</v>
      </c>
      <c r="O405" s="68">
        <f>IF(compute_ManualOverrideSPA="No", COUNTIFS(JSMVC!E$5:E$14987,UCDEffortSpread!D31, JSMVC!B$5:B$14987,Definition!C$12,JSMVC!D$5:D$14987,Definition!G$3),0)</f>
        <v>0</v>
      </c>
      <c r="P405" s="68">
        <f>IF(compute_ManualOverrideSPA="No", COUNTIFS(JSMVC!E$5:E$14987,UCDEffortSpread!D31, JSMVC!B$5:B$14987,Definition!C$12,JSMVC!D$5:D$14987,Definition!H$3),0)</f>
        <v>0</v>
      </c>
      <c r="Q405" s="68">
        <f>IF(compute_ManualOverrideSPA="No", COUNTIFS(JSMVC!E$5:E$14987,UCDEffortSpread!D31, JSMVC!B$5:B$14987,Definition!C$12,JSMVC!D$5:D$14987,Definition!I$3),0)</f>
        <v>0</v>
      </c>
      <c r="R405" s="203">
        <f>(Definition!M405*Definition!E$12)</f>
        <v>0</v>
      </c>
      <c r="S405" s="203">
        <f>(Definition!N405*Definition!F$12)</f>
        <v>0</v>
      </c>
      <c r="T405" s="203">
        <f>(Definition!O405*Definition!G$12)</f>
        <v>0</v>
      </c>
      <c r="U405" s="203">
        <f>(Definition!P405*Definition!H$12)</f>
        <v>0</v>
      </c>
      <c r="V405" s="203">
        <f>(Definition!Q405*Definition!I$12)</f>
        <v>0</v>
      </c>
      <c r="W405" s="204">
        <f t="shared" si="38"/>
        <v>0</v>
      </c>
      <c r="X405" s="206">
        <f t="shared" si="36"/>
        <v>0</v>
      </c>
    </row>
    <row r="406" spans="12:24">
      <c r="L406" s="423"/>
      <c r="M406" s="68">
        <f>IF(compute_ManualOverrideSPA="No", COUNTIFS(JSMVC!E$5:E$14987,UCDEffortSpread!D32, JSMVC!B$5:B$14987,Definition!C$12,JSMVC!D$5:D$14987,Definition!E$3),0)</f>
        <v>0</v>
      </c>
      <c r="N406" s="68">
        <f>IF(compute_ManualOverrideSPA="No", COUNTIFS(JSMVC!E$5:E$14987,UCDEffortSpread!D32, JSMVC!B$5:B$14987,Definition!C$12,JSMVC!D$5:D$14987,Definition!F$3),0)</f>
        <v>0</v>
      </c>
      <c r="O406" s="68">
        <f>IF(compute_ManualOverrideSPA="No", COUNTIFS(JSMVC!E$5:E$14987,UCDEffortSpread!D32, JSMVC!B$5:B$14987,Definition!C$12,JSMVC!D$5:D$14987,Definition!G$3),0)</f>
        <v>0</v>
      </c>
      <c r="P406" s="68">
        <f>IF(compute_ManualOverrideSPA="No", COUNTIFS(JSMVC!E$5:E$14987,UCDEffortSpread!D32, JSMVC!B$5:B$14987,Definition!C$12,JSMVC!D$5:D$14987,Definition!H$3),0)</f>
        <v>0</v>
      </c>
      <c r="Q406" s="68">
        <f>IF(compute_ManualOverrideSPA="No", COUNTIFS(JSMVC!E$5:E$14987,UCDEffortSpread!D32, JSMVC!B$5:B$14987,Definition!C$12,JSMVC!D$5:D$14987,Definition!I$3),0)</f>
        <v>0</v>
      </c>
      <c r="R406" s="203">
        <f>(Definition!M406*Definition!E$12)</f>
        <v>0</v>
      </c>
      <c r="S406" s="203">
        <f>(Definition!N406*Definition!F$12)</f>
        <v>0</v>
      </c>
      <c r="T406" s="203">
        <f>(Definition!O406*Definition!G$12)</f>
        <v>0</v>
      </c>
      <c r="U406" s="203">
        <f>(Definition!P406*Definition!H$12)</f>
        <v>0</v>
      </c>
      <c r="V406" s="203">
        <f>(Definition!Q406*Definition!I$12)</f>
        <v>0</v>
      </c>
      <c r="W406" s="204">
        <f t="shared" si="38"/>
        <v>0</v>
      </c>
      <c r="X406" s="206">
        <f t="shared" si="36"/>
        <v>0</v>
      </c>
    </row>
    <row r="407" spans="12:24">
      <c r="L407" s="423"/>
      <c r="M407" s="68">
        <f>IF(compute_ManualOverrideSPA="No", COUNTIFS(JSMVC!E$5:E$14987,UCDEffortSpread!D33, JSMVC!B$5:B$14987,Definition!C$12,JSMVC!D$5:D$14987,Definition!E$3),0)</f>
        <v>0</v>
      </c>
      <c r="N407" s="68">
        <f>IF(compute_ManualOverrideSPA="No", COUNTIFS(JSMVC!E$5:E$14987,UCDEffortSpread!D33, JSMVC!B$5:B$14987,Definition!C$12,JSMVC!D$5:D$14987,Definition!F$3),0)</f>
        <v>0</v>
      </c>
      <c r="O407" s="68">
        <f>IF(compute_ManualOverrideSPA="No", COUNTIFS(JSMVC!E$5:E$14987,UCDEffortSpread!D33, JSMVC!B$5:B$14987,Definition!C$12,JSMVC!D$5:D$14987,Definition!G$3),0)</f>
        <v>0</v>
      </c>
      <c r="P407" s="68">
        <f>IF(compute_ManualOverrideSPA="No", COUNTIFS(JSMVC!E$5:E$14987,UCDEffortSpread!D33, JSMVC!B$5:B$14987,Definition!C$12,JSMVC!D$5:D$14987,Definition!H$3),0)</f>
        <v>0</v>
      </c>
      <c r="Q407" s="68">
        <f>IF(compute_ManualOverrideSPA="No", COUNTIFS(JSMVC!E$5:E$14987,UCDEffortSpread!D33, JSMVC!B$5:B$14987,Definition!C$12,JSMVC!D$5:D$14987,Definition!I$3),0)</f>
        <v>0</v>
      </c>
      <c r="R407" s="203">
        <f>(Definition!M407*Definition!E$12)</f>
        <v>0</v>
      </c>
      <c r="S407" s="203">
        <f>(Definition!N407*Definition!F$12)</f>
        <v>0</v>
      </c>
      <c r="T407" s="203">
        <f>(Definition!O407*Definition!G$12)</f>
        <v>0</v>
      </c>
      <c r="U407" s="203">
        <f>(Definition!P407*Definition!H$12)</f>
        <v>0</v>
      </c>
      <c r="V407" s="203">
        <f>(Definition!Q407*Definition!I$12)</f>
        <v>0</v>
      </c>
      <c r="W407" s="204">
        <f t="shared" si="38"/>
        <v>0</v>
      </c>
      <c r="X407" s="206">
        <f t="shared" si="36"/>
        <v>0</v>
      </c>
    </row>
    <row r="408" spans="12:24">
      <c r="L408" s="423"/>
      <c r="M408" s="68">
        <f>IF(compute_ManualOverrideSPA="No", COUNTIFS(JSMVC!E$5:E$14987,UCDEffortSpread!D34, JSMVC!B$5:B$14987,Definition!C$12,JSMVC!D$5:D$14987,Definition!E$3),0)</f>
        <v>0</v>
      </c>
      <c r="N408" s="68">
        <f>IF(compute_ManualOverrideSPA="No", COUNTIFS(JSMVC!E$5:E$14987,UCDEffortSpread!D34, JSMVC!B$5:B$14987,Definition!C$12,JSMVC!D$5:D$14987,Definition!F$3),0)</f>
        <v>0</v>
      </c>
      <c r="O408" s="68">
        <f>IF(compute_ManualOverrideSPA="No", COUNTIFS(JSMVC!E$5:E$14987,UCDEffortSpread!D34, JSMVC!B$5:B$14987,Definition!C$12,JSMVC!D$5:D$14987,Definition!G$3),0)</f>
        <v>0</v>
      </c>
      <c r="P408" s="68">
        <f>IF(compute_ManualOverrideSPA="No", COUNTIFS(JSMVC!E$5:E$14987,UCDEffortSpread!D34, JSMVC!B$5:B$14987,Definition!C$12,JSMVC!D$5:D$14987,Definition!H$3),0)</f>
        <v>0</v>
      </c>
      <c r="Q408" s="68">
        <f>IF(compute_ManualOverrideSPA="No", COUNTIFS(JSMVC!E$5:E$14987,UCDEffortSpread!D34, JSMVC!B$5:B$14987,Definition!C$12,JSMVC!D$5:D$14987,Definition!I$3),0)</f>
        <v>0</v>
      </c>
      <c r="R408" s="203">
        <f>(Definition!M408*Definition!E$12)</f>
        <v>0</v>
      </c>
      <c r="S408" s="203">
        <f>(Definition!N408*Definition!F$12)</f>
        <v>0</v>
      </c>
      <c r="T408" s="203">
        <f>(Definition!O408*Definition!G$12)</f>
        <v>0</v>
      </c>
      <c r="U408" s="203">
        <f>(Definition!P408*Definition!H$12)</f>
        <v>0</v>
      </c>
      <c r="V408" s="203">
        <f>(Definition!Q408*Definition!I$12)</f>
        <v>0</v>
      </c>
      <c r="W408" s="204">
        <f t="shared" si="38"/>
        <v>0</v>
      </c>
      <c r="X408" s="206">
        <f t="shared" si="36"/>
        <v>0</v>
      </c>
    </row>
    <row r="409" spans="12:24">
      <c r="L409" s="423"/>
      <c r="M409" s="68">
        <f>IF(compute_ManualOverrideSPA="No", COUNTIFS(JSMVC!E$5:E$14987,UCDEffortSpread!D35, JSMVC!B$5:B$14987,Definition!C$12,JSMVC!D$5:D$14987,Definition!E$3),0)</f>
        <v>0</v>
      </c>
      <c r="N409" s="68">
        <f>IF(compute_ManualOverrideSPA="No", COUNTIFS(JSMVC!E$5:E$14987,UCDEffortSpread!D35, JSMVC!B$5:B$14987,Definition!C$12,JSMVC!D$5:D$14987,Definition!F$3),0)</f>
        <v>0</v>
      </c>
      <c r="O409" s="68">
        <f>IF(compute_ManualOverrideSPA="No", COUNTIFS(JSMVC!E$5:E$14987,UCDEffortSpread!D35, JSMVC!B$5:B$14987,Definition!C$12,JSMVC!D$5:D$14987,Definition!G$3),0)</f>
        <v>0</v>
      </c>
      <c r="P409" s="68">
        <f>IF(compute_ManualOverrideSPA="No", COUNTIFS(JSMVC!E$5:E$14987,UCDEffortSpread!D35, JSMVC!B$5:B$14987,Definition!C$12,JSMVC!D$5:D$14987,Definition!H$3),0)</f>
        <v>0</v>
      </c>
      <c r="Q409" s="68">
        <f>IF(compute_ManualOverrideSPA="No", COUNTIFS(JSMVC!E$5:E$14987,UCDEffortSpread!D35, JSMVC!B$5:B$14987,Definition!C$12,JSMVC!D$5:D$14987,Definition!I$3),0)</f>
        <v>0</v>
      </c>
      <c r="R409" s="203">
        <f>(Definition!M409*Definition!E$12)</f>
        <v>0</v>
      </c>
      <c r="S409" s="203">
        <f>(Definition!N409*Definition!F$12)</f>
        <v>0</v>
      </c>
      <c r="T409" s="203">
        <f>(Definition!O409*Definition!G$12)</f>
        <v>0</v>
      </c>
      <c r="U409" s="203">
        <f>(Definition!P409*Definition!H$12)</f>
        <v>0</v>
      </c>
      <c r="V409" s="203">
        <f>(Definition!Q409*Definition!I$12)</f>
        <v>0</v>
      </c>
      <c r="W409" s="204">
        <f t="shared" si="38"/>
        <v>0</v>
      </c>
      <c r="X409" s="206">
        <f t="shared" si="36"/>
        <v>0</v>
      </c>
    </row>
    <row r="410" spans="12:24">
      <c r="L410" s="423"/>
      <c r="M410" s="68">
        <f>IF(compute_ManualOverrideSPA="No", COUNTIFS(JSMVC!E$5:E$14987,UCDEffortSpread!D36, JSMVC!B$5:B$14987,Definition!C$12,JSMVC!D$5:D$14987,Definition!E$3),0)</f>
        <v>0</v>
      </c>
      <c r="N410" s="68">
        <f>IF(compute_ManualOverrideSPA="No", COUNTIFS(JSMVC!E$5:E$14987,UCDEffortSpread!D36, JSMVC!B$5:B$14987,Definition!C$12,JSMVC!D$5:D$14987,Definition!F$3),0)</f>
        <v>0</v>
      </c>
      <c r="O410" s="68">
        <f>IF(compute_ManualOverrideSPA="No", COUNTIFS(JSMVC!E$5:E$14987,UCDEffortSpread!D36, JSMVC!B$5:B$14987,Definition!C$12,JSMVC!D$5:D$14987,Definition!G$3),0)</f>
        <v>0</v>
      </c>
      <c r="P410" s="68">
        <f>IF(compute_ManualOverrideSPA="No", COUNTIFS(JSMVC!E$5:E$14987,UCDEffortSpread!D36, JSMVC!B$5:B$14987,Definition!C$12,JSMVC!D$5:D$14987,Definition!H$3),0)</f>
        <v>0</v>
      </c>
      <c r="Q410" s="68">
        <f>IF(compute_ManualOverrideSPA="No", COUNTIFS(JSMVC!E$5:E$14987,UCDEffortSpread!D36, JSMVC!B$5:B$14987,Definition!C$12,JSMVC!D$5:D$14987,Definition!I$3),0)</f>
        <v>0</v>
      </c>
      <c r="R410" s="203">
        <f>(Definition!M410*Definition!E$12)</f>
        <v>0</v>
      </c>
      <c r="S410" s="203">
        <f>(Definition!N410*Definition!F$12)</f>
        <v>0</v>
      </c>
      <c r="T410" s="203">
        <f>(Definition!O410*Definition!G$12)</f>
        <v>0</v>
      </c>
      <c r="U410" s="203">
        <f>(Definition!P410*Definition!H$12)</f>
        <v>0</v>
      </c>
      <c r="V410" s="203">
        <f>(Definition!Q410*Definition!I$12)</f>
        <v>0</v>
      </c>
      <c r="W410" s="204">
        <f t="shared" si="38"/>
        <v>0</v>
      </c>
      <c r="X410" s="206">
        <f t="shared" si="36"/>
        <v>0</v>
      </c>
    </row>
    <row r="411" spans="12:24">
      <c r="L411" s="423"/>
      <c r="M411" s="68">
        <f>IF(compute_ManualOverrideSPA="No", COUNTIFS(JSMVC!E$5:E$14987,UCDEffortSpread!D37, JSMVC!B$5:B$14987,Definition!C$12,JSMVC!D$5:D$14987,Definition!E$3),0)</f>
        <v>0</v>
      </c>
      <c r="N411" s="68">
        <f>IF(compute_ManualOverrideSPA="No", COUNTIFS(JSMVC!E$5:E$14987,UCDEffortSpread!D37, JSMVC!B$5:B$14987,Definition!C$12,JSMVC!D$5:D$14987,Definition!F$3),0)</f>
        <v>0</v>
      </c>
      <c r="O411" s="68">
        <f>IF(compute_ManualOverrideSPA="No", COUNTIFS(JSMVC!E$5:E$14987,UCDEffortSpread!D37, JSMVC!B$5:B$14987,Definition!C$12,JSMVC!D$5:D$14987,Definition!G$3),0)</f>
        <v>0</v>
      </c>
      <c r="P411" s="68">
        <f>IF(compute_ManualOverrideSPA="No", COUNTIFS(JSMVC!E$5:E$14987,UCDEffortSpread!D37, JSMVC!B$5:B$14987,Definition!C$12,JSMVC!D$5:D$14987,Definition!H$3),0)</f>
        <v>0</v>
      </c>
      <c r="Q411" s="68">
        <f>IF(compute_ManualOverrideSPA="No", COUNTIFS(JSMVC!E$5:E$14987,UCDEffortSpread!D37, JSMVC!B$5:B$14987,Definition!C$12,JSMVC!D$5:D$14987,Definition!I$3),0)</f>
        <v>0</v>
      </c>
      <c r="R411" s="203">
        <f>(Definition!M411*Definition!E$12)</f>
        <v>0</v>
      </c>
      <c r="S411" s="203">
        <f>(Definition!N411*Definition!F$12)</f>
        <v>0</v>
      </c>
      <c r="T411" s="203">
        <f>(Definition!O411*Definition!G$12)</f>
        <v>0</v>
      </c>
      <c r="U411" s="203">
        <f>(Definition!P411*Definition!H$12)</f>
        <v>0</v>
      </c>
      <c r="V411" s="203">
        <f>(Definition!Q411*Definition!I$12)</f>
        <v>0</v>
      </c>
      <c r="W411" s="204">
        <f t="shared" si="38"/>
        <v>0</v>
      </c>
      <c r="X411" s="206">
        <f t="shared" si="36"/>
        <v>0</v>
      </c>
    </row>
    <row r="412" spans="12:24">
      <c r="L412" s="423"/>
      <c r="M412" s="68">
        <f>IF(compute_ManualOverrideSPA="No", COUNTIFS(JSMVC!E$5:E$14987,UCDEffortSpread!D38, JSMVC!B$5:B$14987,Definition!C$12,JSMVC!D$5:D$14987,Definition!E$3),0)</f>
        <v>0</v>
      </c>
      <c r="N412" s="68">
        <f>IF(compute_ManualOverrideSPA="No", COUNTIFS(JSMVC!E$5:E$14987,UCDEffortSpread!D38, JSMVC!B$5:B$14987,Definition!C$12,JSMVC!D$5:D$14987,Definition!F$3),0)</f>
        <v>0</v>
      </c>
      <c r="O412" s="68">
        <f>IF(compute_ManualOverrideSPA="No", COUNTIFS(JSMVC!E$5:E$14987,UCDEffortSpread!D38, JSMVC!B$5:B$14987,Definition!C$12,JSMVC!D$5:D$14987,Definition!G$3),0)</f>
        <v>0</v>
      </c>
      <c r="P412" s="68">
        <f>IF(compute_ManualOverrideSPA="No", COUNTIFS(JSMVC!E$5:E$14987,UCDEffortSpread!D38, JSMVC!B$5:B$14987,Definition!C$12,JSMVC!D$5:D$14987,Definition!H$3),0)</f>
        <v>0</v>
      </c>
      <c r="Q412" s="68">
        <f>IF(compute_ManualOverrideSPA="No", COUNTIFS(JSMVC!E$5:E$14987,UCDEffortSpread!D38, JSMVC!B$5:B$14987,Definition!C$12,JSMVC!D$5:D$14987,Definition!I$3),0)</f>
        <v>0</v>
      </c>
      <c r="R412" s="203">
        <f>(Definition!M412*Definition!E$12)</f>
        <v>0</v>
      </c>
      <c r="S412" s="203">
        <f>(Definition!N412*Definition!F$12)</f>
        <v>0</v>
      </c>
      <c r="T412" s="203">
        <f>(Definition!O412*Definition!G$12)</f>
        <v>0</v>
      </c>
      <c r="U412" s="203">
        <f>(Definition!P412*Definition!H$12)</f>
        <v>0</v>
      </c>
      <c r="V412" s="203">
        <f>(Definition!Q412*Definition!I$12)</f>
        <v>0</v>
      </c>
      <c r="W412" s="204">
        <f t="shared" si="38"/>
        <v>0</v>
      </c>
      <c r="X412" s="206">
        <f t="shared" si="36"/>
        <v>0</v>
      </c>
    </row>
    <row r="413" spans="12:24">
      <c r="L413" s="423"/>
      <c r="M413" s="68">
        <f>IF(compute_ManualOverrideSPA="No", COUNTIFS(JSMVC!E$5:E$14987,UCDEffortSpread!D39, JSMVC!B$5:B$14987,Definition!C$12,JSMVC!D$5:D$14987,Definition!E$3),0)</f>
        <v>0</v>
      </c>
      <c r="N413" s="68">
        <f>IF(compute_ManualOverrideSPA="No", COUNTIFS(JSMVC!E$5:E$14987,UCDEffortSpread!D39, JSMVC!B$5:B$14987,Definition!C$12,JSMVC!D$5:D$14987,Definition!F$3),0)</f>
        <v>0</v>
      </c>
      <c r="O413" s="68">
        <f>IF(compute_ManualOverrideSPA="No", COUNTIFS(JSMVC!E$5:E$14987,UCDEffortSpread!D39, JSMVC!B$5:B$14987,Definition!C$12,JSMVC!D$5:D$14987,Definition!G$3),0)</f>
        <v>0</v>
      </c>
      <c r="P413" s="68">
        <f>IF(compute_ManualOverrideSPA="No", COUNTIFS(JSMVC!E$5:E$14987,UCDEffortSpread!D39, JSMVC!B$5:B$14987,Definition!C$12,JSMVC!D$5:D$14987,Definition!H$3),0)</f>
        <v>0</v>
      </c>
      <c r="Q413" s="68">
        <f>IF(compute_ManualOverrideSPA="No", COUNTIFS(JSMVC!E$5:E$14987,UCDEffortSpread!D39, JSMVC!B$5:B$14987,Definition!C$12,JSMVC!D$5:D$14987,Definition!I$3),0)</f>
        <v>0</v>
      </c>
      <c r="R413" s="203">
        <f>(Definition!M413*Definition!E$12)</f>
        <v>0</v>
      </c>
      <c r="S413" s="203">
        <f>(Definition!N413*Definition!F$12)</f>
        <v>0</v>
      </c>
      <c r="T413" s="203">
        <f>(Definition!O413*Definition!G$12)</f>
        <v>0</v>
      </c>
      <c r="U413" s="203">
        <f>(Definition!P413*Definition!H$12)</f>
        <v>0</v>
      </c>
      <c r="V413" s="203">
        <f>(Definition!Q413*Definition!I$12)</f>
        <v>0</v>
      </c>
      <c r="W413" s="204">
        <f t="shared" si="38"/>
        <v>0</v>
      </c>
      <c r="X413" s="206">
        <f t="shared" si="36"/>
        <v>0</v>
      </c>
    </row>
    <row r="414" spans="12:24">
      <c r="L414" s="423"/>
      <c r="M414" s="68">
        <f>IF(compute_ManualOverrideSPA="No", COUNTIFS(JSMVC!E$5:E$14987,UCDEffortSpread!D40, JSMVC!B$5:B$14987,Definition!C$12,JSMVC!D$5:D$14987,Definition!E$3),0)</f>
        <v>0</v>
      </c>
      <c r="N414" s="68">
        <f>IF(compute_ManualOverrideSPA="No", COUNTIFS(JSMVC!E$5:E$14987,UCDEffortSpread!D40, JSMVC!B$5:B$14987,Definition!C$12,JSMVC!D$5:D$14987,Definition!F$3),0)</f>
        <v>0</v>
      </c>
      <c r="O414" s="68">
        <f>IF(compute_ManualOverrideSPA="No", COUNTIFS(JSMVC!E$5:E$14987,UCDEffortSpread!D40, JSMVC!B$5:B$14987,Definition!C$12,JSMVC!D$5:D$14987,Definition!G$3),0)</f>
        <v>0</v>
      </c>
      <c r="P414" s="68">
        <f>IF(compute_ManualOverrideSPA="No", COUNTIFS(JSMVC!E$5:E$14987,UCDEffortSpread!D40, JSMVC!B$5:B$14987,Definition!C$12,JSMVC!D$5:D$14987,Definition!H$3),0)</f>
        <v>0</v>
      </c>
      <c r="Q414" s="68">
        <f>IF(compute_ManualOverrideSPA="No", COUNTIFS(JSMVC!E$5:E$14987,UCDEffortSpread!D40, JSMVC!B$5:B$14987,Definition!C$12,JSMVC!D$5:D$14987,Definition!I$3),0)</f>
        <v>0</v>
      </c>
      <c r="R414" s="203">
        <f>(Definition!M414*Definition!E$12)</f>
        <v>0</v>
      </c>
      <c r="S414" s="203">
        <f>(Definition!N414*Definition!F$12)</f>
        <v>0</v>
      </c>
      <c r="T414" s="203">
        <f>(Definition!O414*Definition!G$12)</f>
        <v>0</v>
      </c>
      <c r="U414" s="203">
        <f>(Definition!P414*Definition!H$12)</f>
        <v>0</v>
      </c>
      <c r="V414" s="203">
        <f>(Definition!Q414*Definition!I$12)</f>
        <v>0</v>
      </c>
      <c r="W414" s="204">
        <f t="shared" si="38"/>
        <v>0</v>
      </c>
      <c r="X414" s="206">
        <f t="shared" si="36"/>
        <v>0</v>
      </c>
    </row>
    <row r="415" spans="12:24">
      <c r="L415" s="423"/>
      <c r="M415" s="68">
        <f>IF(compute_ManualOverrideSPA="No", COUNTIFS(JSMVC!E$5:E$14987,UCDEffortSpread!D41, JSMVC!B$5:B$14987,Definition!C$12,JSMVC!D$5:D$14987,Definition!E$3),0)</f>
        <v>0</v>
      </c>
      <c r="N415" s="68">
        <f>IF(compute_ManualOverrideSPA="No", COUNTIFS(JSMVC!E$5:E$14987,UCDEffortSpread!D41, JSMVC!B$5:B$14987,Definition!C$12,JSMVC!D$5:D$14987,Definition!F$3),0)</f>
        <v>0</v>
      </c>
      <c r="O415" s="68">
        <f>IF(compute_ManualOverrideSPA="No", COUNTIFS(JSMVC!E$5:E$14987,UCDEffortSpread!D41, JSMVC!B$5:B$14987,Definition!C$12,JSMVC!D$5:D$14987,Definition!G$3),0)</f>
        <v>0</v>
      </c>
      <c r="P415" s="68">
        <f>IF(compute_ManualOverrideSPA="No", COUNTIFS(JSMVC!E$5:E$14987,UCDEffortSpread!D41, JSMVC!B$5:B$14987,Definition!C$12,JSMVC!D$5:D$14987,Definition!H$3),0)</f>
        <v>0</v>
      </c>
      <c r="Q415" s="68">
        <f>IF(compute_ManualOverrideSPA="No", COUNTIFS(JSMVC!E$5:E$14987,UCDEffortSpread!D41, JSMVC!B$5:B$14987,Definition!C$12,JSMVC!D$5:D$14987,Definition!I$3),0)</f>
        <v>0</v>
      </c>
      <c r="R415" s="203">
        <f>(Definition!M415*Definition!E$12)</f>
        <v>0</v>
      </c>
      <c r="S415" s="203">
        <f>(Definition!N415*Definition!F$12)</f>
        <v>0</v>
      </c>
      <c r="T415" s="203">
        <f>(Definition!O415*Definition!G$12)</f>
        <v>0</v>
      </c>
      <c r="U415" s="203">
        <f>(Definition!P415*Definition!H$12)</f>
        <v>0</v>
      </c>
      <c r="V415" s="203">
        <f>(Definition!Q415*Definition!I$12)</f>
        <v>0</v>
      </c>
      <c r="W415" s="204">
        <f t="shared" si="38"/>
        <v>0</v>
      </c>
      <c r="X415" s="206">
        <f t="shared" si="36"/>
        <v>0</v>
      </c>
    </row>
    <row r="416" spans="12:24">
      <c r="L416" s="423"/>
      <c r="M416" s="68">
        <f>IF(compute_ManualOverrideSPA="No", COUNTIFS(JSMVC!E$5:E$14987,UCDEffortSpread!D42, JSMVC!B$5:B$14987,Definition!C$12,JSMVC!D$5:D$14987,Definition!E$3),0)</f>
        <v>0</v>
      </c>
      <c r="N416" s="68">
        <f>IF(compute_ManualOverrideSPA="No", COUNTIFS(JSMVC!E$5:E$14987,UCDEffortSpread!D42, JSMVC!B$5:B$14987,Definition!C$12,JSMVC!D$5:D$14987,Definition!F$3),0)</f>
        <v>0</v>
      </c>
      <c r="O416" s="68">
        <f>IF(compute_ManualOverrideSPA="No", COUNTIFS(JSMVC!E$5:E$14987,UCDEffortSpread!D42, JSMVC!B$5:B$14987,Definition!C$12,JSMVC!D$5:D$14987,Definition!G$3),0)</f>
        <v>0</v>
      </c>
      <c r="P416" s="68">
        <f>IF(compute_ManualOverrideSPA="No", COUNTIFS(JSMVC!E$5:E$14987,UCDEffortSpread!D42, JSMVC!B$5:B$14987,Definition!C$12,JSMVC!D$5:D$14987,Definition!H$3),0)</f>
        <v>0</v>
      </c>
      <c r="Q416" s="68">
        <f>IF(compute_ManualOverrideSPA="No", COUNTIFS(JSMVC!E$5:E$14987,UCDEffortSpread!D42, JSMVC!B$5:B$14987,Definition!C$12,JSMVC!D$5:D$14987,Definition!I$3),0)</f>
        <v>0</v>
      </c>
      <c r="R416" s="203">
        <f>(Definition!M416*Definition!E$12)</f>
        <v>0</v>
      </c>
      <c r="S416" s="203">
        <f>(Definition!N416*Definition!F$12)</f>
        <v>0</v>
      </c>
      <c r="T416" s="203">
        <f>(Definition!O416*Definition!G$12)</f>
        <v>0</v>
      </c>
      <c r="U416" s="203">
        <f>(Definition!P416*Definition!H$12)</f>
        <v>0</v>
      </c>
      <c r="V416" s="203">
        <f>(Definition!Q416*Definition!I$12)</f>
        <v>0</v>
      </c>
      <c r="W416" s="204">
        <f t="shared" si="38"/>
        <v>0</v>
      </c>
      <c r="X416" s="206">
        <f t="shared" si="36"/>
        <v>0</v>
      </c>
    </row>
    <row r="417" spans="12:24">
      <c r="L417" s="423"/>
      <c r="M417" s="68">
        <f>IF(compute_ManualOverrideSPA="No", COUNTIFS(JSMVC!E$5:E$14987,UCDEffortSpread!D43, JSMVC!B$5:B$14987,Definition!C$12,JSMVC!D$5:D$14987,Definition!E$3),0)</f>
        <v>0</v>
      </c>
      <c r="N417" s="68">
        <f>IF(compute_ManualOverrideSPA="No", COUNTIFS(JSMVC!E$5:E$14987,UCDEffortSpread!D43, JSMVC!B$5:B$14987,Definition!C$12,JSMVC!D$5:D$14987,Definition!F$3),0)</f>
        <v>0</v>
      </c>
      <c r="O417" s="68">
        <f>IF(compute_ManualOverrideSPA="No", COUNTIFS(JSMVC!E$5:E$14987,UCDEffortSpread!D43, JSMVC!B$5:B$14987,Definition!C$12,JSMVC!D$5:D$14987,Definition!G$3),0)</f>
        <v>0</v>
      </c>
      <c r="P417" s="68">
        <f>IF(compute_ManualOverrideSPA="No", COUNTIFS(JSMVC!E$5:E$14987,UCDEffortSpread!D43, JSMVC!B$5:B$14987,Definition!C$12,JSMVC!D$5:D$14987,Definition!H$3),0)</f>
        <v>0</v>
      </c>
      <c r="Q417" s="68">
        <f>IF(compute_ManualOverrideSPA="No", COUNTIFS(JSMVC!E$5:E$14987,UCDEffortSpread!D43, JSMVC!B$5:B$14987,Definition!C$12,JSMVC!D$5:D$14987,Definition!I$3),0)</f>
        <v>0</v>
      </c>
      <c r="R417" s="203">
        <f>(Definition!M417*Definition!E$12)</f>
        <v>0</v>
      </c>
      <c r="S417" s="203">
        <f>(Definition!N417*Definition!F$12)</f>
        <v>0</v>
      </c>
      <c r="T417" s="203">
        <f>(Definition!O417*Definition!G$12)</f>
        <v>0</v>
      </c>
      <c r="U417" s="203">
        <f>(Definition!P417*Definition!H$12)</f>
        <v>0</v>
      </c>
      <c r="V417" s="203">
        <f>(Definition!Q417*Definition!I$12)</f>
        <v>0</v>
      </c>
      <c r="W417" s="204">
        <f t="shared" si="38"/>
        <v>0</v>
      </c>
      <c r="X417" s="206">
        <f t="shared" si="36"/>
        <v>0</v>
      </c>
    </row>
    <row r="418" spans="12:24">
      <c r="L418" s="423"/>
      <c r="M418" s="68">
        <f>IF(compute_ManualOverrideSPA="No", COUNTIFS(JSMVC!E$5:E$14987,UCDEffortSpread!D44, JSMVC!B$5:B$14987,Definition!C$12,JSMVC!D$5:D$14987,Definition!E$3),0)</f>
        <v>0</v>
      </c>
      <c r="N418" s="68">
        <f>IF(compute_ManualOverrideSPA="No", COUNTIFS(JSMVC!E$5:E$14987,UCDEffortSpread!D44, JSMVC!B$5:B$14987,Definition!C$12,JSMVC!D$5:D$14987,Definition!F$3),0)</f>
        <v>0</v>
      </c>
      <c r="O418" s="68">
        <f>IF(compute_ManualOverrideSPA="No", COUNTIFS(JSMVC!E$5:E$14987,UCDEffortSpread!D44, JSMVC!B$5:B$14987,Definition!C$12,JSMVC!D$5:D$14987,Definition!G$3),0)</f>
        <v>0</v>
      </c>
      <c r="P418" s="68">
        <f>IF(compute_ManualOverrideSPA="No", COUNTIFS(JSMVC!E$5:E$14987,UCDEffortSpread!D44, JSMVC!B$5:B$14987,Definition!C$12,JSMVC!D$5:D$14987,Definition!H$3),0)</f>
        <v>0</v>
      </c>
      <c r="Q418" s="68">
        <f>IF(compute_ManualOverrideSPA="No", COUNTIFS(JSMVC!E$5:E$14987,UCDEffortSpread!D44, JSMVC!B$5:B$14987,Definition!C$12,JSMVC!D$5:D$14987,Definition!I$3),0)</f>
        <v>0</v>
      </c>
      <c r="R418" s="203">
        <f>(Definition!M418*Definition!E$12)</f>
        <v>0</v>
      </c>
      <c r="S418" s="203">
        <f>(Definition!N418*Definition!F$12)</f>
        <v>0</v>
      </c>
      <c r="T418" s="203">
        <f>(Definition!O418*Definition!G$12)</f>
        <v>0</v>
      </c>
      <c r="U418" s="203">
        <f>(Definition!P418*Definition!H$12)</f>
        <v>0</v>
      </c>
      <c r="V418" s="203">
        <f>(Definition!Q418*Definition!I$12)</f>
        <v>0</v>
      </c>
      <c r="W418" s="204">
        <f t="shared" si="38"/>
        <v>0</v>
      </c>
      <c r="X418" s="206">
        <f t="shared" si="36"/>
        <v>0</v>
      </c>
    </row>
    <row r="419" spans="12:24">
      <c r="L419" s="423"/>
      <c r="M419" s="68">
        <f>IF(compute_ManualOverrideSPA="No", COUNTIFS(JSMVC!E$5:E$14987,UCDEffortSpread!D45, JSMVC!B$5:B$14987,Definition!C$12,JSMVC!D$5:D$14987,Definition!E$3),0)</f>
        <v>0</v>
      </c>
      <c r="N419" s="68">
        <f>IF(compute_ManualOverrideSPA="No", COUNTIFS(JSMVC!E$5:E$14987,UCDEffortSpread!D45, JSMVC!B$5:B$14987,Definition!C$12,JSMVC!D$5:D$14987,Definition!F$3),0)</f>
        <v>0</v>
      </c>
      <c r="O419" s="68">
        <f>IF(compute_ManualOverrideSPA="No", COUNTIFS(JSMVC!E$5:E$14987,UCDEffortSpread!D45, JSMVC!B$5:B$14987,Definition!C$12,JSMVC!D$5:D$14987,Definition!G$3),0)</f>
        <v>0</v>
      </c>
      <c r="P419" s="68">
        <f>IF(compute_ManualOverrideSPA="No", COUNTIFS(JSMVC!E$5:E$14987,UCDEffortSpread!D45, JSMVC!B$5:B$14987,Definition!C$12,JSMVC!D$5:D$14987,Definition!H$3),0)</f>
        <v>0</v>
      </c>
      <c r="Q419" s="68">
        <f>IF(compute_ManualOverrideSPA="No", COUNTIFS(JSMVC!E$5:E$14987,UCDEffortSpread!D45, JSMVC!B$5:B$14987,Definition!C$12,JSMVC!D$5:D$14987,Definition!I$3),0)</f>
        <v>0</v>
      </c>
      <c r="R419" s="203">
        <f>(Definition!M419*Definition!E$12)</f>
        <v>0</v>
      </c>
      <c r="S419" s="203">
        <f>(Definition!N419*Definition!F$12)</f>
        <v>0</v>
      </c>
      <c r="T419" s="203">
        <f>(Definition!O419*Definition!G$12)</f>
        <v>0</v>
      </c>
      <c r="U419" s="203">
        <f>(Definition!P419*Definition!H$12)</f>
        <v>0</v>
      </c>
      <c r="V419" s="203">
        <f>(Definition!Q419*Definition!I$12)</f>
        <v>0</v>
      </c>
      <c r="W419" s="204">
        <f t="shared" si="38"/>
        <v>0</v>
      </c>
      <c r="X419" s="206">
        <f t="shared" si="36"/>
        <v>0</v>
      </c>
    </row>
    <row r="420" spans="12:24">
      <c r="L420" s="423"/>
      <c r="M420" s="68">
        <f>IF(compute_ManualOverrideSPA="No", COUNTIFS(JSMVC!E$5:E$14987,UCDEffortSpread!D46, JSMVC!B$5:B$14987,Definition!C$12,JSMVC!D$5:D$14987,Definition!E$3),0)</f>
        <v>0</v>
      </c>
      <c r="N420" s="68">
        <f>IF(compute_ManualOverrideSPA="No", COUNTIFS(JSMVC!E$5:E$14987,UCDEffortSpread!D46, JSMVC!B$5:B$14987,Definition!C$12,JSMVC!D$5:D$14987,Definition!F$3),0)</f>
        <v>0</v>
      </c>
      <c r="O420" s="68">
        <f>IF(compute_ManualOverrideSPA="No", COUNTIFS(JSMVC!E$5:E$14987,UCDEffortSpread!D46, JSMVC!B$5:B$14987,Definition!C$12,JSMVC!D$5:D$14987,Definition!G$3),0)</f>
        <v>0</v>
      </c>
      <c r="P420" s="68">
        <f>IF(compute_ManualOverrideSPA="No", COUNTIFS(JSMVC!E$5:E$14987,UCDEffortSpread!D46, JSMVC!B$5:B$14987,Definition!C$12,JSMVC!D$5:D$14987,Definition!H$3),0)</f>
        <v>0</v>
      </c>
      <c r="Q420" s="68">
        <f>IF(compute_ManualOverrideSPA="No", COUNTIFS(JSMVC!E$5:E$14987,UCDEffortSpread!D46, JSMVC!B$5:B$14987,Definition!C$12,JSMVC!D$5:D$14987,Definition!I$3),0)</f>
        <v>0</v>
      </c>
      <c r="R420" s="203">
        <f>(Definition!M420*Definition!E$12)</f>
        <v>0</v>
      </c>
      <c r="S420" s="203">
        <f>(Definition!N420*Definition!F$12)</f>
        <v>0</v>
      </c>
      <c r="T420" s="203">
        <f>(Definition!O420*Definition!G$12)</f>
        <v>0</v>
      </c>
      <c r="U420" s="203">
        <f>(Definition!P420*Definition!H$12)</f>
        <v>0</v>
      </c>
      <c r="V420" s="203">
        <f>(Definition!Q420*Definition!I$12)</f>
        <v>0</v>
      </c>
      <c r="W420" s="204">
        <f t="shared" si="38"/>
        <v>0</v>
      </c>
      <c r="X420" s="206">
        <f t="shared" si="36"/>
        <v>0</v>
      </c>
    </row>
    <row r="421" spans="12:24">
      <c r="L421" s="423"/>
      <c r="M421" s="68">
        <f>IF(compute_ManualOverrideSPA="No", COUNTIFS(JSMVC!E$5:E$14987,UCDEffortSpread!D47, JSMVC!B$5:B$14987,Definition!C$12,JSMVC!D$5:D$14987,Definition!E$3),0)</f>
        <v>0</v>
      </c>
      <c r="N421" s="68">
        <f>IF(compute_ManualOverrideSPA="No", COUNTIFS(JSMVC!E$5:E$14987,UCDEffortSpread!D47, JSMVC!B$5:B$14987,Definition!C$12,JSMVC!D$5:D$14987,Definition!F$3),0)</f>
        <v>0</v>
      </c>
      <c r="O421" s="68">
        <f>IF(compute_ManualOverrideSPA="No", COUNTIFS(JSMVC!E$5:E$14987,UCDEffortSpread!D47, JSMVC!B$5:B$14987,Definition!C$12,JSMVC!D$5:D$14987,Definition!G$3),0)</f>
        <v>0</v>
      </c>
      <c r="P421" s="68">
        <f>IF(compute_ManualOverrideSPA="No", COUNTIFS(JSMVC!E$5:E$14987,UCDEffortSpread!D47, JSMVC!B$5:B$14987,Definition!C$12,JSMVC!D$5:D$14987,Definition!H$3),0)</f>
        <v>0</v>
      </c>
      <c r="Q421" s="68">
        <f>IF(compute_ManualOverrideSPA="No", COUNTIFS(JSMVC!E$5:E$14987,UCDEffortSpread!D47, JSMVC!B$5:B$14987,Definition!C$12,JSMVC!D$5:D$14987,Definition!I$3),0)</f>
        <v>0</v>
      </c>
      <c r="R421" s="203">
        <f>(Definition!M421*Definition!E$12)</f>
        <v>0</v>
      </c>
      <c r="S421" s="203">
        <f>(Definition!N421*Definition!F$12)</f>
        <v>0</v>
      </c>
      <c r="T421" s="203">
        <f>(Definition!O421*Definition!G$12)</f>
        <v>0</v>
      </c>
      <c r="U421" s="203">
        <f>(Definition!P421*Definition!H$12)</f>
        <v>0</v>
      </c>
      <c r="V421" s="203">
        <f>(Definition!Q421*Definition!I$12)</f>
        <v>0</v>
      </c>
      <c r="W421" s="204">
        <f t="shared" si="38"/>
        <v>0</v>
      </c>
      <c r="X421" s="206">
        <f t="shared" si="36"/>
        <v>0</v>
      </c>
    </row>
    <row r="422" spans="12:24">
      <c r="L422" s="423"/>
      <c r="M422" s="68">
        <f>IF(compute_ManualOverrideSPA="No", COUNTIFS(JSMVC!E$5:E$14987,UCDEffortSpread!D48, JSMVC!B$5:B$14987,Definition!C$12,JSMVC!D$5:D$14987,Definition!E$3),0)</f>
        <v>0</v>
      </c>
      <c r="N422" s="68">
        <f>IF(compute_ManualOverrideSPA="No", COUNTIFS(JSMVC!E$5:E$14987,UCDEffortSpread!D48, JSMVC!B$5:B$14987,Definition!C$12,JSMVC!D$5:D$14987,Definition!F$3),0)</f>
        <v>0</v>
      </c>
      <c r="O422" s="68">
        <f>IF(compute_ManualOverrideSPA="No", COUNTIFS(JSMVC!E$5:E$14987,UCDEffortSpread!D48, JSMVC!B$5:B$14987,Definition!C$12,JSMVC!D$5:D$14987,Definition!G$3),0)</f>
        <v>0</v>
      </c>
      <c r="P422" s="68">
        <f>IF(compute_ManualOverrideSPA="No", COUNTIFS(JSMVC!E$5:E$14987,UCDEffortSpread!D48, JSMVC!B$5:B$14987,Definition!C$12,JSMVC!D$5:D$14987,Definition!H$3),0)</f>
        <v>0</v>
      </c>
      <c r="Q422" s="68">
        <f>IF(compute_ManualOverrideSPA="No", COUNTIFS(JSMVC!E$5:E$14987,UCDEffortSpread!D48, JSMVC!B$5:B$14987,Definition!C$12,JSMVC!D$5:D$14987,Definition!I$3),0)</f>
        <v>0</v>
      </c>
      <c r="R422" s="203">
        <f>(Definition!M422*Definition!E$12)</f>
        <v>0</v>
      </c>
      <c r="S422" s="203">
        <f>(Definition!N422*Definition!F$12)</f>
        <v>0</v>
      </c>
      <c r="T422" s="203">
        <f>(Definition!O422*Definition!G$12)</f>
        <v>0</v>
      </c>
      <c r="U422" s="203">
        <f>(Definition!P422*Definition!H$12)</f>
        <v>0</v>
      </c>
      <c r="V422" s="203">
        <f>(Definition!Q422*Definition!I$12)</f>
        <v>0</v>
      </c>
      <c r="W422" s="204">
        <f t="shared" si="38"/>
        <v>0</v>
      </c>
      <c r="X422" s="206">
        <f t="shared" si="36"/>
        <v>0</v>
      </c>
    </row>
    <row r="423" spans="12:24">
      <c r="L423" s="423"/>
      <c r="M423" s="68">
        <f>IF(compute_ManualOverrideSPA="No", COUNTIFS(JSMVC!E$5:E$14987,UCDEffortSpread!D49, JSMVC!B$5:B$14987,Definition!C$12,JSMVC!D$5:D$14987,Definition!E$3),0)</f>
        <v>0</v>
      </c>
      <c r="N423" s="68">
        <f>IF(compute_ManualOverrideSPA="No", COUNTIFS(JSMVC!E$5:E$14987,UCDEffortSpread!D49, JSMVC!B$5:B$14987,Definition!C$12,JSMVC!D$5:D$14987,Definition!F$3),0)</f>
        <v>0</v>
      </c>
      <c r="O423" s="68">
        <f>IF(compute_ManualOverrideSPA="No", COUNTIFS(JSMVC!E$5:E$14987,UCDEffortSpread!D49, JSMVC!B$5:B$14987,Definition!C$12,JSMVC!D$5:D$14987,Definition!G$3),0)</f>
        <v>0</v>
      </c>
      <c r="P423" s="68">
        <f>IF(compute_ManualOverrideSPA="No", COUNTIFS(JSMVC!E$5:E$14987,UCDEffortSpread!D49, JSMVC!B$5:B$14987,Definition!C$12,JSMVC!D$5:D$14987,Definition!H$3),0)</f>
        <v>0</v>
      </c>
      <c r="Q423" s="68">
        <f>IF(compute_ManualOverrideSPA="No", COUNTIFS(JSMVC!E$5:E$14987,UCDEffortSpread!D49, JSMVC!B$5:B$14987,Definition!C$12,JSMVC!D$5:D$14987,Definition!I$3),0)</f>
        <v>0</v>
      </c>
      <c r="R423" s="203">
        <f>(Definition!M423*Definition!E$12)</f>
        <v>0</v>
      </c>
      <c r="S423" s="203">
        <f>(Definition!N423*Definition!F$12)</f>
        <v>0</v>
      </c>
      <c r="T423" s="203">
        <f>(Definition!O423*Definition!G$12)</f>
        <v>0</v>
      </c>
      <c r="U423" s="203">
        <f>(Definition!P423*Definition!H$12)</f>
        <v>0</v>
      </c>
      <c r="V423" s="203">
        <f>(Definition!Q423*Definition!I$12)</f>
        <v>0</v>
      </c>
      <c r="W423" s="204">
        <f t="shared" si="38"/>
        <v>0</v>
      </c>
      <c r="X423" s="206">
        <f t="shared" si="36"/>
        <v>0</v>
      </c>
    </row>
    <row r="424" spans="12:24">
      <c r="L424" s="423"/>
      <c r="M424" s="68">
        <f>IF(compute_ManualOverrideSPA="No", COUNTIFS(JSMVC!E$5:E$14987,UCDEffortSpread!D50, JSMVC!B$5:B$14987,Definition!C$12,JSMVC!D$5:D$14987,Definition!E$3),0)</f>
        <v>0</v>
      </c>
      <c r="N424" s="68">
        <f>IF(compute_ManualOverrideSPA="No", COUNTIFS(JSMVC!E$5:E$14987,UCDEffortSpread!D50, JSMVC!B$5:B$14987,Definition!C$12,JSMVC!D$5:D$14987,Definition!F$3),0)</f>
        <v>0</v>
      </c>
      <c r="O424" s="68">
        <f>IF(compute_ManualOverrideSPA="No", COUNTIFS(JSMVC!E$5:E$14987,UCDEffortSpread!D50, JSMVC!B$5:B$14987,Definition!C$12,JSMVC!D$5:D$14987,Definition!G$3),0)</f>
        <v>0</v>
      </c>
      <c r="P424" s="68">
        <f>IF(compute_ManualOverrideSPA="No", COUNTIFS(JSMVC!E$5:E$14987,UCDEffortSpread!D50, JSMVC!B$5:B$14987,Definition!C$12,JSMVC!D$5:D$14987,Definition!H$3),0)</f>
        <v>0</v>
      </c>
      <c r="Q424" s="68">
        <f>IF(compute_ManualOverrideSPA="No", COUNTIFS(JSMVC!E$5:E$14987,UCDEffortSpread!D50, JSMVC!B$5:B$14987,Definition!C$12,JSMVC!D$5:D$14987,Definition!I$3),0)</f>
        <v>0</v>
      </c>
      <c r="R424" s="203">
        <f>(Definition!M424*Definition!E$12)</f>
        <v>0</v>
      </c>
      <c r="S424" s="203">
        <f>(Definition!N424*Definition!F$12)</f>
        <v>0</v>
      </c>
      <c r="T424" s="203">
        <f>(Definition!O424*Definition!G$12)</f>
        <v>0</v>
      </c>
      <c r="U424" s="203">
        <f>(Definition!P424*Definition!H$12)</f>
        <v>0</v>
      </c>
      <c r="V424" s="203">
        <f>(Definition!Q424*Definition!I$12)</f>
        <v>0</v>
      </c>
      <c r="W424" s="204">
        <f t="shared" si="38"/>
        <v>0</v>
      </c>
      <c r="X424" s="206">
        <f t="shared" si="36"/>
        <v>0</v>
      </c>
    </row>
    <row r="425" spans="12:24">
      <c r="L425" s="423"/>
      <c r="M425" s="68">
        <f>IF(compute_ManualOverrideSPA="No", COUNTIFS(JSMVC!E$5:E$14987,UCDEffortSpread!D51, JSMVC!B$5:B$14987,Definition!C$12,JSMVC!D$5:D$14987,Definition!E$3),0)</f>
        <v>0</v>
      </c>
      <c r="N425" s="68">
        <f>IF(compute_ManualOverrideSPA="No", COUNTIFS(JSMVC!E$5:E$14987,UCDEffortSpread!D51, JSMVC!B$5:B$14987,Definition!C$12,JSMVC!D$5:D$14987,Definition!F$3),0)</f>
        <v>0</v>
      </c>
      <c r="O425" s="68">
        <f>IF(compute_ManualOverrideSPA="No", COUNTIFS(JSMVC!E$5:E$14987,UCDEffortSpread!D51, JSMVC!B$5:B$14987,Definition!C$12,JSMVC!D$5:D$14987,Definition!G$3),0)</f>
        <v>0</v>
      </c>
      <c r="P425" s="68">
        <f>IF(compute_ManualOverrideSPA="No", COUNTIFS(JSMVC!E$5:E$14987,UCDEffortSpread!D51, JSMVC!B$5:B$14987,Definition!C$12,JSMVC!D$5:D$14987,Definition!H$3),0)</f>
        <v>0</v>
      </c>
      <c r="Q425" s="68">
        <f>IF(compute_ManualOverrideSPA="No", COUNTIFS(JSMVC!E$5:E$14987,UCDEffortSpread!D51, JSMVC!B$5:B$14987,Definition!C$12,JSMVC!D$5:D$14987,Definition!I$3),0)</f>
        <v>0</v>
      </c>
      <c r="R425" s="203">
        <f>(Definition!M425*Definition!E$12)</f>
        <v>0</v>
      </c>
      <c r="S425" s="203">
        <f>(Definition!N425*Definition!F$12)</f>
        <v>0</v>
      </c>
      <c r="T425" s="203">
        <f>(Definition!O425*Definition!G$12)</f>
        <v>0</v>
      </c>
      <c r="U425" s="203">
        <f>(Definition!P425*Definition!H$12)</f>
        <v>0</v>
      </c>
      <c r="V425" s="203">
        <f>(Definition!Q425*Definition!I$12)</f>
        <v>0</v>
      </c>
      <c r="W425" s="204">
        <f t="shared" si="38"/>
        <v>0</v>
      </c>
      <c r="X425" s="206">
        <f t="shared" si="36"/>
        <v>0</v>
      </c>
    </row>
    <row r="426" spans="12:24">
      <c r="L426" s="423"/>
      <c r="M426" s="68">
        <f>IF(compute_ManualOverrideSPA="No", COUNTIFS(JSMVC!E$5:E$14987,UCDEffortSpread!D52, JSMVC!B$5:B$14987,Definition!C$12,JSMVC!D$5:D$14987,Definition!E$3),0)</f>
        <v>0</v>
      </c>
      <c r="N426" s="68">
        <f>IF(compute_ManualOverrideSPA="No", COUNTIFS(JSMVC!E$5:E$14987,UCDEffortSpread!D52, JSMVC!B$5:B$14987,Definition!C$12,JSMVC!D$5:D$14987,Definition!F$3),0)</f>
        <v>0</v>
      </c>
      <c r="O426" s="68">
        <f>IF(compute_ManualOverrideSPA="No", COUNTIFS(JSMVC!E$5:E$14987,UCDEffortSpread!D52, JSMVC!B$5:B$14987,Definition!C$12,JSMVC!D$5:D$14987,Definition!G$3),0)</f>
        <v>0</v>
      </c>
      <c r="P426" s="68">
        <f>IF(compute_ManualOverrideSPA="No", COUNTIFS(JSMVC!E$5:E$14987,UCDEffortSpread!D52, JSMVC!B$5:B$14987,Definition!C$12,JSMVC!D$5:D$14987,Definition!H$3),0)</f>
        <v>0</v>
      </c>
      <c r="Q426" s="68">
        <f>IF(compute_ManualOverrideSPA="No", COUNTIFS(JSMVC!E$5:E$14987,UCDEffortSpread!D52, JSMVC!B$5:B$14987,Definition!C$12,JSMVC!D$5:D$14987,Definition!I$3),0)</f>
        <v>0</v>
      </c>
      <c r="R426" s="203">
        <f>(Definition!M426*Definition!E$12)</f>
        <v>0</v>
      </c>
      <c r="S426" s="203">
        <f>(Definition!N426*Definition!F$12)</f>
        <v>0</v>
      </c>
      <c r="T426" s="203">
        <f>(Definition!O426*Definition!G$12)</f>
        <v>0</v>
      </c>
      <c r="U426" s="203">
        <f>(Definition!P426*Definition!H$12)</f>
        <v>0</v>
      </c>
      <c r="V426" s="203">
        <f>(Definition!Q426*Definition!I$12)</f>
        <v>0</v>
      </c>
      <c r="W426" s="204">
        <f t="shared" si="38"/>
        <v>0</v>
      </c>
      <c r="X426" s="206">
        <f t="shared" si="36"/>
        <v>0</v>
      </c>
    </row>
    <row r="427" spans="12:24">
      <c r="L427" s="423"/>
      <c r="M427" s="68">
        <f>IF(compute_ManualOverrideSPA="No", COUNTIFS(JSMVC!E$5:E$14987,UCDEffortSpread!D53, JSMVC!B$5:B$14987,Definition!C$12,JSMVC!D$5:D$14987,Definition!E$3),0)</f>
        <v>0</v>
      </c>
      <c r="N427" s="68">
        <f>IF(compute_ManualOverrideSPA="No", COUNTIFS(JSMVC!E$5:E$14987,UCDEffortSpread!D53, JSMVC!B$5:B$14987,Definition!C$12,JSMVC!D$5:D$14987,Definition!F$3),0)</f>
        <v>0</v>
      </c>
      <c r="O427" s="68">
        <f>IF(compute_ManualOverrideSPA="No", COUNTIFS(JSMVC!E$5:E$14987,UCDEffortSpread!D53, JSMVC!B$5:B$14987,Definition!C$12,JSMVC!D$5:D$14987,Definition!G$3),0)</f>
        <v>0</v>
      </c>
      <c r="P427" s="68">
        <f>IF(compute_ManualOverrideSPA="No", COUNTIFS(JSMVC!E$5:E$14987,UCDEffortSpread!D53, JSMVC!B$5:B$14987,Definition!C$12,JSMVC!D$5:D$14987,Definition!H$3),0)</f>
        <v>0</v>
      </c>
      <c r="Q427" s="68">
        <f>IF(compute_ManualOverrideSPA="No", COUNTIFS(JSMVC!E$5:E$14987,UCDEffortSpread!D53, JSMVC!B$5:B$14987,Definition!C$12,JSMVC!D$5:D$14987,Definition!I$3),0)</f>
        <v>0</v>
      </c>
      <c r="R427" s="203">
        <f>(Definition!M427*Definition!E$12)</f>
        <v>0</v>
      </c>
      <c r="S427" s="203">
        <f>(Definition!N427*Definition!F$12)</f>
        <v>0</v>
      </c>
      <c r="T427" s="203">
        <f>(Definition!O427*Definition!G$12)</f>
        <v>0</v>
      </c>
      <c r="U427" s="203">
        <f>(Definition!P427*Definition!H$12)</f>
        <v>0</v>
      </c>
      <c r="V427" s="203">
        <f>(Definition!Q427*Definition!I$12)</f>
        <v>0</v>
      </c>
      <c r="W427" s="204">
        <f t="shared" si="38"/>
        <v>0</v>
      </c>
      <c r="X427" s="206">
        <f t="shared" si="36"/>
        <v>0</v>
      </c>
    </row>
    <row r="428" spans="12:24">
      <c r="L428" s="424"/>
      <c r="M428" s="68">
        <f>IF(compute_ManualOverrideSPA="No", COUNTIFS(JSMVC!E$5:E$14987,UCDEffortSpread!D54, JSMVC!B$5:B$14987,Definition!C$12,JSMVC!D$5:D$14987,Definition!E$3),0)</f>
        <v>0</v>
      </c>
      <c r="N428" s="68">
        <f>IF(compute_ManualOverrideSPA="No", COUNTIFS(JSMVC!E$5:E$14987,UCDEffortSpread!D54, JSMVC!B$5:B$14987,Definition!C$12,JSMVC!D$5:D$14987,Definition!F$3),0)</f>
        <v>0</v>
      </c>
      <c r="O428" s="68">
        <f>IF(compute_ManualOverrideSPA="No", COUNTIFS(JSMVC!E$5:E$14987,UCDEffortSpread!D54, JSMVC!B$5:B$14987,Definition!C$12,JSMVC!D$5:D$14987,Definition!G$3),0)</f>
        <v>0</v>
      </c>
      <c r="P428" s="68">
        <f>IF(compute_ManualOverrideSPA="No", COUNTIFS(JSMVC!E$5:E$14987,UCDEffortSpread!D54, JSMVC!B$5:B$14987,Definition!C$12,JSMVC!D$5:D$14987,Definition!H$3),0)</f>
        <v>0</v>
      </c>
      <c r="Q428" s="68">
        <f>IF(compute_ManualOverrideSPA="No", COUNTIFS(JSMVC!E$5:E$14987,UCDEffortSpread!D54, JSMVC!B$5:B$14987,Definition!C$12,JSMVC!D$5:D$14987,Definition!I$3),0)</f>
        <v>0</v>
      </c>
      <c r="R428" s="203">
        <f>(Definition!M428*Definition!E$12)</f>
        <v>0</v>
      </c>
      <c r="S428" s="203">
        <f>(Definition!N428*Definition!F$12)</f>
        <v>0</v>
      </c>
      <c r="T428" s="203">
        <f>(Definition!O428*Definition!G$12)</f>
        <v>0</v>
      </c>
      <c r="U428" s="203">
        <f>(Definition!P428*Definition!H$12)</f>
        <v>0</v>
      </c>
      <c r="V428" s="203">
        <f>(Definition!Q428*Definition!I$12)</f>
        <v>0</v>
      </c>
      <c r="W428" s="204">
        <f t="shared" si="38"/>
        <v>0</v>
      </c>
      <c r="X428" s="206">
        <f t="shared" si="36"/>
        <v>0</v>
      </c>
    </row>
    <row r="429" spans="12:24">
      <c r="L429" s="422" t="str">
        <f>C13</f>
        <v>App Building</v>
      </c>
      <c r="M429" s="68">
        <f>IF(compute_ManualOverrideSPA="No", COUNTIFS(JSMVC!E$5:E$14987,UCDEffortSpread!D5, JSMVC!B$5:B$14987,Definition!C$13,JSMVC!D$5:D$14987,Definition!E$3),JSMVC!H$21)</f>
        <v>0</v>
      </c>
      <c r="N429" s="68">
        <f>IF(compute_ManualOverrideSPA="No", COUNTIFS(JSMVC!E$5:E$14987,UCDEffortSpread!D5, JSMVC!B$5:B$14987,Definition!C$13,JSMVC!D$5:D$14987,Definition!F$3),JSMVC!I$21)</f>
        <v>0</v>
      </c>
      <c r="O429" s="68">
        <f>IF(compute_ManualOverrideSPA="No", COUNTIFS(JSMVC!E$5:E$14987,UCDEffortSpread!D5, JSMVC!B$5:B$14987,Definition!C$13,JSMVC!D$5:D$14987,Definition!G$3),JSMVC!J$21)</f>
        <v>0</v>
      </c>
      <c r="P429" s="68">
        <f>IF(compute_ManualOverrideSPA="No", COUNTIFS(JSMVC!E$5:E$14987,UCDEffortSpread!D5, JSMVC!B$5:B$14987,Definition!C$13,JSMVC!D$5:D$14987,Definition!H$3),JSMVC!K$21)</f>
        <v>0</v>
      </c>
      <c r="Q429" s="68">
        <f>IF(compute_ManualOverrideSPA="No", COUNTIFS(JSMVC!E$5:E$14987,UCDEffortSpread!D5, JSMVC!B$5:B$14987,Definition!C$13,JSMVC!D$5:D$14987,Definition!I$3),JSMVC!L$21)</f>
        <v>0</v>
      </c>
      <c r="R429" s="204">
        <f>(Definition!M429*Definition!E$13)</f>
        <v>0</v>
      </c>
      <c r="S429" s="204">
        <f>(Definition!N429*Definition!F$13)</f>
        <v>0</v>
      </c>
      <c r="T429" s="204">
        <f>(Definition!O429*Definition!G$13)</f>
        <v>0</v>
      </c>
      <c r="U429" s="204">
        <f>(Definition!P429*Definition!H$13)</f>
        <v>0</v>
      </c>
      <c r="V429" s="204">
        <f>(Definition!Q429*Definition!I$13)</f>
        <v>0</v>
      </c>
      <c r="W429" s="203">
        <f>SUM(R429:V429)</f>
        <v>0</v>
      </c>
      <c r="X429" s="206">
        <f>IF(W429&lt;&gt;0,SUM(R429:V429),0)</f>
        <v>0</v>
      </c>
    </row>
    <row r="430" spans="12:24">
      <c r="L430" s="423"/>
      <c r="M430" s="68">
        <f>IF(compute_ManualOverrideSPA="No", COUNTIFS(JSMVC!E$5:E$14987,UCDEffortSpread!D6, JSMVC!B$5:B$14987,Definition!C$13,JSMVC!D$5:D$14987,Definition!E$3),0)</f>
        <v>0</v>
      </c>
      <c r="N430" s="68">
        <f>IF(compute_ManualOverrideSPA="No", COUNTIFS(JSMVC!E$5:E$14987,UCDEffortSpread!D6, JSMVC!B$5:B$14987,Definition!C$13,JSMVC!D$5:D$14987,Definition!F$3),0)</f>
        <v>0</v>
      </c>
      <c r="O430" s="68">
        <f>IF(compute_ManualOverrideSPA="No", COUNTIFS(JSMVC!E$5:E$14987,UCDEffortSpread!D6, JSMVC!B$5:B$14987,Definition!C$13,JSMVC!D$5:D$14987,Definition!G$3),0)</f>
        <v>0</v>
      </c>
      <c r="P430" s="68">
        <f>IF(compute_ManualOverrideSPA="No", COUNTIFS(JSMVC!E$5:E$14987,UCDEffortSpread!D6, JSMVC!B$5:B$14987,Definition!C$13,JSMVC!D$5:D$14987,Definition!H$3),0)</f>
        <v>0</v>
      </c>
      <c r="Q430" s="68">
        <f>IF(compute_ManualOverrideSPA="No", COUNTIFS(JSMVC!E$5:E$14987,UCDEffortSpread!D6, JSMVC!B$5:B$14987,Definition!C$13,JSMVC!D$5:D$14987,Definition!I$3),0)</f>
        <v>0</v>
      </c>
      <c r="R430" s="204">
        <f>(Definition!M430*Definition!E$13)</f>
        <v>0</v>
      </c>
      <c r="S430" s="204">
        <f>(Definition!N430*Definition!F$13)</f>
        <v>0</v>
      </c>
      <c r="T430" s="204">
        <f>(Definition!O430*Definition!G$13)</f>
        <v>0</v>
      </c>
      <c r="U430" s="204">
        <f>(Definition!P430*Definition!H$13)</f>
        <v>0</v>
      </c>
      <c r="V430" s="204">
        <f>(Definition!Q430*Definition!I$13)</f>
        <v>0</v>
      </c>
      <c r="W430" s="203">
        <f t="shared" ref="W430:W443" si="39">SUM(R430:V430)</f>
        <v>0</v>
      </c>
      <c r="X430" s="206">
        <f t="shared" si="36"/>
        <v>0</v>
      </c>
    </row>
    <row r="431" spans="12:24">
      <c r="L431" s="423"/>
      <c r="M431" s="68">
        <f>IF(compute_ManualOverrideSPA="No", COUNTIFS(JSMVC!E$5:E$14987,UCDEffortSpread!D7, JSMVC!B$5:B$14987,Definition!C$13,JSMVC!D$5:D$14987,Definition!E$3),0)</f>
        <v>0</v>
      </c>
      <c r="N431" s="68">
        <f>IF(compute_ManualOverrideSPA="No", COUNTIFS(JSMVC!E$5:E$14987,UCDEffortSpread!D7, JSMVC!B$5:B$14987,Definition!C$13,JSMVC!D$5:D$14987,Definition!F$3),0)</f>
        <v>0</v>
      </c>
      <c r="O431" s="68">
        <f>IF(compute_ManualOverrideSPA="No", COUNTIFS(JSMVC!E$5:E$14987,UCDEffortSpread!D7, JSMVC!B$5:B$14987,Definition!C$13,JSMVC!D$5:D$14987,Definition!G$3),0)</f>
        <v>0</v>
      </c>
      <c r="P431" s="68">
        <f>IF(compute_ManualOverrideSPA="No", COUNTIFS(JSMVC!E$5:E$14987,UCDEffortSpread!D7, JSMVC!B$5:B$14987,Definition!C$13,JSMVC!D$5:D$14987,Definition!H$3),0)</f>
        <v>0</v>
      </c>
      <c r="Q431" s="68">
        <f>IF(compute_ManualOverrideSPA="No", COUNTIFS(JSMVC!E$5:E$14987,UCDEffortSpread!D7, JSMVC!B$5:B$14987,Definition!C$13,JSMVC!D$5:D$14987,Definition!I$3),0)</f>
        <v>0</v>
      </c>
      <c r="R431" s="204">
        <f>(Definition!M431*Definition!E$13)</f>
        <v>0</v>
      </c>
      <c r="S431" s="204">
        <f>(Definition!N431*Definition!F$13)</f>
        <v>0</v>
      </c>
      <c r="T431" s="204">
        <f>(Definition!O431*Definition!G$13)</f>
        <v>0</v>
      </c>
      <c r="U431" s="204">
        <f>(Definition!P431*Definition!H$13)</f>
        <v>0</v>
      </c>
      <c r="V431" s="204">
        <f>(Definition!Q431*Definition!I$13)</f>
        <v>0</v>
      </c>
      <c r="W431" s="203">
        <f t="shared" si="39"/>
        <v>0</v>
      </c>
      <c r="X431" s="206">
        <f t="shared" si="36"/>
        <v>0</v>
      </c>
    </row>
    <row r="432" spans="12:24">
      <c r="L432" s="423"/>
      <c r="M432" s="68">
        <f>IF(compute_ManualOverrideSPA="No", COUNTIFS(JSMVC!E$5:E$14987,UCDEffortSpread!D8, JSMVC!B$5:B$14987,Definition!C$13,JSMVC!D$5:D$14987,Definition!E$3),0)</f>
        <v>0</v>
      </c>
      <c r="N432" s="68">
        <f>IF(compute_ManualOverrideSPA="No", COUNTIFS(JSMVC!E$5:E$14987,UCDEffortSpread!D8, JSMVC!B$5:B$14987,Definition!C$13,JSMVC!D$5:D$14987,Definition!F$3),0)</f>
        <v>0</v>
      </c>
      <c r="O432" s="68">
        <f>IF(compute_ManualOverrideSPA="No", COUNTIFS(JSMVC!E$5:E$14987,UCDEffortSpread!D8, JSMVC!B$5:B$14987,Definition!C$13,JSMVC!D$5:D$14987,Definition!G$3),0)</f>
        <v>0</v>
      </c>
      <c r="P432" s="68">
        <f>IF(compute_ManualOverrideSPA="No", COUNTIFS(JSMVC!E$5:E$14987,UCDEffortSpread!D8, JSMVC!B$5:B$14987,Definition!C$13,JSMVC!D$5:D$14987,Definition!H$3),0)</f>
        <v>0</v>
      </c>
      <c r="Q432" s="68">
        <f>IF(compute_ManualOverrideSPA="No", COUNTIFS(JSMVC!E$5:E$14987,UCDEffortSpread!D8, JSMVC!B$5:B$14987,Definition!C$13,JSMVC!D$5:D$14987,Definition!I$3),0)</f>
        <v>0</v>
      </c>
      <c r="R432" s="204">
        <f>(Definition!M432*Definition!E$13)</f>
        <v>0</v>
      </c>
      <c r="S432" s="204">
        <f>(Definition!N432*Definition!F$13)</f>
        <v>0</v>
      </c>
      <c r="T432" s="204">
        <f>(Definition!O432*Definition!G$13)</f>
        <v>0</v>
      </c>
      <c r="U432" s="204">
        <f>(Definition!P432*Definition!H$13)</f>
        <v>0</v>
      </c>
      <c r="V432" s="204">
        <f>(Definition!Q432*Definition!I$13)</f>
        <v>0</v>
      </c>
      <c r="W432" s="203">
        <f t="shared" si="39"/>
        <v>0</v>
      </c>
      <c r="X432" s="206">
        <f t="shared" si="36"/>
        <v>0</v>
      </c>
    </row>
    <row r="433" spans="12:24">
      <c r="L433" s="423"/>
      <c r="M433" s="68">
        <f>IF(compute_ManualOverrideSPA="No", COUNTIFS(JSMVC!E$5:E$14987,UCDEffortSpread!D9, JSMVC!B$5:B$14987,Definition!C$13,JSMVC!D$5:D$14987,Definition!E$3),0)</f>
        <v>0</v>
      </c>
      <c r="N433" s="68">
        <f>IF(compute_ManualOverrideSPA="No", COUNTIFS(JSMVC!E$5:E$14987,UCDEffortSpread!D9, JSMVC!B$5:B$14987,Definition!C$13,JSMVC!D$5:D$14987,Definition!F$3),0)</f>
        <v>0</v>
      </c>
      <c r="O433" s="68">
        <f>IF(compute_ManualOverrideSPA="No", COUNTIFS(JSMVC!E$5:E$14987,UCDEffortSpread!D9, JSMVC!B$5:B$14987,Definition!C$13,JSMVC!D$5:D$14987,Definition!G$3),0)</f>
        <v>0</v>
      </c>
      <c r="P433" s="68">
        <f>IF(compute_ManualOverrideSPA="No", COUNTIFS(JSMVC!E$5:E$14987,UCDEffortSpread!D9, JSMVC!B$5:B$14987,Definition!C$13,JSMVC!D$5:D$14987,Definition!H$3),0)</f>
        <v>0</v>
      </c>
      <c r="Q433" s="68">
        <f>IF(compute_ManualOverrideSPA="No", COUNTIFS(JSMVC!E$5:E$14987,UCDEffortSpread!D9, JSMVC!B$5:B$14987,Definition!C$13,JSMVC!D$5:D$14987,Definition!I$3),0)</f>
        <v>0</v>
      </c>
      <c r="R433" s="204">
        <f>(Definition!M433*Definition!E$13)</f>
        <v>0</v>
      </c>
      <c r="S433" s="204">
        <f>(Definition!N433*Definition!F$13)</f>
        <v>0</v>
      </c>
      <c r="T433" s="204">
        <f>(Definition!O433*Definition!G$13)</f>
        <v>0</v>
      </c>
      <c r="U433" s="204">
        <f>(Definition!P433*Definition!H$13)</f>
        <v>0</v>
      </c>
      <c r="V433" s="204">
        <f>(Definition!Q433*Definition!I$13)</f>
        <v>0</v>
      </c>
      <c r="W433" s="203">
        <f t="shared" si="39"/>
        <v>0</v>
      </c>
      <c r="X433" s="206">
        <f t="shared" si="36"/>
        <v>0</v>
      </c>
    </row>
    <row r="434" spans="12:24">
      <c r="L434" s="423"/>
      <c r="M434" s="68">
        <f>IF(compute_ManualOverrideSPA="No", COUNTIFS(JSMVC!E$5:E$14987,UCDEffortSpread!D10, JSMVC!B$5:B$14987,Definition!C$13,JSMVC!D$5:D$14987,Definition!E$3),0)</f>
        <v>0</v>
      </c>
      <c r="N434" s="68">
        <f>IF(compute_ManualOverrideSPA="No", COUNTIFS(JSMVC!E$5:E$14987,UCDEffortSpread!D10, JSMVC!B$5:B$14987,Definition!C$13,JSMVC!D$5:D$14987,Definition!F$3),0)</f>
        <v>0</v>
      </c>
      <c r="O434" s="68">
        <f>IF(compute_ManualOverrideSPA="No", COUNTIFS(JSMVC!E$5:E$14987,UCDEffortSpread!D10, JSMVC!B$5:B$14987,Definition!C$13,JSMVC!D$5:D$14987,Definition!G$3),0)</f>
        <v>0</v>
      </c>
      <c r="P434" s="68">
        <f>IF(compute_ManualOverrideSPA="No", COUNTIFS(JSMVC!E$5:E$14987,UCDEffortSpread!D10, JSMVC!B$5:B$14987,Definition!C$13,JSMVC!D$5:D$14987,Definition!H$3),0)</f>
        <v>0</v>
      </c>
      <c r="Q434" s="68">
        <f>IF(compute_ManualOverrideSPA="No", COUNTIFS(JSMVC!E$5:E$14987,UCDEffortSpread!D10, JSMVC!B$5:B$14987,Definition!C$13,JSMVC!D$5:D$14987,Definition!I$3),0)</f>
        <v>0</v>
      </c>
      <c r="R434" s="204">
        <f>(Definition!M434*Definition!E$13)</f>
        <v>0</v>
      </c>
      <c r="S434" s="204">
        <f>(Definition!N434*Definition!F$13)</f>
        <v>0</v>
      </c>
      <c r="T434" s="204">
        <f>(Definition!O434*Definition!G$13)</f>
        <v>0</v>
      </c>
      <c r="U434" s="204">
        <f>(Definition!P434*Definition!H$13)</f>
        <v>0</v>
      </c>
      <c r="V434" s="204">
        <f>(Definition!Q434*Definition!I$13)</f>
        <v>0</v>
      </c>
      <c r="W434" s="203">
        <f t="shared" si="39"/>
        <v>0</v>
      </c>
      <c r="X434" s="206">
        <f t="shared" si="36"/>
        <v>0</v>
      </c>
    </row>
    <row r="435" spans="12:24">
      <c r="L435" s="423"/>
      <c r="M435" s="68">
        <f>IF(compute_ManualOverrideSPA="No", COUNTIFS(JSMVC!E$5:E$14987,UCDEffortSpread!D11, JSMVC!B$5:B$14987,Definition!C$13,JSMVC!D$5:D$14987,Definition!E$3),0)</f>
        <v>0</v>
      </c>
      <c r="N435" s="68">
        <f>IF(compute_ManualOverrideSPA="No", COUNTIFS(JSMVC!E$5:E$14987,UCDEffortSpread!D11, JSMVC!B$5:B$14987,Definition!C$13,JSMVC!D$5:D$14987,Definition!F$3),0)</f>
        <v>0</v>
      </c>
      <c r="O435" s="68">
        <f>IF(compute_ManualOverrideSPA="No", COUNTIFS(JSMVC!E$5:E$14987,UCDEffortSpread!D11, JSMVC!B$5:B$14987,Definition!C$13,JSMVC!D$5:D$14987,Definition!G$3),0)</f>
        <v>0</v>
      </c>
      <c r="P435" s="68">
        <f>IF(compute_ManualOverrideSPA="No", COUNTIFS(JSMVC!E$5:E$14987,UCDEffortSpread!D11, JSMVC!B$5:B$14987,Definition!C$13,JSMVC!D$5:D$14987,Definition!H$3),0)</f>
        <v>0</v>
      </c>
      <c r="Q435" s="68">
        <f>IF(compute_ManualOverrideSPA="No", COUNTIFS(JSMVC!E$5:E$14987,UCDEffortSpread!D11, JSMVC!B$5:B$14987,Definition!C$13,JSMVC!D$5:D$14987,Definition!I$3),0)</f>
        <v>0</v>
      </c>
      <c r="R435" s="204">
        <f>(Definition!M435*Definition!E$13)</f>
        <v>0</v>
      </c>
      <c r="S435" s="204">
        <f>(Definition!N435*Definition!F$13)</f>
        <v>0</v>
      </c>
      <c r="T435" s="204">
        <f>(Definition!O435*Definition!G$13)</f>
        <v>0</v>
      </c>
      <c r="U435" s="204">
        <f>(Definition!P435*Definition!H$13)</f>
        <v>0</v>
      </c>
      <c r="V435" s="204">
        <f>(Definition!Q435*Definition!I$13)</f>
        <v>0</v>
      </c>
      <c r="W435" s="203">
        <f t="shared" si="39"/>
        <v>0</v>
      </c>
      <c r="X435" s="206">
        <f t="shared" si="36"/>
        <v>0</v>
      </c>
    </row>
    <row r="436" spans="12:24">
      <c r="L436" s="423"/>
      <c r="M436" s="68">
        <f>IF(compute_ManualOverrideSPA="No", COUNTIFS(JSMVC!E$5:E$14987,UCDEffortSpread!D12, JSMVC!B$5:B$14987,Definition!C$13,JSMVC!D$5:D$14987,Definition!E$3),0)</f>
        <v>0</v>
      </c>
      <c r="N436" s="68">
        <f>IF(compute_ManualOverrideSPA="No", COUNTIFS(JSMVC!E$5:E$14987,UCDEffortSpread!D12, JSMVC!B$5:B$14987,Definition!C$13,JSMVC!D$5:D$14987,Definition!F$3),0)</f>
        <v>0</v>
      </c>
      <c r="O436" s="68">
        <f>IF(compute_ManualOverrideSPA="No", COUNTIFS(JSMVC!E$5:E$14987,UCDEffortSpread!D12, JSMVC!B$5:B$14987,Definition!C$13,JSMVC!D$5:D$14987,Definition!G$3),0)</f>
        <v>0</v>
      </c>
      <c r="P436" s="68">
        <f>IF(compute_ManualOverrideSPA="No", COUNTIFS(JSMVC!E$5:E$14987,UCDEffortSpread!D12, JSMVC!B$5:B$14987,Definition!C$13,JSMVC!D$5:D$14987,Definition!H$3),0)</f>
        <v>0</v>
      </c>
      <c r="Q436" s="68">
        <f>IF(compute_ManualOverrideSPA="No", COUNTIFS(JSMVC!E$5:E$14987,UCDEffortSpread!D12, JSMVC!B$5:B$14987,Definition!C$13,JSMVC!D$5:D$14987,Definition!I$3),0)</f>
        <v>0</v>
      </c>
      <c r="R436" s="204">
        <f>(Definition!M436*Definition!E$13)</f>
        <v>0</v>
      </c>
      <c r="S436" s="204">
        <f>(Definition!N436*Definition!F$13)</f>
        <v>0</v>
      </c>
      <c r="T436" s="204">
        <f>(Definition!O436*Definition!G$13)</f>
        <v>0</v>
      </c>
      <c r="U436" s="204">
        <f>(Definition!P436*Definition!H$13)</f>
        <v>0</v>
      </c>
      <c r="V436" s="204">
        <f>(Definition!Q436*Definition!I$13)</f>
        <v>0</v>
      </c>
      <c r="W436" s="203">
        <f t="shared" si="39"/>
        <v>0</v>
      </c>
      <c r="X436" s="206">
        <f t="shared" ref="X436:X478" si="40">IF(W436&lt;&gt;0,SUM(R436:V436),0)</f>
        <v>0</v>
      </c>
    </row>
    <row r="437" spans="12:24">
      <c r="L437" s="423"/>
      <c r="M437" s="68">
        <f>IF(compute_ManualOverrideSPA="No", COUNTIFS(JSMVC!E$5:E$14987,UCDEffortSpread!D13, JSMVC!B$5:B$14987,Definition!C$13,JSMVC!D$5:D$14987,Definition!E$3),0)</f>
        <v>0</v>
      </c>
      <c r="N437" s="68">
        <f>IF(compute_ManualOverrideSPA="No", COUNTIFS(JSMVC!E$5:E$14987,UCDEffortSpread!D13, JSMVC!B$5:B$14987,Definition!C$13,JSMVC!D$5:D$14987,Definition!F$3),0)</f>
        <v>0</v>
      </c>
      <c r="O437" s="68">
        <f>IF(compute_ManualOverrideSPA="No", COUNTIFS(JSMVC!E$5:E$14987,UCDEffortSpread!D13, JSMVC!B$5:B$14987,Definition!C$13,JSMVC!D$5:D$14987,Definition!G$3),0)</f>
        <v>0</v>
      </c>
      <c r="P437" s="68">
        <f>IF(compute_ManualOverrideSPA="No", COUNTIFS(JSMVC!E$5:E$14987,UCDEffortSpread!D13, JSMVC!B$5:B$14987,Definition!C$13,JSMVC!D$5:D$14987,Definition!H$3),0)</f>
        <v>0</v>
      </c>
      <c r="Q437" s="68">
        <f>IF(compute_ManualOverrideSPA="No", COUNTIFS(JSMVC!E$5:E$14987,UCDEffortSpread!D13, JSMVC!B$5:B$14987,Definition!C$13,JSMVC!D$5:D$14987,Definition!I$3),0)</f>
        <v>0</v>
      </c>
      <c r="R437" s="204">
        <f>(Definition!M437*Definition!E$13)</f>
        <v>0</v>
      </c>
      <c r="S437" s="204">
        <f>(Definition!N437*Definition!F$13)</f>
        <v>0</v>
      </c>
      <c r="T437" s="204">
        <f>(Definition!O437*Definition!G$13)</f>
        <v>0</v>
      </c>
      <c r="U437" s="204">
        <f>(Definition!P437*Definition!H$13)</f>
        <v>0</v>
      </c>
      <c r="V437" s="204">
        <f>(Definition!Q437*Definition!I$13)</f>
        <v>0</v>
      </c>
      <c r="W437" s="203">
        <f t="shared" si="39"/>
        <v>0</v>
      </c>
      <c r="X437" s="206">
        <f t="shared" si="40"/>
        <v>0</v>
      </c>
    </row>
    <row r="438" spans="12:24">
      <c r="L438" s="423"/>
      <c r="M438" s="68">
        <f>IF(compute_ManualOverrideSPA="No", COUNTIFS(JSMVC!E$5:E$14987,UCDEffortSpread!D14, JSMVC!B$5:B$14987,Definition!C$13,JSMVC!D$5:D$14987,Definition!E$3),0)</f>
        <v>0</v>
      </c>
      <c r="N438" s="68">
        <f>IF(compute_ManualOverrideSPA="No", COUNTIFS(JSMVC!E$5:E$14987,UCDEffortSpread!D14, JSMVC!B$5:B$14987,Definition!C$13,JSMVC!D$5:D$14987,Definition!F$3),0)</f>
        <v>0</v>
      </c>
      <c r="O438" s="68">
        <f>IF(compute_ManualOverrideSPA="No", COUNTIFS(JSMVC!E$5:E$14987,UCDEffortSpread!D14, JSMVC!B$5:B$14987,Definition!C$13,JSMVC!D$5:D$14987,Definition!G$3),0)</f>
        <v>0</v>
      </c>
      <c r="P438" s="68">
        <f>IF(compute_ManualOverrideSPA="No", COUNTIFS(JSMVC!E$5:E$14987,UCDEffortSpread!D14, JSMVC!B$5:B$14987,Definition!C$13,JSMVC!D$5:D$14987,Definition!H$3),0)</f>
        <v>0</v>
      </c>
      <c r="Q438" s="68">
        <f>IF(compute_ManualOverrideSPA="No", COUNTIFS(JSMVC!E$5:E$14987,UCDEffortSpread!D14, JSMVC!B$5:B$14987,Definition!C$13,JSMVC!D$5:D$14987,Definition!I$3),0)</f>
        <v>0</v>
      </c>
      <c r="R438" s="204">
        <f>(Definition!M438*Definition!E$13)</f>
        <v>0</v>
      </c>
      <c r="S438" s="204">
        <f>(Definition!N438*Definition!F$13)</f>
        <v>0</v>
      </c>
      <c r="T438" s="204">
        <f>(Definition!O438*Definition!G$13)</f>
        <v>0</v>
      </c>
      <c r="U438" s="204">
        <f>(Definition!P438*Definition!H$13)</f>
        <v>0</v>
      </c>
      <c r="V438" s="204">
        <f>(Definition!Q438*Definition!I$13)</f>
        <v>0</v>
      </c>
      <c r="W438" s="203">
        <f t="shared" si="39"/>
        <v>0</v>
      </c>
      <c r="X438" s="206">
        <f t="shared" si="40"/>
        <v>0</v>
      </c>
    </row>
    <row r="439" spans="12:24">
      <c r="L439" s="423"/>
      <c r="M439" s="68">
        <f>IF(compute_ManualOverrideSPA="No", COUNTIFS(JSMVC!E$5:E$14987,UCDEffortSpread!D15, JSMVC!B$5:B$14987,Definition!C$13,JSMVC!D$5:D$14987,Definition!E$3),0)</f>
        <v>0</v>
      </c>
      <c r="N439" s="68">
        <f>IF(compute_ManualOverrideSPA="No", COUNTIFS(JSMVC!E$5:E$14987,UCDEffortSpread!D15, JSMVC!B$5:B$14987,Definition!C$13,JSMVC!D$5:D$14987,Definition!F$3),0)</f>
        <v>0</v>
      </c>
      <c r="O439" s="68">
        <f>IF(compute_ManualOverrideSPA="No", COUNTIFS(JSMVC!E$5:E$14987,UCDEffortSpread!D15, JSMVC!B$5:B$14987,Definition!C$13,JSMVC!D$5:D$14987,Definition!G$3),0)</f>
        <v>0</v>
      </c>
      <c r="P439" s="68">
        <f>IF(compute_ManualOverrideSPA="No", COUNTIFS(JSMVC!E$5:E$14987,UCDEffortSpread!D15, JSMVC!B$5:B$14987,Definition!C$13,JSMVC!D$5:D$14987,Definition!H$3),0)</f>
        <v>0</v>
      </c>
      <c r="Q439" s="68">
        <f>IF(compute_ManualOverrideSPA="No", COUNTIFS(JSMVC!E$5:E$14987,UCDEffortSpread!D15, JSMVC!B$5:B$14987,Definition!C$13,JSMVC!D$5:D$14987,Definition!I$3),0)</f>
        <v>0</v>
      </c>
      <c r="R439" s="204">
        <f>(Definition!M439*Definition!E$13)</f>
        <v>0</v>
      </c>
      <c r="S439" s="204">
        <f>(Definition!N439*Definition!F$13)</f>
        <v>0</v>
      </c>
      <c r="T439" s="204">
        <f>(Definition!O439*Definition!G$13)</f>
        <v>0</v>
      </c>
      <c r="U439" s="204">
        <f>(Definition!P439*Definition!H$13)</f>
        <v>0</v>
      </c>
      <c r="V439" s="204">
        <f>(Definition!Q439*Definition!I$13)</f>
        <v>0</v>
      </c>
      <c r="W439" s="203">
        <f t="shared" si="39"/>
        <v>0</v>
      </c>
      <c r="X439" s="206">
        <f t="shared" si="40"/>
        <v>0</v>
      </c>
    </row>
    <row r="440" spans="12:24">
      <c r="L440" s="423"/>
      <c r="M440" s="68">
        <f>IF(compute_ManualOverrideSPA="No", COUNTIFS(JSMVC!E$5:E$14987,UCDEffortSpread!D16, JSMVC!B$5:B$14987,Definition!C$13,JSMVC!D$5:D$14987,Definition!E$3),0)</f>
        <v>0</v>
      </c>
      <c r="N440" s="68">
        <f>IF(compute_ManualOverrideSPA="No", COUNTIFS(JSMVC!E$5:E$14987,UCDEffortSpread!D16, JSMVC!B$5:B$14987,Definition!C$13,JSMVC!D$5:D$14987,Definition!F$3),0)</f>
        <v>0</v>
      </c>
      <c r="O440" s="68">
        <f>IF(compute_ManualOverrideSPA="No", COUNTIFS(JSMVC!E$5:E$14987,UCDEffortSpread!D16, JSMVC!B$5:B$14987,Definition!C$13,JSMVC!D$5:D$14987,Definition!G$3),0)</f>
        <v>0</v>
      </c>
      <c r="P440" s="68">
        <f>IF(compute_ManualOverrideSPA="No", COUNTIFS(JSMVC!E$5:E$14987,UCDEffortSpread!D16, JSMVC!B$5:B$14987,Definition!C$13,JSMVC!D$5:D$14987,Definition!H$3),0)</f>
        <v>0</v>
      </c>
      <c r="Q440" s="68">
        <f>IF(compute_ManualOverrideSPA="No", COUNTIFS(JSMVC!E$5:E$14987,UCDEffortSpread!D16, JSMVC!B$5:B$14987,Definition!C$13,JSMVC!D$5:D$14987,Definition!I$3),0)</f>
        <v>0</v>
      </c>
      <c r="R440" s="204">
        <f>(Definition!M440*Definition!E$13)</f>
        <v>0</v>
      </c>
      <c r="S440" s="204">
        <f>(Definition!N440*Definition!F$13)</f>
        <v>0</v>
      </c>
      <c r="T440" s="204">
        <f>(Definition!O440*Definition!G$13)</f>
        <v>0</v>
      </c>
      <c r="U440" s="204">
        <f>(Definition!P440*Definition!H$13)</f>
        <v>0</v>
      </c>
      <c r="V440" s="204">
        <f>(Definition!Q440*Definition!I$13)</f>
        <v>0</v>
      </c>
      <c r="W440" s="203">
        <f t="shared" si="39"/>
        <v>0</v>
      </c>
      <c r="X440" s="206">
        <f t="shared" si="40"/>
        <v>0</v>
      </c>
    </row>
    <row r="441" spans="12:24">
      <c r="L441" s="423"/>
      <c r="M441" s="68">
        <f>IF(compute_ManualOverrideSPA="No", COUNTIFS(JSMVC!E$5:E$14987,UCDEffortSpread!D17, JSMVC!B$5:B$14987,Definition!C$13,JSMVC!D$5:D$14987,Definition!E$3),0)</f>
        <v>0</v>
      </c>
      <c r="N441" s="68">
        <f>IF(compute_ManualOverrideSPA="No", COUNTIFS(JSMVC!E$5:E$14987,UCDEffortSpread!D17, JSMVC!B$5:B$14987,Definition!C$13,JSMVC!D$5:D$14987,Definition!F$3),0)</f>
        <v>0</v>
      </c>
      <c r="O441" s="68">
        <f>IF(compute_ManualOverrideSPA="No", COUNTIFS(JSMVC!E$5:E$14987,UCDEffortSpread!D17, JSMVC!B$5:B$14987,Definition!C$13,JSMVC!D$5:D$14987,Definition!G$3),0)</f>
        <v>0</v>
      </c>
      <c r="P441" s="68">
        <f>IF(compute_ManualOverrideSPA="No", COUNTIFS(JSMVC!E$5:E$14987,UCDEffortSpread!D17, JSMVC!B$5:B$14987,Definition!C$13,JSMVC!D$5:D$14987,Definition!H$3),0)</f>
        <v>0</v>
      </c>
      <c r="Q441" s="68">
        <f>IF(compute_ManualOverrideSPA="No", COUNTIFS(JSMVC!E$5:E$14987,UCDEffortSpread!D17, JSMVC!B$5:B$14987,Definition!C$13,JSMVC!D$5:D$14987,Definition!I$3),0)</f>
        <v>0</v>
      </c>
      <c r="R441" s="204">
        <f>(Definition!M441*Definition!E$13)</f>
        <v>0</v>
      </c>
      <c r="S441" s="204">
        <f>(Definition!N441*Definition!F$13)</f>
        <v>0</v>
      </c>
      <c r="T441" s="204">
        <f>(Definition!O441*Definition!G$13)</f>
        <v>0</v>
      </c>
      <c r="U441" s="204">
        <f>(Definition!P441*Definition!H$13)</f>
        <v>0</v>
      </c>
      <c r="V441" s="204">
        <f>(Definition!Q441*Definition!I$13)</f>
        <v>0</v>
      </c>
      <c r="W441" s="203">
        <f t="shared" si="39"/>
        <v>0</v>
      </c>
      <c r="X441" s="206">
        <f t="shared" si="40"/>
        <v>0</v>
      </c>
    </row>
    <row r="442" spans="12:24">
      <c r="L442" s="423"/>
      <c r="M442" s="68">
        <f>IF(compute_ManualOverrideSPA="No", COUNTIFS(JSMVC!E$5:E$14987,UCDEffortSpread!D18, JSMVC!B$5:B$14987,Definition!C$13,JSMVC!D$5:D$14987,Definition!E$3),0)</f>
        <v>0</v>
      </c>
      <c r="N442" s="68">
        <f>IF(compute_ManualOverrideSPA="No", COUNTIFS(JSMVC!E$5:E$14987,UCDEffortSpread!D18, JSMVC!B$5:B$14987,Definition!C$13,JSMVC!D$5:D$14987,Definition!F$3),0)</f>
        <v>0</v>
      </c>
      <c r="O442" s="68">
        <f>IF(compute_ManualOverrideSPA="No", COUNTIFS(JSMVC!E$5:E$14987,UCDEffortSpread!D18, JSMVC!B$5:B$14987,Definition!C$13,JSMVC!D$5:D$14987,Definition!G$3),0)</f>
        <v>0</v>
      </c>
      <c r="P442" s="68">
        <f>IF(compute_ManualOverrideSPA="No", COUNTIFS(JSMVC!E$5:E$14987,UCDEffortSpread!D18, JSMVC!B$5:B$14987,Definition!C$13,JSMVC!D$5:D$14987,Definition!H$3),0)</f>
        <v>0</v>
      </c>
      <c r="Q442" s="68">
        <f>IF(compute_ManualOverrideSPA="No", COUNTIFS(JSMVC!E$5:E$14987,UCDEffortSpread!D18, JSMVC!B$5:B$14987,Definition!C$13,JSMVC!D$5:D$14987,Definition!I$3),0)</f>
        <v>0</v>
      </c>
      <c r="R442" s="204">
        <f>(Definition!M442*Definition!E$13)</f>
        <v>0</v>
      </c>
      <c r="S442" s="204">
        <f>(Definition!N442*Definition!F$13)</f>
        <v>0</v>
      </c>
      <c r="T442" s="204">
        <f>(Definition!O442*Definition!G$13)</f>
        <v>0</v>
      </c>
      <c r="U442" s="204">
        <f>(Definition!P442*Definition!H$13)</f>
        <v>0</v>
      </c>
      <c r="V442" s="204">
        <f>(Definition!Q442*Definition!I$13)</f>
        <v>0</v>
      </c>
      <c r="W442" s="203">
        <f t="shared" si="39"/>
        <v>0</v>
      </c>
      <c r="X442" s="206">
        <f t="shared" si="40"/>
        <v>0</v>
      </c>
    </row>
    <row r="443" spans="12:24">
      <c r="L443" s="423"/>
      <c r="M443" s="68">
        <f>IF(compute_ManualOverrideSPA="No", COUNTIFS(JSMVC!E$5:E$14987,UCDEffortSpread!D19, JSMVC!B$5:B$14987,Definition!C$13,JSMVC!D$5:D$14987,Definition!E$3),0)</f>
        <v>0</v>
      </c>
      <c r="N443" s="68">
        <f>IF(compute_ManualOverrideSPA="No", COUNTIFS(JSMVC!E$5:E$14987,UCDEffortSpread!D19, JSMVC!B$5:B$14987,Definition!C$13,JSMVC!D$5:D$14987,Definition!F$3),0)</f>
        <v>0</v>
      </c>
      <c r="O443" s="68">
        <f>IF(compute_ManualOverrideSPA="No", COUNTIFS(JSMVC!E$5:E$14987,UCDEffortSpread!D19, JSMVC!B$5:B$14987,Definition!C$13,JSMVC!D$5:D$14987,Definition!G$3),0)</f>
        <v>0</v>
      </c>
      <c r="P443" s="68">
        <f>IF(compute_ManualOverrideSPA="No", COUNTIFS(JSMVC!E$5:E$14987,UCDEffortSpread!D19, JSMVC!B$5:B$14987,Definition!C$13,JSMVC!D$5:D$14987,Definition!H$3),0)</f>
        <v>0</v>
      </c>
      <c r="Q443" s="68">
        <f>IF(compute_ManualOverrideSPA="No", COUNTIFS(JSMVC!E$5:E$14987,UCDEffortSpread!D19, JSMVC!B$5:B$14987,Definition!C$13,JSMVC!D$5:D$14987,Definition!I$3),0)</f>
        <v>0</v>
      </c>
      <c r="R443" s="204">
        <f>(Definition!M443*Definition!E$13)</f>
        <v>0</v>
      </c>
      <c r="S443" s="204">
        <f>(Definition!N443*Definition!F$13)</f>
        <v>0</v>
      </c>
      <c r="T443" s="204">
        <f>(Definition!O443*Definition!G$13)</f>
        <v>0</v>
      </c>
      <c r="U443" s="204">
        <f>(Definition!P443*Definition!H$13)</f>
        <v>0</v>
      </c>
      <c r="V443" s="204">
        <f>(Definition!Q443*Definition!I$13)</f>
        <v>0</v>
      </c>
      <c r="W443" s="203">
        <f t="shared" si="39"/>
        <v>0</v>
      </c>
      <c r="X443" s="206">
        <f t="shared" si="40"/>
        <v>0</v>
      </c>
    </row>
    <row r="444" spans="12:24">
      <c r="L444" s="423"/>
      <c r="M444" s="68">
        <f>IF(compute_ManualOverrideSPA="No", COUNTIFS(JSMVC!E$5:E$14987,UCDEffortSpread!D20, JSMVC!B$5:B$14987,Definition!C$13,JSMVC!D$5:D$14987,Definition!E$3),0)</f>
        <v>0</v>
      </c>
      <c r="N444" s="68">
        <f>IF(compute_ManualOverrideSPA="No", COUNTIFS(JSMVC!E$5:E$14987,UCDEffortSpread!D20, JSMVC!B$5:B$14987,Definition!C$13,JSMVC!D$5:D$14987,Definition!F$3),0)</f>
        <v>0</v>
      </c>
      <c r="O444" s="68">
        <f>IF(compute_ManualOverrideSPA="No", COUNTIFS(JSMVC!E$5:E$14987,UCDEffortSpread!D20, JSMVC!B$5:B$14987,Definition!C$13,JSMVC!D$5:D$14987,Definition!G$3),0)</f>
        <v>0</v>
      </c>
      <c r="P444" s="68">
        <f>IF(compute_ManualOverrideSPA="No", COUNTIFS(JSMVC!E$5:E$14987,UCDEffortSpread!D20, JSMVC!B$5:B$14987,Definition!C$13,JSMVC!D$5:D$14987,Definition!H$3),0)</f>
        <v>0</v>
      </c>
      <c r="Q444" s="68">
        <f>IF(compute_ManualOverrideSPA="No", COUNTIFS(JSMVC!E$5:E$14987,UCDEffortSpread!D20, JSMVC!B$5:B$14987,Definition!C$13,JSMVC!D$5:D$14987,Definition!I$3),0)</f>
        <v>0</v>
      </c>
      <c r="R444" s="204">
        <f>(Definition!M444*Definition!E$13)</f>
        <v>0</v>
      </c>
      <c r="S444" s="204">
        <f>(Definition!N444*Definition!F$13)</f>
        <v>0</v>
      </c>
      <c r="T444" s="204">
        <f>(Definition!O444*Definition!G$13)</f>
        <v>0</v>
      </c>
      <c r="U444" s="204">
        <f>(Definition!P444*Definition!H$13)</f>
        <v>0</v>
      </c>
      <c r="V444" s="204">
        <f>(Definition!Q444*Definition!I$13)</f>
        <v>0</v>
      </c>
      <c r="W444" s="203">
        <f t="shared" ref="W444:W478" si="41">SUM(R444:V444)</f>
        <v>0</v>
      </c>
      <c r="X444" s="206">
        <f t="shared" si="40"/>
        <v>0</v>
      </c>
    </row>
    <row r="445" spans="12:24">
      <c r="L445" s="423"/>
      <c r="M445" s="68">
        <f>IF(compute_ManualOverrideSPA="No", COUNTIFS(JSMVC!E$5:E$14987,UCDEffortSpread!D21, JSMVC!B$5:B$14987,Definition!C$13,JSMVC!D$5:D$14987,Definition!E$3),0)</f>
        <v>0</v>
      </c>
      <c r="N445" s="68">
        <f>IF(compute_ManualOverrideSPA="No", COUNTIFS(JSMVC!E$5:E$14987,UCDEffortSpread!D21, JSMVC!B$5:B$14987,Definition!C$13,JSMVC!D$5:D$14987,Definition!F$3),0)</f>
        <v>0</v>
      </c>
      <c r="O445" s="68">
        <f>IF(compute_ManualOverrideSPA="No", COUNTIFS(JSMVC!E$5:E$14987,UCDEffortSpread!D21, JSMVC!B$5:B$14987,Definition!C$13,JSMVC!D$5:D$14987,Definition!G$3),0)</f>
        <v>0</v>
      </c>
      <c r="P445" s="68">
        <f>IF(compute_ManualOverrideSPA="No", COUNTIFS(JSMVC!E$5:E$14987,UCDEffortSpread!D21, JSMVC!B$5:B$14987,Definition!C$13,JSMVC!D$5:D$14987,Definition!H$3),0)</f>
        <v>0</v>
      </c>
      <c r="Q445" s="68">
        <f>IF(compute_ManualOverrideSPA="No", COUNTIFS(JSMVC!E$5:E$14987,UCDEffortSpread!D21, JSMVC!B$5:B$14987,Definition!C$13,JSMVC!D$5:D$14987,Definition!I$3),0)</f>
        <v>0</v>
      </c>
      <c r="R445" s="204">
        <f>(Definition!M445*Definition!E$13)</f>
        <v>0</v>
      </c>
      <c r="S445" s="204">
        <f>(Definition!N445*Definition!F$13)</f>
        <v>0</v>
      </c>
      <c r="T445" s="204">
        <f>(Definition!O445*Definition!G$13)</f>
        <v>0</v>
      </c>
      <c r="U445" s="204">
        <f>(Definition!P445*Definition!H$13)</f>
        <v>0</v>
      </c>
      <c r="V445" s="204">
        <f>(Definition!Q445*Definition!I$13)</f>
        <v>0</v>
      </c>
      <c r="W445" s="203">
        <f t="shared" si="41"/>
        <v>0</v>
      </c>
      <c r="X445" s="206">
        <f t="shared" si="40"/>
        <v>0</v>
      </c>
    </row>
    <row r="446" spans="12:24">
      <c r="L446" s="423"/>
      <c r="M446" s="68">
        <f>IF(compute_ManualOverrideSPA="No", COUNTIFS(JSMVC!E$5:E$14987,UCDEffortSpread!D22, JSMVC!B$5:B$14987,Definition!C$13,JSMVC!D$5:D$14987,Definition!E$3),0)</f>
        <v>0</v>
      </c>
      <c r="N446" s="68">
        <f>IF(compute_ManualOverrideSPA="No", COUNTIFS(JSMVC!E$5:E$14987,UCDEffortSpread!D22, JSMVC!B$5:B$14987,Definition!C$13,JSMVC!D$5:D$14987,Definition!F$3),0)</f>
        <v>0</v>
      </c>
      <c r="O446" s="68">
        <f>IF(compute_ManualOverrideSPA="No", COUNTIFS(JSMVC!E$5:E$14987,UCDEffortSpread!D22, JSMVC!B$5:B$14987,Definition!C$13,JSMVC!D$5:D$14987,Definition!G$3),0)</f>
        <v>0</v>
      </c>
      <c r="P446" s="68">
        <f>IF(compute_ManualOverrideSPA="No", COUNTIFS(JSMVC!E$5:E$14987,UCDEffortSpread!D22, JSMVC!B$5:B$14987,Definition!C$13,JSMVC!D$5:D$14987,Definition!H$3),0)</f>
        <v>0</v>
      </c>
      <c r="Q446" s="68">
        <f>IF(compute_ManualOverrideSPA="No", COUNTIFS(JSMVC!E$5:E$14987,UCDEffortSpread!D22, JSMVC!B$5:B$14987,Definition!C$13,JSMVC!D$5:D$14987,Definition!I$3),0)</f>
        <v>0</v>
      </c>
      <c r="R446" s="204">
        <f>(Definition!M446*Definition!E$13)</f>
        <v>0</v>
      </c>
      <c r="S446" s="204">
        <f>(Definition!N446*Definition!F$13)</f>
        <v>0</v>
      </c>
      <c r="T446" s="204">
        <f>(Definition!O446*Definition!G$13)</f>
        <v>0</v>
      </c>
      <c r="U446" s="204">
        <f>(Definition!P446*Definition!H$13)</f>
        <v>0</v>
      </c>
      <c r="V446" s="204">
        <f>(Definition!Q446*Definition!I$13)</f>
        <v>0</v>
      </c>
      <c r="W446" s="203">
        <f t="shared" si="41"/>
        <v>0</v>
      </c>
      <c r="X446" s="206">
        <f t="shared" si="40"/>
        <v>0</v>
      </c>
    </row>
    <row r="447" spans="12:24">
      <c r="L447" s="423"/>
      <c r="M447" s="68">
        <f>IF(compute_ManualOverrideSPA="No", COUNTIFS(JSMVC!E$5:E$14987,UCDEffortSpread!D23, JSMVC!B$5:B$14987,Definition!C$13,JSMVC!D$5:D$14987,Definition!E$3),0)</f>
        <v>0</v>
      </c>
      <c r="N447" s="68">
        <f>IF(compute_ManualOverrideSPA="No", COUNTIFS(JSMVC!E$5:E$14987,UCDEffortSpread!D23, JSMVC!B$5:B$14987,Definition!C$13,JSMVC!D$5:D$14987,Definition!F$3),0)</f>
        <v>0</v>
      </c>
      <c r="O447" s="68">
        <f>IF(compute_ManualOverrideSPA="No", COUNTIFS(JSMVC!E$5:E$14987,UCDEffortSpread!D23, JSMVC!B$5:B$14987,Definition!C$13,JSMVC!D$5:D$14987,Definition!G$3),0)</f>
        <v>0</v>
      </c>
      <c r="P447" s="68">
        <f>IF(compute_ManualOverrideSPA="No", COUNTIFS(JSMVC!E$5:E$14987,UCDEffortSpread!D23, JSMVC!B$5:B$14987,Definition!C$13,JSMVC!D$5:D$14987,Definition!H$3),0)</f>
        <v>0</v>
      </c>
      <c r="Q447" s="68">
        <f>IF(compute_ManualOverrideSPA="No", COUNTIFS(JSMVC!E$5:E$14987,UCDEffortSpread!D23, JSMVC!B$5:B$14987,Definition!C$13,JSMVC!D$5:D$14987,Definition!I$3),0)</f>
        <v>0</v>
      </c>
      <c r="R447" s="204">
        <f>(Definition!M447*Definition!E$13)</f>
        <v>0</v>
      </c>
      <c r="S447" s="204">
        <f>(Definition!N447*Definition!F$13)</f>
        <v>0</v>
      </c>
      <c r="T447" s="204">
        <f>(Definition!O447*Definition!G$13)</f>
        <v>0</v>
      </c>
      <c r="U447" s="204">
        <f>(Definition!P447*Definition!H$13)</f>
        <v>0</v>
      </c>
      <c r="V447" s="204">
        <f>(Definition!Q447*Definition!I$13)</f>
        <v>0</v>
      </c>
      <c r="W447" s="203">
        <f t="shared" si="41"/>
        <v>0</v>
      </c>
      <c r="X447" s="206">
        <f t="shared" si="40"/>
        <v>0</v>
      </c>
    </row>
    <row r="448" spans="12:24">
      <c r="L448" s="423"/>
      <c r="M448" s="68">
        <f>IF(compute_ManualOverrideSPA="No", COUNTIFS(JSMVC!E$5:E$14987,UCDEffortSpread!D24, JSMVC!B$5:B$14987,Definition!C$13,JSMVC!D$5:D$14987,Definition!E$3),0)</f>
        <v>0</v>
      </c>
      <c r="N448" s="68">
        <f>IF(compute_ManualOverrideSPA="No", COUNTIFS(JSMVC!E$5:E$14987,UCDEffortSpread!D24, JSMVC!B$5:B$14987,Definition!C$13,JSMVC!D$5:D$14987,Definition!F$3),0)</f>
        <v>0</v>
      </c>
      <c r="O448" s="68">
        <f>IF(compute_ManualOverrideSPA="No", COUNTIFS(JSMVC!E$5:E$14987,UCDEffortSpread!D24, JSMVC!B$5:B$14987,Definition!C$13,JSMVC!D$5:D$14987,Definition!G$3),0)</f>
        <v>0</v>
      </c>
      <c r="P448" s="68">
        <f>IF(compute_ManualOverrideSPA="No", COUNTIFS(JSMVC!E$5:E$14987,UCDEffortSpread!D24, JSMVC!B$5:B$14987,Definition!C$13,JSMVC!D$5:D$14987,Definition!H$3),0)</f>
        <v>0</v>
      </c>
      <c r="Q448" s="68">
        <f>IF(compute_ManualOverrideSPA="No", COUNTIFS(JSMVC!E$5:E$14987,UCDEffortSpread!D24, JSMVC!B$5:B$14987,Definition!C$13,JSMVC!D$5:D$14987,Definition!I$3),0)</f>
        <v>0</v>
      </c>
      <c r="R448" s="204">
        <f>(Definition!M448*Definition!E$13)</f>
        <v>0</v>
      </c>
      <c r="S448" s="204">
        <f>(Definition!N448*Definition!F$13)</f>
        <v>0</v>
      </c>
      <c r="T448" s="204">
        <f>(Definition!O448*Definition!G$13)</f>
        <v>0</v>
      </c>
      <c r="U448" s="204">
        <f>(Definition!P448*Definition!H$13)</f>
        <v>0</v>
      </c>
      <c r="V448" s="204">
        <f>(Definition!Q448*Definition!I$13)</f>
        <v>0</v>
      </c>
      <c r="W448" s="203">
        <f t="shared" si="41"/>
        <v>0</v>
      </c>
      <c r="X448" s="206">
        <f t="shared" si="40"/>
        <v>0</v>
      </c>
    </row>
    <row r="449" spans="12:24">
      <c r="L449" s="423"/>
      <c r="M449" s="68">
        <f>IF(compute_ManualOverrideSPA="No", COUNTIFS(JSMVC!E$5:E$14987,UCDEffortSpread!D25, JSMVC!B$5:B$14987,Definition!C$13,JSMVC!D$5:D$14987,Definition!E$3),0)</f>
        <v>0</v>
      </c>
      <c r="N449" s="68">
        <f>IF(compute_ManualOverrideSPA="No", COUNTIFS(JSMVC!E$5:E$14987,UCDEffortSpread!D25, JSMVC!B$5:B$14987,Definition!C$13,JSMVC!D$5:D$14987,Definition!F$3),0)</f>
        <v>0</v>
      </c>
      <c r="O449" s="68">
        <f>IF(compute_ManualOverrideSPA="No", COUNTIFS(JSMVC!E$5:E$14987,UCDEffortSpread!D25, JSMVC!B$5:B$14987,Definition!C$13,JSMVC!D$5:D$14987,Definition!G$3),0)</f>
        <v>0</v>
      </c>
      <c r="P449" s="68">
        <f>IF(compute_ManualOverrideSPA="No", COUNTIFS(JSMVC!E$5:E$14987,UCDEffortSpread!D25, JSMVC!B$5:B$14987,Definition!C$13,JSMVC!D$5:D$14987,Definition!H$3),0)</f>
        <v>0</v>
      </c>
      <c r="Q449" s="68">
        <f>IF(compute_ManualOverrideSPA="No", COUNTIFS(JSMVC!E$5:E$14987,UCDEffortSpread!D25, JSMVC!B$5:B$14987,Definition!C$13,JSMVC!D$5:D$14987,Definition!I$3),0)</f>
        <v>0</v>
      </c>
      <c r="R449" s="204">
        <f>(Definition!M449*Definition!E$13)</f>
        <v>0</v>
      </c>
      <c r="S449" s="204">
        <f>(Definition!N449*Definition!F$13)</f>
        <v>0</v>
      </c>
      <c r="T449" s="204">
        <f>(Definition!O449*Definition!G$13)</f>
        <v>0</v>
      </c>
      <c r="U449" s="204">
        <f>(Definition!P449*Definition!H$13)</f>
        <v>0</v>
      </c>
      <c r="V449" s="204">
        <f>(Definition!Q449*Definition!I$13)</f>
        <v>0</v>
      </c>
      <c r="W449" s="203">
        <f t="shared" si="41"/>
        <v>0</v>
      </c>
      <c r="X449" s="206">
        <f t="shared" si="40"/>
        <v>0</v>
      </c>
    </row>
    <row r="450" spans="12:24">
      <c r="L450" s="423"/>
      <c r="M450" s="68">
        <f>IF(compute_ManualOverrideSPA="No", COUNTIFS(JSMVC!E$5:E$14987,UCDEffortSpread!D26, JSMVC!B$5:B$14987,Definition!C$13,JSMVC!D$5:D$14987,Definition!E$3),0)</f>
        <v>0</v>
      </c>
      <c r="N450" s="68">
        <f>IF(compute_ManualOverrideSPA="No", COUNTIFS(JSMVC!E$5:E$14987,UCDEffortSpread!D26, JSMVC!B$5:B$14987,Definition!C$13,JSMVC!D$5:D$14987,Definition!F$3),0)</f>
        <v>0</v>
      </c>
      <c r="O450" s="68">
        <f>IF(compute_ManualOverrideSPA="No", COUNTIFS(JSMVC!E$5:E$14987,UCDEffortSpread!D26, JSMVC!B$5:B$14987,Definition!C$13,JSMVC!D$5:D$14987,Definition!G$3),0)</f>
        <v>0</v>
      </c>
      <c r="P450" s="68">
        <f>IF(compute_ManualOverrideSPA="No", COUNTIFS(JSMVC!E$5:E$14987,UCDEffortSpread!D26, JSMVC!B$5:B$14987,Definition!C$13,JSMVC!D$5:D$14987,Definition!H$3),0)</f>
        <v>0</v>
      </c>
      <c r="Q450" s="68">
        <f>IF(compute_ManualOverrideSPA="No", COUNTIFS(JSMVC!E$5:E$14987,UCDEffortSpread!D26, JSMVC!B$5:B$14987,Definition!C$13,JSMVC!D$5:D$14987,Definition!I$3),0)</f>
        <v>0</v>
      </c>
      <c r="R450" s="204">
        <f>(Definition!M450*Definition!E$13)</f>
        <v>0</v>
      </c>
      <c r="S450" s="204">
        <f>(Definition!N450*Definition!F$13)</f>
        <v>0</v>
      </c>
      <c r="T450" s="204">
        <f>(Definition!O450*Definition!G$13)</f>
        <v>0</v>
      </c>
      <c r="U450" s="204">
        <f>(Definition!P450*Definition!H$13)</f>
        <v>0</v>
      </c>
      <c r="V450" s="204">
        <f>(Definition!Q450*Definition!I$13)</f>
        <v>0</v>
      </c>
      <c r="W450" s="203">
        <f t="shared" si="41"/>
        <v>0</v>
      </c>
      <c r="X450" s="206">
        <f t="shared" si="40"/>
        <v>0</v>
      </c>
    </row>
    <row r="451" spans="12:24">
      <c r="L451" s="423"/>
      <c r="M451" s="68">
        <f>IF(compute_ManualOverrideSPA="No", COUNTIFS(JSMVC!E$5:E$14987,UCDEffortSpread!D27, JSMVC!B$5:B$14987,Definition!C$13,JSMVC!D$5:D$14987,Definition!E$3),0)</f>
        <v>0</v>
      </c>
      <c r="N451" s="68">
        <f>IF(compute_ManualOverrideSPA="No", COUNTIFS(JSMVC!E$5:E$14987,UCDEffortSpread!D27, JSMVC!B$5:B$14987,Definition!C$13,JSMVC!D$5:D$14987,Definition!F$3),0)</f>
        <v>0</v>
      </c>
      <c r="O451" s="68">
        <f>IF(compute_ManualOverrideSPA="No", COUNTIFS(JSMVC!E$5:E$14987,UCDEffortSpread!D27, JSMVC!B$5:B$14987,Definition!C$13,JSMVC!D$5:D$14987,Definition!G$3),0)</f>
        <v>0</v>
      </c>
      <c r="P451" s="68">
        <f>IF(compute_ManualOverrideSPA="No", COUNTIFS(JSMVC!E$5:E$14987,UCDEffortSpread!D27, JSMVC!B$5:B$14987,Definition!C$13,JSMVC!D$5:D$14987,Definition!H$3),0)</f>
        <v>0</v>
      </c>
      <c r="Q451" s="68">
        <f>IF(compute_ManualOverrideSPA="No", COUNTIFS(JSMVC!E$5:E$14987,UCDEffortSpread!D27, JSMVC!B$5:B$14987,Definition!C$13,JSMVC!D$5:D$14987,Definition!I$3),0)</f>
        <v>0</v>
      </c>
      <c r="R451" s="204">
        <f>(Definition!M451*Definition!E$13)</f>
        <v>0</v>
      </c>
      <c r="S451" s="204">
        <f>(Definition!N451*Definition!F$13)</f>
        <v>0</v>
      </c>
      <c r="T451" s="204">
        <f>(Definition!O451*Definition!G$13)</f>
        <v>0</v>
      </c>
      <c r="U451" s="204">
        <f>(Definition!P451*Definition!H$13)</f>
        <v>0</v>
      </c>
      <c r="V451" s="204">
        <f>(Definition!Q451*Definition!I$13)</f>
        <v>0</v>
      </c>
      <c r="W451" s="203">
        <f t="shared" si="41"/>
        <v>0</v>
      </c>
      <c r="X451" s="206">
        <f t="shared" si="40"/>
        <v>0</v>
      </c>
    </row>
    <row r="452" spans="12:24">
      <c r="L452" s="423"/>
      <c r="M452" s="68">
        <f>IF(compute_ManualOverrideSPA="No", COUNTIFS(JSMVC!E$5:E$14987,UCDEffortSpread!D28, JSMVC!B$5:B$14987,Definition!C$13,JSMVC!D$5:D$14987,Definition!E$3),0)</f>
        <v>0</v>
      </c>
      <c r="N452" s="68">
        <f>IF(compute_ManualOverrideSPA="No", COUNTIFS(JSMVC!E$5:E$14987,UCDEffortSpread!D28, JSMVC!B$5:B$14987,Definition!C$13,JSMVC!D$5:D$14987,Definition!F$3),0)</f>
        <v>0</v>
      </c>
      <c r="O452" s="68">
        <f>IF(compute_ManualOverrideSPA="No", COUNTIFS(JSMVC!E$5:E$14987,UCDEffortSpread!D28, JSMVC!B$5:B$14987,Definition!C$13,JSMVC!D$5:D$14987,Definition!G$3),0)</f>
        <v>0</v>
      </c>
      <c r="P452" s="68">
        <f>IF(compute_ManualOverrideSPA="No", COUNTIFS(JSMVC!E$5:E$14987,UCDEffortSpread!D28, JSMVC!B$5:B$14987,Definition!C$13,JSMVC!D$5:D$14987,Definition!H$3),0)</f>
        <v>0</v>
      </c>
      <c r="Q452" s="68">
        <f>IF(compute_ManualOverrideSPA="No", COUNTIFS(JSMVC!E$5:E$14987,UCDEffortSpread!D28, JSMVC!B$5:B$14987,Definition!C$13,JSMVC!D$5:D$14987,Definition!I$3),0)</f>
        <v>0</v>
      </c>
      <c r="R452" s="204">
        <f>(Definition!M452*Definition!E$13)</f>
        <v>0</v>
      </c>
      <c r="S452" s="204">
        <f>(Definition!N452*Definition!F$13)</f>
        <v>0</v>
      </c>
      <c r="T452" s="204">
        <f>(Definition!O452*Definition!G$13)</f>
        <v>0</v>
      </c>
      <c r="U452" s="204">
        <f>(Definition!P452*Definition!H$13)</f>
        <v>0</v>
      </c>
      <c r="V452" s="204">
        <f>(Definition!Q452*Definition!I$13)</f>
        <v>0</v>
      </c>
      <c r="W452" s="203">
        <f t="shared" si="41"/>
        <v>0</v>
      </c>
      <c r="X452" s="206">
        <f t="shared" si="40"/>
        <v>0</v>
      </c>
    </row>
    <row r="453" spans="12:24">
      <c r="L453" s="423"/>
      <c r="M453" s="68">
        <f>IF(compute_ManualOverrideSPA="No", COUNTIFS(JSMVC!E$5:E$14987,UCDEffortSpread!D29, JSMVC!B$5:B$14987,Definition!C$13,JSMVC!D$5:D$14987,Definition!E$3),0)</f>
        <v>0</v>
      </c>
      <c r="N453" s="68">
        <f>IF(compute_ManualOverrideSPA="No", COUNTIFS(JSMVC!E$5:E$14987,UCDEffortSpread!D29, JSMVC!B$5:B$14987,Definition!C$13,JSMVC!D$5:D$14987,Definition!F$3),0)</f>
        <v>0</v>
      </c>
      <c r="O453" s="68">
        <f>IF(compute_ManualOverrideSPA="No", COUNTIFS(JSMVC!E$5:E$14987,UCDEffortSpread!D29, JSMVC!B$5:B$14987,Definition!C$13,JSMVC!D$5:D$14987,Definition!G$3),0)</f>
        <v>0</v>
      </c>
      <c r="P453" s="68">
        <f>IF(compute_ManualOverrideSPA="No", COUNTIFS(JSMVC!E$5:E$14987,UCDEffortSpread!D29, JSMVC!B$5:B$14987,Definition!C$13,JSMVC!D$5:D$14987,Definition!H$3),0)</f>
        <v>0</v>
      </c>
      <c r="Q453" s="68">
        <f>IF(compute_ManualOverrideSPA="No", COUNTIFS(JSMVC!E$5:E$14987,UCDEffortSpread!D29, JSMVC!B$5:B$14987,Definition!C$13,JSMVC!D$5:D$14987,Definition!I$3),0)</f>
        <v>0</v>
      </c>
      <c r="R453" s="204">
        <f>(Definition!M453*Definition!E$13)</f>
        <v>0</v>
      </c>
      <c r="S453" s="204">
        <f>(Definition!N453*Definition!F$13)</f>
        <v>0</v>
      </c>
      <c r="T453" s="204">
        <f>(Definition!O453*Definition!G$13)</f>
        <v>0</v>
      </c>
      <c r="U453" s="204">
        <f>(Definition!P453*Definition!H$13)</f>
        <v>0</v>
      </c>
      <c r="V453" s="204">
        <f>(Definition!Q453*Definition!I$13)</f>
        <v>0</v>
      </c>
      <c r="W453" s="203">
        <f t="shared" si="41"/>
        <v>0</v>
      </c>
      <c r="X453" s="206">
        <f t="shared" si="40"/>
        <v>0</v>
      </c>
    </row>
    <row r="454" spans="12:24">
      <c r="L454" s="423"/>
      <c r="M454" s="68">
        <f>IF(compute_ManualOverrideSPA="No", COUNTIFS(JSMVC!E$5:E$14987,UCDEffortSpread!D30, JSMVC!B$5:B$14987,Definition!C$13,JSMVC!D$5:D$14987,Definition!E$3),0)</f>
        <v>0</v>
      </c>
      <c r="N454" s="68">
        <f>IF(compute_ManualOverrideSPA="No", COUNTIFS(JSMVC!E$5:E$14987,UCDEffortSpread!D30, JSMVC!B$5:B$14987,Definition!C$13,JSMVC!D$5:D$14987,Definition!F$3),0)</f>
        <v>0</v>
      </c>
      <c r="O454" s="68">
        <f>IF(compute_ManualOverrideSPA="No", COUNTIFS(JSMVC!E$5:E$14987,UCDEffortSpread!D30, JSMVC!B$5:B$14987,Definition!C$13,JSMVC!D$5:D$14987,Definition!G$3),0)</f>
        <v>0</v>
      </c>
      <c r="P454" s="68">
        <f>IF(compute_ManualOverrideSPA="No", COUNTIFS(JSMVC!E$5:E$14987,UCDEffortSpread!D30, JSMVC!B$5:B$14987,Definition!C$13,JSMVC!D$5:D$14987,Definition!H$3),0)</f>
        <v>0</v>
      </c>
      <c r="Q454" s="68">
        <f>IF(compute_ManualOverrideSPA="No", COUNTIFS(JSMVC!E$5:E$14987,UCDEffortSpread!D30, JSMVC!B$5:B$14987,Definition!C$13,JSMVC!D$5:D$14987,Definition!I$3),0)</f>
        <v>0</v>
      </c>
      <c r="R454" s="204">
        <f>(Definition!M454*Definition!E$13)</f>
        <v>0</v>
      </c>
      <c r="S454" s="204">
        <f>(Definition!N454*Definition!F$13)</f>
        <v>0</v>
      </c>
      <c r="T454" s="204">
        <f>(Definition!O454*Definition!G$13)</f>
        <v>0</v>
      </c>
      <c r="U454" s="204">
        <f>(Definition!P454*Definition!H$13)</f>
        <v>0</v>
      </c>
      <c r="V454" s="204">
        <f>(Definition!Q454*Definition!I$13)</f>
        <v>0</v>
      </c>
      <c r="W454" s="203">
        <f t="shared" si="41"/>
        <v>0</v>
      </c>
      <c r="X454" s="206">
        <f t="shared" si="40"/>
        <v>0</v>
      </c>
    </row>
    <row r="455" spans="12:24">
      <c r="L455" s="423"/>
      <c r="M455" s="68">
        <f>IF(compute_ManualOverrideSPA="No", COUNTIFS(JSMVC!E$5:E$14987,UCDEffortSpread!D31, JSMVC!B$5:B$14987,Definition!C$13,JSMVC!D$5:D$14987,Definition!E$3),0)</f>
        <v>0</v>
      </c>
      <c r="N455" s="68">
        <f>IF(compute_ManualOverrideSPA="No", COUNTIFS(JSMVC!E$5:E$14987,UCDEffortSpread!D31, JSMVC!B$5:B$14987,Definition!C$13,JSMVC!D$5:D$14987,Definition!F$3),0)</f>
        <v>0</v>
      </c>
      <c r="O455" s="68">
        <f>IF(compute_ManualOverrideSPA="No", COUNTIFS(JSMVC!E$5:E$14987,UCDEffortSpread!D31, JSMVC!B$5:B$14987,Definition!C$13,JSMVC!D$5:D$14987,Definition!G$3),0)</f>
        <v>0</v>
      </c>
      <c r="P455" s="68">
        <f>IF(compute_ManualOverrideSPA="No", COUNTIFS(JSMVC!E$5:E$14987,UCDEffortSpread!D31, JSMVC!B$5:B$14987,Definition!C$13,JSMVC!D$5:D$14987,Definition!H$3),0)</f>
        <v>0</v>
      </c>
      <c r="Q455" s="68">
        <f>IF(compute_ManualOverrideSPA="No", COUNTIFS(JSMVC!E$5:E$14987,UCDEffortSpread!D31, JSMVC!B$5:B$14987,Definition!C$13,JSMVC!D$5:D$14987,Definition!I$3),0)</f>
        <v>0</v>
      </c>
      <c r="R455" s="204">
        <f>(Definition!M455*Definition!E$13)</f>
        <v>0</v>
      </c>
      <c r="S455" s="204">
        <f>(Definition!N455*Definition!F$13)</f>
        <v>0</v>
      </c>
      <c r="T455" s="204">
        <f>(Definition!O455*Definition!G$13)</f>
        <v>0</v>
      </c>
      <c r="U455" s="204">
        <f>(Definition!P455*Definition!H$13)</f>
        <v>0</v>
      </c>
      <c r="V455" s="204">
        <f>(Definition!Q455*Definition!I$13)</f>
        <v>0</v>
      </c>
      <c r="W455" s="203">
        <f t="shared" si="41"/>
        <v>0</v>
      </c>
      <c r="X455" s="206">
        <f t="shared" si="40"/>
        <v>0</v>
      </c>
    </row>
    <row r="456" spans="12:24">
      <c r="L456" s="423"/>
      <c r="M456" s="68">
        <f>IF(compute_ManualOverrideSPA="No", COUNTIFS(JSMVC!E$5:E$14987,UCDEffortSpread!D32, JSMVC!B$5:B$14987,Definition!C$13,JSMVC!D$5:D$14987,Definition!E$3),0)</f>
        <v>0</v>
      </c>
      <c r="N456" s="68">
        <f>IF(compute_ManualOverrideSPA="No", COUNTIFS(JSMVC!E$5:E$14987,UCDEffortSpread!D32, JSMVC!B$5:B$14987,Definition!C$13,JSMVC!D$5:D$14987,Definition!F$3),0)</f>
        <v>0</v>
      </c>
      <c r="O456" s="68">
        <f>IF(compute_ManualOverrideSPA="No", COUNTIFS(JSMVC!E$5:E$14987,UCDEffortSpread!D32, JSMVC!B$5:B$14987,Definition!C$13,JSMVC!D$5:D$14987,Definition!G$3),0)</f>
        <v>0</v>
      </c>
      <c r="P456" s="68">
        <f>IF(compute_ManualOverrideSPA="No", COUNTIFS(JSMVC!E$5:E$14987,UCDEffortSpread!D32, JSMVC!B$5:B$14987,Definition!C$13,JSMVC!D$5:D$14987,Definition!H$3),0)</f>
        <v>0</v>
      </c>
      <c r="Q456" s="68">
        <f>IF(compute_ManualOverrideSPA="No", COUNTIFS(JSMVC!E$5:E$14987,UCDEffortSpread!D32, JSMVC!B$5:B$14987,Definition!C$13,JSMVC!D$5:D$14987,Definition!I$3),0)</f>
        <v>0</v>
      </c>
      <c r="R456" s="204">
        <f>(Definition!M456*Definition!E$13)</f>
        <v>0</v>
      </c>
      <c r="S456" s="204">
        <f>(Definition!N456*Definition!F$13)</f>
        <v>0</v>
      </c>
      <c r="T456" s="204">
        <f>(Definition!O456*Definition!G$13)</f>
        <v>0</v>
      </c>
      <c r="U456" s="204">
        <f>(Definition!P456*Definition!H$13)</f>
        <v>0</v>
      </c>
      <c r="V456" s="204">
        <f>(Definition!Q456*Definition!I$13)</f>
        <v>0</v>
      </c>
      <c r="W456" s="203">
        <f t="shared" si="41"/>
        <v>0</v>
      </c>
      <c r="X456" s="206">
        <f t="shared" si="40"/>
        <v>0</v>
      </c>
    </row>
    <row r="457" spans="12:24">
      <c r="L457" s="423"/>
      <c r="M457" s="68">
        <f>IF(compute_ManualOverrideSPA="No", COUNTIFS(JSMVC!E$5:E$14987,UCDEffortSpread!D33, JSMVC!B$5:B$14987,Definition!C$13,JSMVC!D$5:D$14987,Definition!E$3),0)</f>
        <v>0</v>
      </c>
      <c r="N457" s="68">
        <f>IF(compute_ManualOverrideSPA="No", COUNTIFS(JSMVC!E$5:E$14987,UCDEffortSpread!D33, JSMVC!B$5:B$14987,Definition!C$13,JSMVC!D$5:D$14987,Definition!F$3),0)</f>
        <v>0</v>
      </c>
      <c r="O457" s="68">
        <f>IF(compute_ManualOverrideSPA="No", COUNTIFS(JSMVC!E$5:E$14987,UCDEffortSpread!D33, JSMVC!B$5:B$14987,Definition!C$13,JSMVC!D$5:D$14987,Definition!G$3),0)</f>
        <v>0</v>
      </c>
      <c r="P457" s="68">
        <f>IF(compute_ManualOverrideSPA="No", COUNTIFS(JSMVC!E$5:E$14987,UCDEffortSpread!D33, JSMVC!B$5:B$14987,Definition!C$13,JSMVC!D$5:D$14987,Definition!H$3),0)</f>
        <v>0</v>
      </c>
      <c r="Q457" s="68">
        <f>IF(compute_ManualOverrideSPA="No", COUNTIFS(JSMVC!E$5:E$14987,UCDEffortSpread!D33, JSMVC!B$5:B$14987,Definition!C$13,JSMVC!D$5:D$14987,Definition!I$3),0)</f>
        <v>0</v>
      </c>
      <c r="R457" s="204">
        <f>(Definition!M457*Definition!E$13)</f>
        <v>0</v>
      </c>
      <c r="S457" s="204">
        <f>(Definition!N457*Definition!F$13)</f>
        <v>0</v>
      </c>
      <c r="T457" s="204">
        <f>(Definition!O457*Definition!G$13)</f>
        <v>0</v>
      </c>
      <c r="U457" s="204">
        <f>(Definition!P457*Definition!H$13)</f>
        <v>0</v>
      </c>
      <c r="V457" s="204">
        <f>(Definition!Q457*Definition!I$13)</f>
        <v>0</v>
      </c>
      <c r="W457" s="203">
        <f t="shared" si="41"/>
        <v>0</v>
      </c>
      <c r="X457" s="206">
        <f t="shared" si="40"/>
        <v>0</v>
      </c>
    </row>
    <row r="458" spans="12:24">
      <c r="L458" s="423"/>
      <c r="M458" s="68">
        <f>IF(compute_ManualOverrideSPA="No", COUNTIFS(JSMVC!E$5:E$14987,UCDEffortSpread!D34, JSMVC!B$5:B$14987,Definition!C$13,JSMVC!D$5:D$14987,Definition!E$3),0)</f>
        <v>0</v>
      </c>
      <c r="N458" s="68">
        <f>IF(compute_ManualOverrideSPA="No", COUNTIFS(JSMVC!E$5:E$14987,UCDEffortSpread!D34, JSMVC!B$5:B$14987,Definition!C$13,JSMVC!D$5:D$14987,Definition!F$3),0)</f>
        <v>0</v>
      </c>
      <c r="O458" s="68">
        <f>IF(compute_ManualOverrideSPA="No", COUNTIFS(JSMVC!E$5:E$14987,UCDEffortSpread!D34, JSMVC!B$5:B$14987,Definition!C$13,JSMVC!D$5:D$14987,Definition!G$3),0)</f>
        <v>0</v>
      </c>
      <c r="P458" s="68">
        <f>IF(compute_ManualOverrideSPA="No", COUNTIFS(JSMVC!E$5:E$14987,UCDEffortSpread!D34, JSMVC!B$5:B$14987,Definition!C$13,JSMVC!D$5:D$14987,Definition!H$3),0)</f>
        <v>0</v>
      </c>
      <c r="Q458" s="68">
        <f>IF(compute_ManualOverrideSPA="No", COUNTIFS(JSMVC!E$5:E$14987,UCDEffortSpread!D34, JSMVC!B$5:B$14987,Definition!C$13,JSMVC!D$5:D$14987,Definition!I$3),0)</f>
        <v>0</v>
      </c>
      <c r="R458" s="204">
        <f>(Definition!M458*Definition!E$13)</f>
        <v>0</v>
      </c>
      <c r="S458" s="204">
        <f>(Definition!N458*Definition!F$13)</f>
        <v>0</v>
      </c>
      <c r="T458" s="204">
        <f>(Definition!O458*Definition!G$13)</f>
        <v>0</v>
      </c>
      <c r="U458" s="204">
        <f>(Definition!P458*Definition!H$13)</f>
        <v>0</v>
      </c>
      <c r="V458" s="204">
        <f>(Definition!Q458*Definition!I$13)</f>
        <v>0</v>
      </c>
      <c r="W458" s="203">
        <f t="shared" si="41"/>
        <v>0</v>
      </c>
      <c r="X458" s="206">
        <f t="shared" si="40"/>
        <v>0</v>
      </c>
    </row>
    <row r="459" spans="12:24">
      <c r="L459" s="423"/>
      <c r="M459" s="68">
        <f>IF(compute_ManualOverrideSPA="No", COUNTIFS(JSMVC!E$5:E$14987,UCDEffortSpread!D35, JSMVC!B$5:B$14987,Definition!C$13,JSMVC!D$5:D$14987,Definition!E$3),0)</f>
        <v>0</v>
      </c>
      <c r="N459" s="68">
        <f>IF(compute_ManualOverrideSPA="No", COUNTIFS(JSMVC!E$5:E$14987,UCDEffortSpread!D35, JSMVC!B$5:B$14987,Definition!C$13,JSMVC!D$5:D$14987,Definition!F$3),0)</f>
        <v>0</v>
      </c>
      <c r="O459" s="68">
        <f>IF(compute_ManualOverrideSPA="No", COUNTIFS(JSMVC!E$5:E$14987,UCDEffortSpread!D35, JSMVC!B$5:B$14987,Definition!C$13,JSMVC!D$5:D$14987,Definition!G$3),0)</f>
        <v>0</v>
      </c>
      <c r="P459" s="68">
        <f>IF(compute_ManualOverrideSPA="No", COUNTIFS(JSMVC!E$5:E$14987,UCDEffortSpread!D35, JSMVC!B$5:B$14987,Definition!C$13,JSMVC!D$5:D$14987,Definition!H$3),0)</f>
        <v>0</v>
      </c>
      <c r="Q459" s="68">
        <f>IF(compute_ManualOverrideSPA="No", COUNTIFS(JSMVC!E$5:E$14987,UCDEffortSpread!D35, JSMVC!B$5:B$14987,Definition!C$13,JSMVC!D$5:D$14987,Definition!I$3),0)</f>
        <v>0</v>
      </c>
      <c r="R459" s="204">
        <f>(Definition!M459*Definition!E$13)</f>
        <v>0</v>
      </c>
      <c r="S459" s="204">
        <f>(Definition!N459*Definition!F$13)</f>
        <v>0</v>
      </c>
      <c r="T459" s="204">
        <f>(Definition!O459*Definition!G$13)</f>
        <v>0</v>
      </c>
      <c r="U459" s="204">
        <f>(Definition!P459*Definition!H$13)</f>
        <v>0</v>
      </c>
      <c r="V459" s="204">
        <f>(Definition!Q459*Definition!I$13)</f>
        <v>0</v>
      </c>
      <c r="W459" s="203">
        <f t="shared" si="41"/>
        <v>0</v>
      </c>
      <c r="X459" s="206">
        <f t="shared" si="40"/>
        <v>0</v>
      </c>
    </row>
    <row r="460" spans="12:24">
      <c r="L460" s="423"/>
      <c r="M460" s="68">
        <f>IF(compute_ManualOverrideSPA="No", COUNTIFS(JSMVC!E$5:E$14987,UCDEffortSpread!D36, JSMVC!B$5:B$14987,Definition!C$13,JSMVC!D$5:D$14987,Definition!E$3),0)</f>
        <v>0</v>
      </c>
      <c r="N460" s="68">
        <f>IF(compute_ManualOverrideSPA="No", COUNTIFS(JSMVC!E$5:E$14987,UCDEffortSpread!D36, JSMVC!B$5:B$14987,Definition!C$13,JSMVC!D$5:D$14987,Definition!F$3),0)</f>
        <v>0</v>
      </c>
      <c r="O460" s="68">
        <f>IF(compute_ManualOverrideSPA="No", COUNTIFS(JSMVC!E$5:E$14987,UCDEffortSpread!D36, JSMVC!B$5:B$14987,Definition!C$13,JSMVC!D$5:D$14987,Definition!G$3),0)</f>
        <v>0</v>
      </c>
      <c r="P460" s="68">
        <f>IF(compute_ManualOverrideSPA="No", COUNTIFS(JSMVC!E$5:E$14987,UCDEffortSpread!D36, JSMVC!B$5:B$14987,Definition!C$13,JSMVC!D$5:D$14987,Definition!H$3),0)</f>
        <v>0</v>
      </c>
      <c r="Q460" s="68">
        <f>IF(compute_ManualOverrideSPA="No", COUNTIFS(JSMVC!E$5:E$14987,UCDEffortSpread!D36, JSMVC!B$5:B$14987,Definition!C$13,JSMVC!D$5:D$14987,Definition!I$3),0)</f>
        <v>0</v>
      </c>
      <c r="R460" s="204">
        <f>(Definition!M460*Definition!E$13)</f>
        <v>0</v>
      </c>
      <c r="S460" s="204">
        <f>(Definition!N460*Definition!F$13)</f>
        <v>0</v>
      </c>
      <c r="T460" s="204">
        <f>(Definition!O460*Definition!G$13)</f>
        <v>0</v>
      </c>
      <c r="U460" s="204">
        <f>(Definition!P460*Definition!H$13)</f>
        <v>0</v>
      </c>
      <c r="V460" s="204">
        <f>(Definition!Q460*Definition!I$13)</f>
        <v>0</v>
      </c>
      <c r="W460" s="203">
        <f t="shared" si="41"/>
        <v>0</v>
      </c>
      <c r="X460" s="206">
        <f t="shared" si="40"/>
        <v>0</v>
      </c>
    </row>
    <row r="461" spans="12:24">
      <c r="L461" s="423"/>
      <c r="M461" s="68">
        <f>IF(compute_ManualOverrideSPA="No", COUNTIFS(JSMVC!E$5:E$14987,UCDEffortSpread!D37, JSMVC!B$5:B$14987,Definition!C$13,JSMVC!D$5:D$14987,Definition!E$3),0)</f>
        <v>0</v>
      </c>
      <c r="N461" s="68">
        <f>IF(compute_ManualOverrideSPA="No", COUNTIFS(JSMVC!E$5:E$14987,UCDEffortSpread!D37, JSMVC!B$5:B$14987,Definition!C$13,JSMVC!D$5:D$14987,Definition!F$3),0)</f>
        <v>0</v>
      </c>
      <c r="O461" s="68">
        <f>IF(compute_ManualOverrideSPA="No", COUNTIFS(JSMVC!E$5:E$14987,UCDEffortSpread!D37, JSMVC!B$5:B$14987,Definition!C$13,JSMVC!D$5:D$14987,Definition!G$3),0)</f>
        <v>0</v>
      </c>
      <c r="P461" s="68">
        <f>IF(compute_ManualOverrideSPA="No", COUNTIFS(JSMVC!E$5:E$14987,UCDEffortSpread!D37, JSMVC!B$5:B$14987,Definition!C$13,JSMVC!D$5:D$14987,Definition!H$3),0)</f>
        <v>0</v>
      </c>
      <c r="Q461" s="68">
        <f>IF(compute_ManualOverrideSPA="No", COUNTIFS(JSMVC!E$5:E$14987,UCDEffortSpread!D37, JSMVC!B$5:B$14987,Definition!C$13,JSMVC!D$5:D$14987,Definition!I$3),0)</f>
        <v>0</v>
      </c>
      <c r="R461" s="204">
        <f>(Definition!M461*Definition!E$13)</f>
        <v>0</v>
      </c>
      <c r="S461" s="204">
        <f>(Definition!N461*Definition!F$13)</f>
        <v>0</v>
      </c>
      <c r="T461" s="204">
        <f>(Definition!O461*Definition!G$13)</f>
        <v>0</v>
      </c>
      <c r="U461" s="204">
        <f>(Definition!P461*Definition!H$13)</f>
        <v>0</v>
      </c>
      <c r="V461" s="204">
        <f>(Definition!Q461*Definition!I$13)</f>
        <v>0</v>
      </c>
      <c r="W461" s="203">
        <f t="shared" si="41"/>
        <v>0</v>
      </c>
      <c r="X461" s="206">
        <f t="shared" si="40"/>
        <v>0</v>
      </c>
    </row>
    <row r="462" spans="12:24">
      <c r="L462" s="423"/>
      <c r="M462" s="68">
        <f>IF(compute_ManualOverrideSPA="No", COUNTIFS(JSMVC!E$5:E$14987,UCDEffortSpread!D38, JSMVC!B$5:B$14987,Definition!C$13,JSMVC!D$5:D$14987,Definition!E$3),0)</f>
        <v>0</v>
      </c>
      <c r="N462" s="68">
        <f>IF(compute_ManualOverrideSPA="No", COUNTIFS(JSMVC!E$5:E$14987,UCDEffortSpread!D38, JSMVC!B$5:B$14987,Definition!C$13,JSMVC!D$5:D$14987,Definition!F$3),0)</f>
        <v>0</v>
      </c>
      <c r="O462" s="68">
        <f>IF(compute_ManualOverrideSPA="No", COUNTIFS(JSMVC!E$5:E$14987,UCDEffortSpread!D38, JSMVC!B$5:B$14987,Definition!C$13,JSMVC!D$5:D$14987,Definition!G$3),0)</f>
        <v>0</v>
      </c>
      <c r="P462" s="68">
        <f>IF(compute_ManualOverrideSPA="No", COUNTIFS(JSMVC!E$5:E$14987,UCDEffortSpread!D38, JSMVC!B$5:B$14987,Definition!C$13,JSMVC!D$5:D$14987,Definition!H$3),0)</f>
        <v>0</v>
      </c>
      <c r="Q462" s="68">
        <f>IF(compute_ManualOverrideSPA="No", COUNTIFS(JSMVC!E$5:E$14987,UCDEffortSpread!D38, JSMVC!B$5:B$14987,Definition!C$13,JSMVC!D$5:D$14987,Definition!I$3),0)</f>
        <v>0</v>
      </c>
      <c r="R462" s="204">
        <f>(Definition!M462*Definition!E$13)</f>
        <v>0</v>
      </c>
      <c r="S462" s="204">
        <f>(Definition!N462*Definition!F$13)</f>
        <v>0</v>
      </c>
      <c r="T462" s="204">
        <f>(Definition!O462*Definition!G$13)</f>
        <v>0</v>
      </c>
      <c r="U462" s="204">
        <f>(Definition!P462*Definition!H$13)</f>
        <v>0</v>
      </c>
      <c r="V462" s="204">
        <f>(Definition!Q462*Definition!I$13)</f>
        <v>0</v>
      </c>
      <c r="W462" s="203">
        <f t="shared" si="41"/>
        <v>0</v>
      </c>
      <c r="X462" s="206">
        <f t="shared" si="40"/>
        <v>0</v>
      </c>
    </row>
    <row r="463" spans="12:24">
      <c r="L463" s="423"/>
      <c r="M463" s="68">
        <f>IF(compute_ManualOverrideSPA="No", COUNTIFS(JSMVC!E$5:E$14987,UCDEffortSpread!D39, JSMVC!B$5:B$14987,Definition!C$13,JSMVC!D$5:D$14987,Definition!E$3),0)</f>
        <v>0</v>
      </c>
      <c r="N463" s="68">
        <f>IF(compute_ManualOverrideSPA="No", COUNTIFS(JSMVC!E$5:E$14987,UCDEffortSpread!D39, JSMVC!B$5:B$14987,Definition!C$13,JSMVC!D$5:D$14987,Definition!F$3),0)</f>
        <v>0</v>
      </c>
      <c r="O463" s="68">
        <f>IF(compute_ManualOverrideSPA="No", COUNTIFS(JSMVC!E$5:E$14987,UCDEffortSpread!D39, JSMVC!B$5:B$14987,Definition!C$13,JSMVC!D$5:D$14987,Definition!G$3),0)</f>
        <v>0</v>
      </c>
      <c r="P463" s="68">
        <f>IF(compute_ManualOverrideSPA="No", COUNTIFS(JSMVC!E$5:E$14987,UCDEffortSpread!D39, JSMVC!B$5:B$14987,Definition!C$13,JSMVC!D$5:D$14987,Definition!H$3),0)</f>
        <v>0</v>
      </c>
      <c r="Q463" s="68">
        <f>IF(compute_ManualOverrideSPA="No", COUNTIFS(JSMVC!E$5:E$14987,UCDEffortSpread!D39, JSMVC!B$5:B$14987,Definition!C$13,JSMVC!D$5:D$14987,Definition!I$3),0)</f>
        <v>0</v>
      </c>
      <c r="R463" s="204">
        <f>(Definition!M463*Definition!E$13)</f>
        <v>0</v>
      </c>
      <c r="S463" s="204">
        <f>(Definition!N463*Definition!F$13)</f>
        <v>0</v>
      </c>
      <c r="T463" s="204">
        <f>(Definition!O463*Definition!G$13)</f>
        <v>0</v>
      </c>
      <c r="U463" s="204">
        <f>(Definition!P463*Definition!H$13)</f>
        <v>0</v>
      </c>
      <c r="V463" s="204">
        <f>(Definition!Q463*Definition!I$13)</f>
        <v>0</v>
      </c>
      <c r="W463" s="203">
        <f t="shared" si="41"/>
        <v>0</v>
      </c>
      <c r="X463" s="206">
        <f t="shared" si="40"/>
        <v>0</v>
      </c>
    </row>
    <row r="464" spans="12:24">
      <c r="L464" s="423"/>
      <c r="M464" s="68">
        <f>IF(compute_ManualOverrideSPA="No", COUNTIFS(JSMVC!E$5:E$14987,UCDEffortSpread!D40, JSMVC!B$5:B$14987,Definition!C$13,JSMVC!D$5:D$14987,Definition!E$3),0)</f>
        <v>0</v>
      </c>
      <c r="N464" s="68">
        <f>IF(compute_ManualOverrideSPA="No", COUNTIFS(JSMVC!E$5:E$14987,UCDEffortSpread!D40, JSMVC!B$5:B$14987,Definition!C$13,JSMVC!D$5:D$14987,Definition!F$3),0)</f>
        <v>0</v>
      </c>
      <c r="O464" s="68">
        <f>IF(compute_ManualOverrideSPA="No", COUNTIFS(JSMVC!E$5:E$14987,UCDEffortSpread!D40, JSMVC!B$5:B$14987,Definition!C$13,JSMVC!D$5:D$14987,Definition!G$3),0)</f>
        <v>0</v>
      </c>
      <c r="P464" s="68">
        <f>IF(compute_ManualOverrideSPA="No", COUNTIFS(JSMVC!E$5:E$14987,UCDEffortSpread!D40, JSMVC!B$5:B$14987,Definition!C$13,JSMVC!D$5:D$14987,Definition!H$3),0)</f>
        <v>0</v>
      </c>
      <c r="Q464" s="68">
        <f>IF(compute_ManualOverrideSPA="No", COUNTIFS(JSMVC!E$5:E$14987,UCDEffortSpread!D40, JSMVC!B$5:B$14987,Definition!C$13,JSMVC!D$5:D$14987,Definition!I$3),0)</f>
        <v>0</v>
      </c>
      <c r="R464" s="204">
        <f>(Definition!M464*Definition!E$13)</f>
        <v>0</v>
      </c>
      <c r="S464" s="204">
        <f>(Definition!N464*Definition!F$13)</f>
        <v>0</v>
      </c>
      <c r="T464" s="204">
        <f>(Definition!O464*Definition!G$13)</f>
        <v>0</v>
      </c>
      <c r="U464" s="204">
        <f>(Definition!P464*Definition!H$13)</f>
        <v>0</v>
      </c>
      <c r="V464" s="204">
        <f>(Definition!Q464*Definition!I$13)</f>
        <v>0</v>
      </c>
      <c r="W464" s="203">
        <f t="shared" si="41"/>
        <v>0</v>
      </c>
      <c r="X464" s="206">
        <f t="shared" si="40"/>
        <v>0</v>
      </c>
    </row>
    <row r="465" spans="12:25">
      <c r="L465" s="423"/>
      <c r="M465" s="68">
        <f>IF(compute_ManualOverrideSPA="No", COUNTIFS(JSMVC!E$5:E$14987,UCDEffortSpread!D41, JSMVC!B$5:B$14987,Definition!C$13,JSMVC!D$5:D$14987,Definition!E$3),0)</f>
        <v>0</v>
      </c>
      <c r="N465" s="68">
        <f>IF(compute_ManualOverrideSPA="No", COUNTIFS(JSMVC!E$5:E$14987,UCDEffortSpread!D41, JSMVC!B$5:B$14987,Definition!C$13,JSMVC!D$5:D$14987,Definition!F$3),0)</f>
        <v>0</v>
      </c>
      <c r="O465" s="68">
        <f>IF(compute_ManualOverrideSPA="No", COUNTIFS(JSMVC!E$5:E$14987,UCDEffortSpread!D41, JSMVC!B$5:B$14987,Definition!C$13,JSMVC!D$5:D$14987,Definition!G$3),0)</f>
        <v>0</v>
      </c>
      <c r="P465" s="68">
        <f>IF(compute_ManualOverrideSPA="No", COUNTIFS(JSMVC!E$5:E$14987,UCDEffortSpread!D41, JSMVC!B$5:B$14987,Definition!C$13,JSMVC!D$5:D$14987,Definition!H$3),0)</f>
        <v>0</v>
      </c>
      <c r="Q465" s="68">
        <f>IF(compute_ManualOverrideSPA="No", COUNTIFS(JSMVC!E$5:E$14987,UCDEffortSpread!D41, JSMVC!B$5:B$14987,Definition!C$13,JSMVC!D$5:D$14987,Definition!I$3),0)</f>
        <v>0</v>
      </c>
      <c r="R465" s="204">
        <f>(Definition!M465*Definition!E$13)</f>
        <v>0</v>
      </c>
      <c r="S465" s="204">
        <f>(Definition!N465*Definition!F$13)</f>
        <v>0</v>
      </c>
      <c r="T465" s="204">
        <f>(Definition!O465*Definition!G$13)</f>
        <v>0</v>
      </c>
      <c r="U465" s="204">
        <f>(Definition!P465*Definition!H$13)</f>
        <v>0</v>
      </c>
      <c r="V465" s="204">
        <f>(Definition!Q465*Definition!I$13)</f>
        <v>0</v>
      </c>
      <c r="W465" s="203">
        <f t="shared" si="41"/>
        <v>0</v>
      </c>
      <c r="X465" s="206">
        <f t="shared" si="40"/>
        <v>0</v>
      </c>
    </row>
    <row r="466" spans="12:25">
      <c r="L466" s="423"/>
      <c r="M466" s="68">
        <f>IF(compute_ManualOverrideSPA="No", COUNTIFS(JSMVC!E$5:E$14987,UCDEffortSpread!D42, JSMVC!B$5:B$14987,Definition!C$13,JSMVC!D$5:D$14987,Definition!E$3),0)</f>
        <v>0</v>
      </c>
      <c r="N466" s="68">
        <f>IF(compute_ManualOverrideSPA="No", COUNTIFS(JSMVC!E$5:E$14987,UCDEffortSpread!D42, JSMVC!B$5:B$14987,Definition!C$13,JSMVC!D$5:D$14987,Definition!F$3),0)</f>
        <v>0</v>
      </c>
      <c r="O466" s="68">
        <f>IF(compute_ManualOverrideSPA="No", COUNTIFS(JSMVC!E$5:E$14987,UCDEffortSpread!D42, JSMVC!B$5:B$14987,Definition!C$13,JSMVC!D$5:D$14987,Definition!G$3),0)</f>
        <v>0</v>
      </c>
      <c r="P466" s="68">
        <f>IF(compute_ManualOverrideSPA="No", COUNTIFS(JSMVC!E$5:E$14987,UCDEffortSpread!D42, JSMVC!B$5:B$14987,Definition!C$13,JSMVC!D$5:D$14987,Definition!H$3),0)</f>
        <v>0</v>
      </c>
      <c r="Q466" s="68">
        <f>IF(compute_ManualOverrideSPA="No", COUNTIFS(JSMVC!E$5:E$14987,UCDEffortSpread!D42, JSMVC!B$5:B$14987,Definition!C$13,JSMVC!D$5:D$14987,Definition!I$3),0)</f>
        <v>0</v>
      </c>
      <c r="R466" s="204">
        <f>(Definition!M466*Definition!E$13)</f>
        <v>0</v>
      </c>
      <c r="S466" s="204">
        <f>(Definition!N466*Definition!F$13)</f>
        <v>0</v>
      </c>
      <c r="T466" s="204">
        <f>(Definition!O466*Definition!G$13)</f>
        <v>0</v>
      </c>
      <c r="U466" s="204">
        <f>(Definition!P466*Definition!H$13)</f>
        <v>0</v>
      </c>
      <c r="V466" s="204">
        <f>(Definition!Q466*Definition!I$13)</f>
        <v>0</v>
      </c>
      <c r="W466" s="203">
        <f t="shared" si="41"/>
        <v>0</v>
      </c>
      <c r="X466" s="206">
        <f t="shared" si="40"/>
        <v>0</v>
      </c>
    </row>
    <row r="467" spans="12:25">
      <c r="L467" s="423"/>
      <c r="M467" s="68">
        <f>IF(compute_ManualOverrideSPA="No", COUNTIFS(JSMVC!E$5:E$14987,UCDEffortSpread!D43, JSMVC!B$5:B$14987,Definition!C$13,JSMVC!D$5:D$14987,Definition!E$3),0)</f>
        <v>0</v>
      </c>
      <c r="N467" s="68">
        <f>IF(compute_ManualOverrideSPA="No", COUNTIFS(JSMVC!E$5:E$14987,UCDEffortSpread!D43, JSMVC!B$5:B$14987,Definition!C$13,JSMVC!D$5:D$14987,Definition!F$3),0)</f>
        <v>0</v>
      </c>
      <c r="O467" s="68">
        <f>IF(compute_ManualOverrideSPA="No", COUNTIFS(JSMVC!E$5:E$14987,UCDEffortSpread!D43, JSMVC!B$5:B$14987,Definition!C$13,JSMVC!D$5:D$14987,Definition!G$3),0)</f>
        <v>0</v>
      </c>
      <c r="P467" s="68">
        <f>IF(compute_ManualOverrideSPA="No", COUNTIFS(JSMVC!E$5:E$14987,UCDEffortSpread!D43, JSMVC!B$5:B$14987,Definition!C$13,JSMVC!D$5:D$14987,Definition!H$3),0)</f>
        <v>0</v>
      </c>
      <c r="Q467" s="68">
        <f>IF(compute_ManualOverrideSPA="No", COUNTIFS(JSMVC!E$5:E$14987,UCDEffortSpread!D43, JSMVC!B$5:B$14987,Definition!C$13,JSMVC!D$5:D$14987,Definition!I$3),0)</f>
        <v>0</v>
      </c>
      <c r="R467" s="204">
        <f>(Definition!M467*Definition!E$13)</f>
        <v>0</v>
      </c>
      <c r="S467" s="204">
        <f>(Definition!N467*Definition!F$13)</f>
        <v>0</v>
      </c>
      <c r="T467" s="204">
        <f>(Definition!O467*Definition!G$13)</f>
        <v>0</v>
      </c>
      <c r="U467" s="204">
        <f>(Definition!P467*Definition!H$13)</f>
        <v>0</v>
      </c>
      <c r="V467" s="204">
        <f>(Definition!Q467*Definition!I$13)</f>
        <v>0</v>
      </c>
      <c r="W467" s="203">
        <f t="shared" si="41"/>
        <v>0</v>
      </c>
      <c r="X467" s="206">
        <f t="shared" si="40"/>
        <v>0</v>
      </c>
    </row>
    <row r="468" spans="12:25">
      <c r="L468" s="423"/>
      <c r="M468" s="68">
        <f>IF(compute_ManualOverrideSPA="No", COUNTIFS(JSMVC!E$5:E$14987,UCDEffortSpread!D44, JSMVC!B$5:B$14987,Definition!C$13,JSMVC!D$5:D$14987,Definition!E$3),0)</f>
        <v>0</v>
      </c>
      <c r="N468" s="68">
        <f>IF(compute_ManualOverrideSPA="No", COUNTIFS(JSMVC!E$5:E$14987,UCDEffortSpread!D44, JSMVC!B$5:B$14987,Definition!C$13,JSMVC!D$5:D$14987,Definition!F$3),0)</f>
        <v>0</v>
      </c>
      <c r="O468" s="68">
        <f>IF(compute_ManualOverrideSPA="No", COUNTIFS(JSMVC!E$5:E$14987,UCDEffortSpread!D44, JSMVC!B$5:B$14987,Definition!C$13,JSMVC!D$5:D$14987,Definition!G$3),0)</f>
        <v>0</v>
      </c>
      <c r="P468" s="68">
        <f>IF(compute_ManualOverrideSPA="No", COUNTIFS(JSMVC!E$5:E$14987,UCDEffortSpread!D44, JSMVC!B$5:B$14987,Definition!C$13,JSMVC!D$5:D$14987,Definition!H$3),0)</f>
        <v>0</v>
      </c>
      <c r="Q468" s="68">
        <f>IF(compute_ManualOverrideSPA="No", COUNTIFS(JSMVC!E$5:E$14987,UCDEffortSpread!D44, JSMVC!B$5:B$14987,Definition!C$13,JSMVC!D$5:D$14987,Definition!I$3),0)</f>
        <v>0</v>
      </c>
      <c r="R468" s="204">
        <f>(Definition!M468*Definition!E$13)</f>
        <v>0</v>
      </c>
      <c r="S468" s="204">
        <f>(Definition!N468*Definition!F$13)</f>
        <v>0</v>
      </c>
      <c r="T468" s="204">
        <f>(Definition!O468*Definition!G$13)</f>
        <v>0</v>
      </c>
      <c r="U468" s="204">
        <f>(Definition!P468*Definition!H$13)</f>
        <v>0</v>
      </c>
      <c r="V468" s="204">
        <f>(Definition!Q468*Definition!I$13)</f>
        <v>0</v>
      </c>
      <c r="W468" s="203">
        <f t="shared" si="41"/>
        <v>0</v>
      </c>
      <c r="X468" s="206">
        <f t="shared" si="40"/>
        <v>0</v>
      </c>
    </row>
    <row r="469" spans="12:25">
      <c r="L469" s="423"/>
      <c r="M469" s="68">
        <f>IF(compute_ManualOverrideSPA="No", COUNTIFS(JSMVC!E$5:E$14987,UCDEffortSpread!D45, JSMVC!B$5:B$14987,Definition!C$13,JSMVC!D$5:D$14987,Definition!E$3),0)</f>
        <v>0</v>
      </c>
      <c r="N469" s="68">
        <f>IF(compute_ManualOverrideSPA="No", COUNTIFS(JSMVC!E$5:E$14987,UCDEffortSpread!D45, JSMVC!B$5:B$14987,Definition!C$13,JSMVC!D$5:D$14987,Definition!F$3),0)</f>
        <v>0</v>
      </c>
      <c r="O469" s="68">
        <f>IF(compute_ManualOverrideSPA="No", COUNTIFS(JSMVC!E$5:E$14987,UCDEffortSpread!D45, JSMVC!B$5:B$14987,Definition!C$13,JSMVC!D$5:D$14987,Definition!G$3),0)</f>
        <v>0</v>
      </c>
      <c r="P469" s="68">
        <f>IF(compute_ManualOverrideSPA="No", COUNTIFS(JSMVC!E$5:E$14987,UCDEffortSpread!D45, JSMVC!B$5:B$14987,Definition!C$13,JSMVC!D$5:D$14987,Definition!H$3),0)</f>
        <v>0</v>
      </c>
      <c r="Q469" s="68">
        <f>IF(compute_ManualOverrideSPA="No", COUNTIFS(JSMVC!E$5:E$14987,UCDEffortSpread!D45, JSMVC!B$5:B$14987,Definition!C$13,JSMVC!D$5:D$14987,Definition!I$3),0)</f>
        <v>0</v>
      </c>
      <c r="R469" s="204">
        <f>(Definition!M469*Definition!E$13)</f>
        <v>0</v>
      </c>
      <c r="S469" s="204">
        <f>(Definition!N469*Definition!F$13)</f>
        <v>0</v>
      </c>
      <c r="T469" s="204">
        <f>(Definition!O469*Definition!G$13)</f>
        <v>0</v>
      </c>
      <c r="U469" s="204">
        <f>(Definition!P469*Definition!H$13)</f>
        <v>0</v>
      </c>
      <c r="V469" s="204">
        <f>(Definition!Q469*Definition!I$13)</f>
        <v>0</v>
      </c>
      <c r="W469" s="203">
        <f t="shared" si="41"/>
        <v>0</v>
      </c>
      <c r="X469" s="206">
        <f t="shared" si="40"/>
        <v>0</v>
      </c>
    </row>
    <row r="470" spans="12:25">
      <c r="L470" s="423"/>
      <c r="M470" s="68">
        <f>IF(compute_ManualOverrideSPA="No", COUNTIFS(JSMVC!E$5:E$14987,UCDEffortSpread!D46, JSMVC!B$5:B$14987,Definition!C$13,JSMVC!D$5:D$14987,Definition!E$3),0)</f>
        <v>0</v>
      </c>
      <c r="N470" s="68">
        <f>IF(compute_ManualOverrideSPA="No", COUNTIFS(JSMVC!E$5:E$14987,UCDEffortSpread!D46, JSMVC!B$5:B$14987,Definition!C$13,JSMVC!D$5:D$14987,Definition!F$3),0)</f>
        <v>0</v>
      </c>
      <c r="O470" s="68">
        <f>IF(compute_ManualOverrideSPA="No", COUNTIFS(JSMVC!E$5:E$14987,UCDEffortSpread!D46, JSMVC!B$5:B$14987,Definition!C$13,JSMVC!D$5:D$14987,Definition!G$3),0)</f>
        <v>0</v>
      </c>
      <c r="P470" s="68">
        <f>IF(compute_ManualOverrideSPA="No", COUNTIFS(JSMVC!E$5:E$14987,UCDEffortSpread!D46, JSMVC!B$5:B$14987,Definition!C$13,JSMVC!D$5:D$14987,Definition!H$3),0)</f>
        <v>0</v>
      </c>
      <c r="Q470" s="68">
        <f>IF(compute_ManualOverrideSPA="No", COUNTIFS(JSMVC!E$5:E$14987,UCDEffortSpread!D46, JSMVC!B$5:B$14987,Definition!C$13,JSMVC!D$5:D$14987,Definition!I$3),0)</f>
        <v>0</v>
      </c>
      <c r="R470" s="204">
        <f>(Definition!M470*Definition!E$13)</f>
        <v>0</v>
      </c>
      <c r="S470" s="204">
        <f>(Definition!N470*Definition!F$13)</f>
        <v>0</v>
      </c>
      <c r="T470" s="204">
        <f>(Definition!O470*Definition!G$13)</f>
        <v>0</v>
      </c>
      <c r="U470" s="204">
        <f>(Definition!P470*Definition!H$13)</f>
        <v>0</v>
      </c>
      <c r="V470" s="204">
        <f>(Definition!Q470*Definition!I$13)</f>
        <v>0</v>
      </c>
      <c r="W470" s="203">
        <f t="shared" si="41"/>
        <v>0</v>
      </c>
      <c r="X470" s="206">
        <f t="shared" si="40"/>
        <v>0</v>
      </c>
    </row>
    <row r="471" spans="12:25">
      <c r="L471" s="423"/>
      <c r="M471" s="68">
        <f>IF(compute_ManualOverrideSPA="No", COUNTIFS(JSMVC!E$5:E$14987,UCDEffortSpread!D47, JSMVC!B$5:B$14987,Definition!C$13,JSMVC!D$5:D$14987,Definition!E$3),0)</f>
        <v>0</v>
      </c>
      <c r="N471" s="68">
        <f>IF(compute_ManualOverrideSPA="No", COUNTIFS(JSMVC!E$5:E$14987,UCDEffortSpread!D47, JSMVC!B$5:B$14987,Definition!C$13,JSMVC!D$5:D$14987,Definition!F$3),0)</f>
        <v>0</v>
      </c>
      <c r="O471" s="68">
        <f>IF(compute_ManualOverrideSPA="No", COUNTIFS(JSMVC!E$5:E$14987,UCDEffortSpread!D47, JSMVC!B$5:B$14987,Definition!C$13,JSMVC!D$5:D$14987,Definition!G$3),0)</f>
        <v>0</v>
      </c>
      <c r="P471" s="68">
        <f>IF(compute_ManualOverrideSPA="No", COUNTIFS(JSMVC!E$5:E$14987,UCDEffortSpread!D47, JSMVC!B$5:B$14987,Definition!C$13,JSMVC!D$5:D$14987,Definition!H$3),0)</f>
        <v>0</v>
      </c>
      <c r="Q471" s="68">
        <f>IF(compute_ManualOverrideSPA="No", COUNTIFS(JSMVC!E$5:E$14987,UCDEffortSpread!D47, JSMVC!B$5:B$14987,Definition!C$13,JSMVC!D$5:D$14987,Definition!I$3),0)</f>
        <v>0</v>
      </c>
      <c r="R471" s="204">
        <f>(Definition!M471*Definition!E$13)</f>
        <v>0</v>
      </c>
      <c r="S471" s="204">
        <f>(Definition!N471*Definition!F$13)</f>
        <v>0</v>
      </c>
      <c r="T471" s="204">
        <f>(Definition!O471*Definition!G$13)</f>
        <v>0</v>
      </c>
      <c r="U471" s="204">
        <f>(Definition!P471*Definition!H$13)</f>
        <v>0</v>
      </c>
      <c r="V471" s="204">
        <f>(Definition!Q471*Definition!I$13)</f>
        <v>0</v>
      </c>
      <c r="W471" s="203">
        <f t="shared" si="41"/>
        <v>0</v>
      </c>
      <c r="X471" s="206">
        <f t="shared" si="40"/>
        <v>0</v>
      </c>
    </row>
    <row r="472" spans="12:25">
      <c r="L472" s="423"/>
      <c r="M472" s="68">
        <f>IF(compute_ManualOverrideSPA="No", COUNTIFS(JSMVC!E$5:E$14987,UCDEffortSpread!D48, JSMVC!B$5:B$14987,Definition!C$13,JSMVC!D$5:D$14987,Definition!E$3),0)</f>
        <v>0</v>
      </c>
      <c r="N472" s="68">
        <f>IF(compute_ManualOverrideSPA="No", COUNTIFS(JSMVC!E$5:E$14987,UCDEffortSpread!D48, JSMVC!B$5:B$14987,Definition!C$13,JSMVC!D$5:D$14987,Definition!F$3),0)</f>
        <v>0</v>
      </c>
      <c r="O472" s="68">
        <f>IF(compute_ManualOverrideSPA="No", COUNTIFS(JSMVC!E$5:E$14987,UCDEffortSpread!D48, JSMVC!B$5:B$14987,Definition!C$13,JSMVC!D$5:D$14987,Definition!G$3),0)</f>
        <v>0</v>
      </c>
      <c r="P472" s="68">
        <f>IF(compute_ManualOverrideSPA="No", COUNTIFS(JSMVC!E$5:E$14987,UCDEffortSpread!D48, JSMVC!B$5:B$14987,Definition!C$13,JSMVC!D$5:D$14987,Definition!H$3),0)</f>
        <v>0</v>
      </c>
      <c r="Q472" s="68">
        <f>IF(compute_ManualOverrideSPA="No", COUNTIFS(JSMVC!E$5:E$14987,UCDEffortSpread!D48, JSMVC!B$5:B$14987,Definition!C$13,JSMVC!D$5:D$14987,Definition!I$3),0)</f>
        <v>0</v>
      </c>
      <c r="R472" s="204">
        <f>(Definition!M472*Definition!E$13)</f>
        <v>0</v>
      </c>
      <c r="S472" s="204">
        <f>(Definition!N472*Definition!F$13)</f>
        <v>0</v>
      </c>
      <c r="T472" s="204">
        <f>(Definition!O472*Definition!G$13)</f>
        <v>0</v>
      </c>
      <c r="U472" s="204">
        <f>(Definition!P472*Definition!H$13)</f>
        <v>0</v>
      </c>
      <c r="V472" s="204">
        <f>(Definition!Q472*Definition!I$13)</f>
        <v>0</v>
      </c>
      <c r="W472" s="203">
        <f t="shared" si="41"/>
        <v>0</v>
      </c>
      <c r="X472" s="206">
        <f t="shared" si="40"/>
        <v>0</v>
      </c>
    </row>
    <row r="473" spans="12:25">
      <c r="L473" s="423"/>
      <c r="M473" s="68">
        <f>IF(compute_ManualOverrideSPA="No", COUNTIFS(JSMVC!E$5:E$14987,UCDEffortSpread!D49, JSMVC!B$5:B$14987,Definition!C$13,JSMVC!D$5:D$14987,Definition!E$3),0)</f>
        <v>0</v>
      </c>
      <c r="N473" s="68">
        <f>IF(compute_ManualOverrideSPA="No", COUNTIFS(JSMVC!E$5:E$14987,UCDEffortSpread!D49, JSMVC!B$5:B$14987,Definition!C$13,JSMVC!D$5:D$14987,Definition!F$3),0)</f>
        <v>0</v>
      </c>
      <c r="O473" s="68">
        <f>IF(compute_ManualOverrideSPA="No", COUNTIFS(JSMVC!E$5:E$14987,UCDEffortSpread!D49, JSMVC!B$5:B$14987,Definition!C$13,JSMVC!D$5:D$14987,Definition!G$3),0)</f>
        <v>0</v>
      </c>
      <c r="P473" s="68">
        <f>IF(compute_ManualOverrideSPA="No", COUNTIFS(JSMVC!E$5:E$14987,UCDEffortSpread!D49, JSMVC!B$5:B$14987,Definition!C$13,JSMVC!D$5:D$14987,Definition!H$3),0)</f>
        <v>0</v>
      </c>
      <c r="Q473" s="68">
        <f>IF(compute_ManualOverrideSPA="No", COUNTIFS(JSMVC!E$5:E$14987,UCDEffortSpread!D49, JSMVC!B$5:B$14987,Definition!C$13,JSMVC!D$5:D$14987,Definition!I$3),0)</f>
        <v>0</v>
      </c>
      <c r="R473" s="204">
        <f>(Definition!M473*Definition!E$13)</f>
        <v>0</v>
      </c>
      <c r="S473" s="204">
        <f>(Definition!N473*Definition!F$13)</f>
        <v>0</v>
      </c>
      <c r="T473" s="204">
        <f>(Definition!O473*Definition!G$13)</f>
        <v>0</v>
      </c>
      <c r="U473" s="204">
        <f>(Definition!P473*Definition!H$13)</f>
        <v>0</v>
      </c>
      <c r="V473" s="204">
        <f>(Definition!Q473*Definition!I$13)</f>
        <v>0</v>
      </c>
      <c r="W473" s="203">
        <f t="shared" si="41"/>
        <v>0</v>
      </c>
      <c r="X473" s="206">
        <f t="shared" si="40"/>
        <v>0</v>
      </c>
    </row>
    <row r="474" spans="12:25">
      <c r="L474" s="423"/>
      <c r="M474" s="68">
        <f>IF(compute_ManualOverrideSPA="No", COUNTIFS(JSMVC!E$5:E$14987,UCDEffortSpread!D50, JSMVC!B$5:B$14987,Definition!C$13,JSMVC!D$5:D$14987,Definition!E$3),0)</f>
        <v>0</v>
      </c>
      <c r="N474" s="68">
        <f>IF(compute_ManualOverrideSPA="No", COUNTIFS(JSMVC!E$5:E$14987,UCDEffortSpread!D50, JSMVC!B$5:B$14987,Definition!C$13,JSMVC!D$5:D$14987,Definition!F$3),0)</f>
        <v>0</v>
      </c>
      <c r="O474" s="68">
        <f>IF(compute_ManualOverrideSPA="No", COUNTIFS(JSMVC!E$5:E$14987,UCDEffortSpread!D50, JSMVC!B$5:B$14987,Definition!C$13,JSMVC!D$5:D$14987,Definition!G$3),0)</f>
        <v>0</v>
      </c>
      <c r="P474" s="68">
        <f>IF(compute_ManualOverrideSPA="No", COUNTIFS(JSMVC!E$5:E$14987,UCDEffortSpread!D50, JSMVC!B$5:B$14987,Definition!C$13,JSMVC!D$5:D$14987,Definition!H$3),0)</f>
        <v>0</v>
      </c>
      <c r="Q474" s="68">
        <f>IF(compute_ManualOverrideSPA="No", COUNTIFS(JSMVC!E$5:E$14987,UCDEffortSpread!D50, JSMVC!B$5:B$14987,Definition!C$13,JSMVC!D$5:D$14987,Definition!I$3),0)</f>
        <v>0</v>
      </c>
      <c r="R474" s="204">
        <f>(Definition!M474*Definition!E$13)</f>
        <v>0</v>
      </c>
      <c r="S474" s="204">
        <f>(Definition!N474*Definition!F$13)</f>
        <v>0</v>
      </c>
      <c r="T474" s="204">
        <f>(Definition!O474*Definition!G$13)</f>
        <v>0</v>
      </c>
      <c r="U474" s="204">
        <f>(Definition!P474*Definition!H$13)</f>
        <v>0</v>
      </c>
      <c r="V474" s="204">
        <f>(Definition!Q474*Definition!I$13)</f>
        <v>0</v>
      </c>
      <c r="W474" s="203">
        <f t="shared" si="41"/>
        <v>0</v>
      </c>
      <c r="X474" s="206">
        <f t="shared" si="40"/>
        <v>0</v>
      </c>
    </row>
    <row r="475" spans="12:25">
      <c r="L475" s="423"/>
      <c r="M475" s="68">
        <f>IF(compute_ManualOverrideSPA="No", COUNTIFS(JSMVC!E$5:E$14987,UCDEffortSpread!D51, JSMVC!B$5:B$14987,Definition!C$13,JSMVC!D$5:D$14987,Definition!E$3),0)</f>
        <v>0</v>
      </c>
      <c r="N475" s="68">
        <f>IF(compute_ManualOverrideSPA="No", COUNTIFS(JSMVC!E$5:E$14987,UCDEffortSpread!D51, JSMVC!B$5:B$14987,Definition!C$13,JSMVC!D$5:D$14987,Definition!F$3),0)</f>
        <v>0</v>
      </c>
      <c r="O475" s="68">
        <f>IF(compute_ManualOverrideSPA="No", COUNTIFS(JSMVC!E$5:E$14987,UCDEffortSpread!D51, JSMVC!B$5:B$14987,Definition!C$13,JSMVC!D$5:D$14987,Definition!G$3),0)</f>
        <v>0</v>
      </c>
      <c r="P475" s="68">
        <f>IF(compute_ManualOverrideSPA="No", COUNTIFS(JSMVC!E$5:E$14987,UCDEffortSpread!D51, JSMVC!B$5:B$14987,Definition!C$13,JSMVC!D$5:D$14987,Definition!H$3),0)</f>
        <v>0</v>
      </c>
      <c r="Q475" s="68">
        <f>IF(compute_ManualOverrideSPA="No", COUNTIFS(JSMVC!E$5:E$14987,UCDEffortSpread!D51, JSMVC!B$5:B$14987,Definition!C$13,JSMVC!D$5:D$14987,Definition!I$3),0)</f>
        <v>0</v>
      </c>
      <c r="R475" s="204">
        <f>(Definition!M475*Definition!E$13)</f>
        <v>0</v>
      </c>
      <c r="S475" s="204">
        <f>(Definition!N475*Definition!F$13)</f>
        <v>0</v>
      </c>
      <c r="T475" s="204">
        <f>(Definition!O475*Definition!G$13)</f>
        <v>0</v>
      </c>
      <c r="U475" s="204">
        <f>(Definition!P475*Definition!H$13)</f>
        <v>0</v>
      </c>
      <c r="V475" s="204">
        <f>(Definition!Q475*Definition!I$13)</f>
        <v>0</v>
      </c>
      <c r="W475" s="203">
        <f t="shared" si="41"/>
        <v>0</v>
      </c>
      <c r="X475" s="206">
        <f t="shared" si="40"/>
        <v>0</v>
      </c>
    </row>
    <row r="476" spans="12:25">
      <c r="L476" s="423"/>
      <c r="M476" s="68">
        <f>IF(compute_ManualOverrideSPA="No", COUNTIFS(JSMVC!E$5:E$14987,UCDEffortSpread!D52, JSMVC!B$5:B$14987,Definition!C$13,JSMVC!D$5:D$14987,Definition!E$3),0)</f>
        <v>0</v>
      </c>
      <c r="N476" s="68">
        <f>IF(compute_ManualOverrideSPA="No", COUNTIFS(JSMVC!E$5:E$14987,UCDEffortSpread!D52, JSMVC!B$5:B$14987,Definition!C$13,JSMVC!D$5:D$14987,Definition!F$3),0)</f>
        <v>0</v>
      </c>
      <c r="O476" s="68">
        <f>IF(compute_ManualOverrideSPA="No", COUNTIFS(JSMVC!E$5:E$14987,UCDEffortSpread!D52, JSMVC!B$5:B$14987,Definition!C$13,JSMVC!D$5:D$14987,Definition!G$3),0)</f>
        <v>0</v>
      </c>
      <c r="P476" s="68">
        <f>IF(compute_ManualOverrideSPA="No", COUNTIFS(JSMVC!E$5:E$14987,UCDEffortSpread!D52, JSMVC!B$5:B$14987,Definition!C$13,JSMVC!D$5:D$14987,Definition!H$3),0)</f>
        <v>0</v>
      </c>
      <c r="Q476" s="68">
        <f>IF(compute_ManualOverrideSPA="No", COUNTIFS(JSMVC!E$5:E$14987,UCDEffortSpread!D52, JSMVC!B$5:B$14987,Definition!C$13,JSMVC!D$5:D$14987,Definition!I$3),0)</f>
        <v>0</v>
      </c>
      <c r="R476" s="204">
        <f>(Definition!M476*Definition!E$13)</f>
        <v>0</v>
      </c>
      <c r="S476" s="204">
        <f>(Definition!N476*Definition!F$13)</f>
        <v>0</v>
      </c>
      <c r="T476" s="204">
        <f>(Definition!O476*Definition!G$13)</f>
        <v>0</v>
      </c>
      <c r="U476" s="204">
        <f>(Definition!P476*Definition!H$13)</f>
        <v>0</v>
      </c>
      <c r="V476" s="204">
        <f>(Definition!Q476*Definition!I$13)</f>
        <v>0</v>
      </c>
      <c r="W476" s="203">
        <f t="shared" si="41"/>
        <v>0</v>
      </c>
      <c r="X476" s="206">
        <f t="shared" si="40"/>
        <v>0</v>
      </c>
    </row>
    <row r="477" spans="12:25">
      <c r="L477" s="423"/>
      <c r="M477" s="68">
        <f>IF(compute_ManualOverrideSPA="No", COUNTIFS(JSMVC!E$5:E$14987,UCDEffortSpread!D53, JSMVC!B$5:B$14987,Definition!C$13,JSMVC!D$5:D$14987,Definition!E$3),0)</f>
        <v>0</v>
      </c>
      <c r="N477" s="68">
        <f>IF(compute_ManualOverrideSPA="No", COUNTIFS(JSMVC!E$5:E$14987,UCDEffortSpread!D53, JSMVC!B$5:B$14987,Definition!C$13,JSMVC!D$5:D$14987,Definition!F$3),0)</f>
        <v>0</v>
      </c>
      <c r="O477" s="68">
        <f>IF(compute_ManualOverrideSPA="No", COUNTIFS(JSMVC!E$5:E$14987,UCDEffortSpread!D53, JSMVC!B$5:B$14987,Definition!C$13,JSMVC!D$5:D$14987,Definition!G$3),0)</f>
        <v>0</v>
      </c>
      <c r="P477" s="68">
        <f>IF(compute_ManualOverrideSPA="No", COUNTIFS(JSMVC!E$5:E$14987,UCDEffortSpread!D53, JSMVC!B$5:B$14987,Definition!C$13,JSMVC!D$5:D$14987,Definition!H$3),0)</f>
        <v>0</v>
      </c>
      <c r="Q477" s="68">
        <f>IF(compute_ManualOverrideSPA="No", COUNTIFS(JSMVC!E$5:E$14987,UCDEffortSpread!D53, JSMVC!B$5:B$14987,Definition!C$13,JSMVC!D$5:D$14987,Definition!I$3),0)</f>
        <v>0</v>
      </c>
      <c r="R477" s="204">
        <f>(Definition!M477*Definition!E$13)</f>
        <v>0</v>
      </c>
      <c r="S477" s="204">
        <f>(Definition!N477*Definition!F$13)</f>
        <v>0</v>
      </c>
      <c r="T477" s="204">
        <f>(Definition!O477*Definition!G$13)</f>
        <v>0</v>
      </c>
      <c r="U477" s="204">
        <f>(Definition!P477*Definition!H$13)</f>
        <v>0</v>
      </c>
      <c r="V477" s="204">
        <f>(Definition!Q477*Definition!I$13)</f>
        <v>0</v>
      </c>
      <c r="W477" s="203">
        <f t="shared" si="41"/>
        <v>0</v>
      </c>
      <c r="X477" s="206">
        <f t="shared" si="40"/>
        <v>0</v>
      </c>
    </row>
    <row r="478" spans="12:25">
      <c r="L478" s="424"/>
      <c r="M478" s="68">
        <f>IF(compute_ManualOverrideSPA="No", COUNTIFS(JSMVC!E$5:E$14987,UCDEffortSpread!D54, JSMVC!B$5:B$14987,Definition!C$13,JSMVC!D$5:D$14987,Definition!E$3),0)</f>
        <v>0</v>
      </c>
      <c r="N478" s="68">
        <f>IF(compute_ManualOverrideSPA="No", COUNTIFS(JSMVC!E$5:E$14987,UCDEffortSpread!D54, JSMVC!B$5:B$14987,Definition!C$13,JSMVC!D$5:D$14987,Definition!F$3),0)</f>
        <v>0</v>
      </c>
      <c r="O478" s="68">
        <f>IF(compute_ManualOverrideSPA="No", COUNTIFS(JSMVC!E$5:E$14987,UCDEffortSpread!D54, JSMVC!B$5:B$14987,Definition!C$13,JSMVC!D$5:D$14987,Definition!G$3),0)</f>
        <v>0</v>
      </c>
      <c r="P478" s="68">
        <f>IF(compute_ManualOverrideSPA="No", COUNTIFS(JSMVC!E$5:E$14987,UCDEffortSpread!D54, JSMVC!B$5:B$14987,Definition!C$13,JSMVC!D$5:D$14987,Definition!H$3),0)</f>
        <v>0</v>
      </c>
      <c r="Q478" s="68">
        <f>IF(compute_ManualOverrideSPA="No", COUNTIFS(JSMVC!E$5:E$14987,UCDEffortSpread!D54, JSMVC!B$5:B$14987,Definition!C$13,JSMVC!D$5:D$14987,Definition!I$3),0)</f>
        <v>0</v>
      </c>
      <c r="R478" s="204">
        <f>(Definition!M478*Definition!E$13)</f>
        <v>0</v>
      </c>
      <c r="S478" s="204">
        <f>(Definition!N478*Definition!F$13)</f>
        <v>0</v>
      </c>
      <c r="T478" s="204">
        <f>(Definition!O478*Definition!G$13)</f>
        <v>0</v>
      </c>
      <c r="U478" s="204">
        <f>(Definition!P478*Definition!H$13)</f>
        <v>0</v>
      </c>
      <c r="V478" s="204">
        <f>(Definition!Q478*Definition!I$13)</f>
        <v>0</v>
      </c>
      <c r="W478" s="203">
        <f t="shared" si="41"/>
        <v>0</v>
      </c>
      <c r="X478" s="206">
        <f t="shared" si="40"/>
        <v>0</v>
      </c>
    </row>
    <row r="479" spans="12:25">
      <c r="L479" s="422" t="str">
        <f>C14</f>
        <v>Services</v>
      </c>
      <c r="M479" s="68">
        <f>IF(compute_ManualOverrideHybrid="No", COUNTIFS(Hybrid!E$5:E$14987, UCDEffortSpread!D5, Hybrid!B$5:B$14987,Definition!C$14,Hybrid!D$5:D$14987,Definition!E$3), Hybrid!H$17)</f>
        <v>0</v>
      </c>
      <c r="N479" s="68">
        <f>IF(compute_ManualOverrideHybrid="No", COUNTIFS(Hybrid!E$5:E$14987, UCDEffortSpread!D5, Hybrid!B$5:B$14987,Definition!C$14,Hybrid!D$5:D$14987,Definition!F$3), Hybrid!I$17)</f>
        <v>0</v>
      </c>
      <c r="O479" s="68">
        <f>IF(compute_ManualOverrideHybrid="No", COUNTIFS(Hybrid!E$5:E$14987, UCDEffortSpread!D5, Hybrid!B$5:B$14987,Definition!C$14,Hybrid!D$5:D$14987,Definition!G$3), Hybrid!J$17)</f>
        <v>0</v>
      </c>
      <c r="P479" s="68">
        <f>IF(compute_ManualOverrideHybrid="No", COUNTIFS(Hybrid!E$5:E$14987, UCDEffortSpread!D5, Hybrid!B$5:B$14987,Definition!C$14,Hybrid!D$5:D$14987,Definition!H$3), Hybrid!K$17)</f>
        <v>0</v>
      </c>
      <c r="Q479" s="68">
        <f>IF(compute_ManualOverrideHybrid="No", COUNTIFS(Hybrid!E$5:E$14987, UCDEffortSpread!D5, Hybrid!B$5:B$14987,Definition!C$14,Hybrid!D$5:D$14987,Definition!I$3), Hybrid!L$17)</f>
        <v>0</v>
      </c>
      <c r="R479" s="203">
        <f>(Definition!M479*Definition!E$14)</f>
        <v>0</v>
      </c>
      <c r="S479" s="203">
        <f>(Definition!N479*Definition!F$14)</f>
        <v>0</v>
      </c>
      <c r="T479" s="203">
        <f>(Definition!O479*Definition!G$14)</f>
        <v>0</v>
      </c>
      <c r="U479" s="203">
        <f>(Definition!P479*Definition!H$14)</f>
        <v>0</v>
      </c>
      <c r="V479" s="203">
        <f>(Definition!Q479*Definition!I$14)</f>
        <v>0</v>
      </c>
      <c r="W479" s="204">
        <f>SUM(R479:V479)</f>
        <v>0</v>
      </c>
      <c r="X479" s="207">
        <f>IF(W479&lt;&gt;0,SUM(R479:V479)+((effort_Hybrid_Android+effort_Hybrid_iOS)/AA$30),0)</f>
        <v>0</v>
      </c>
      <c r="Y479" s="3">
        <f>IF(W479&lt;&gt;0,SUM(R479:V479)+((effort_Hybrid_Android+effort_Hybrid_iOS)/AA$30),0)</f>
        <v>0</v>
      </c>
    </row>
    <row r="480" spans="12:25">
      <c r="L480" s="423"/>
      <c r="M480" s="68">
        <f>IF(compute_ManualOverrideHybrid="No", COUNTIFS(Hybrid!E$5:E$14987, UCDEffortSpread!D6, Hybrid!B$5:B$14987,Definition!C$14,Hybrid!D$5:D$14987,Definition!E$3), 0)</f>
        <v>0</v>
      </c>
      <c r="N480" s="68">
        <f>IF(compute_ManualOverrideHybrid="No", COUNTIFS(Hybrid!E$5:E$14987, UCDEffortSpread!D6, Hybrid!B$5:B$14987,Definition!C$14,Hybrid!D$5:D$14987,Definition!F$3), 0)</f>
        <v>0</v>
      </c>
      <c r="O480" s="68">
        <f>IF(compute_ManualOverrideHybrid="No", COUNTIFS(Hybrid!E$5:E$14987, UCDEffortSpread!D6, Hybrid!B$5:B$14987,Definition!C$14,Hybrid!D$5:D$14987,Definition!G$3), 0)</f>
        <v>0</v>
      </c>
      <c r="P480" s="68">
        <f>IF(compute_ManualOverrideHybrid="No", COUNTIFS(Hybrid!E$5:E$14987, UCDEffortSpread!D6, Hybrid!B$5:B$14987,Definition!C$14,Hybrid!D$5:D$14987,Definition!H$3), 0)</f>
        <v>0</v>
      </c>
      <c r="Q480" s="68">
        <f>IF(compute_ManualOverrideHybrid="No", COUNTIFS(Hybrid!E$5:E$14987, UCDEffortSpread!D6, Hybrid!B$5:B$14987,Definition!C$14,Hybrid!D$5:D$14987,Definition!I$3),0)</f>
        <v>0</v>
      </c>
      <c r="R480" s="203">
        <f>(Definition!M480*Definition!E$14)</f>
        <v>0</v>
      </c>
      <c r="S480" s="203">
        <f>(Definition!N480*Definition!F$14)</f>
        <v>0</v>
      </c>
      <c r="T480" s="203">
        <f>(Definition!O480*Definition!G$14)</f>
        <v>0</v>
      </c>
      <c r="U480" s="203">
        <f>(Definition!P480*Definition!H$14)</f>
        <v>0</v>
      </c>
      <c r="V480" s="203">
        <f>(Definition!Q480*Definition!I$14)</f>
        <v>0</v>
      </c>
      <c r="W480" s="204">
        <f t="shared" ref="W480:W493" si="42">SUM(R480:V480)</f>
        <v>0</v>
      </c>
      <c r="X480" s="207">
        <f t="shared" ref="X480:X510" si="43">IF(W480&lt;&gt;0,SUM(R480:V480)+((effort_Hybrid_Android+effort_Hybrid_iOS)/AA$30),0)</f>
        <v>0</v>
      </c>
    </row>
    <row r="481" spans="12:24">
      <c r="L481" s="423"/>
      <c r="M481" s="68">
        <f>IF(compute_ManualOverrideHybrid="No", COUNTIFS(Hybrid!E$5:E$14987, UCDEffortSpread!D7, Hybrid!B$5:B$14987,Definition!C$14,Hybrid!D$5:D$14987,Definition!E$3), 0)</f>
        <v>0</v>
      </c>
      <c r="N481" s="68">
        <f>IF(compute_ManualOverrideHybrid="No", COUNTIFS(Hybrid!E$5:E$14987, UCDEffortSpread!D7, Hybrid!B$5:B$14987,Definition!C$14,Hybrid!D$5:D$14987,Definition!F$3), 0)</f>
        <v>0</v>
      </c>
      <c r="O481" s="68">
        <f>IF(compute_ManualOverrideHybrid="No", COUNTIFS(Hybrid!E$5:E$14987, UCDEffortSpread!D7, Hybrid!B$5:B$14987,Definition!C$14,Hybrid!D$5:D$14987,Definition!G$3), 0)</f>
        <v>0</v>
      </c>
      <c r="P481" s="68">
        <f>IF(compute_ManualOverrideHybrid="No", COUNTIFS(Hybrid!E$5:E$14987, UCDEffortSpread!D7, Hybrid!B$5:B$14987,Definition!C$14,Hybrid!D$5:D$14987,Definition!H$3), 0)</f>
        <v>0</v>
      </c>
      <c r="Q481" s="68">
        <f>IF(compute_ManualOverrideHybrid="No", COUNTIFS(Hybrid!E$5:E$14987, UCDEffortSpread!D7, Hybrid!B$5:B$14987,Definition!C$14,Hybrid!D$5:D$14987,Definition!I$3),0)</f>
        <v>0</v>
      </c>
      <c r="R481" s="203">
        <f>(Definition!M481*Definition!E$14)</f>
        <v>0</v>
      </c>
      <c r="S481" s="203">
        <f>(Definition!N481*Definition!F$14)</f>
        <v>0</v>
      </c>
      <c r="T481" s="203">
        <f>(Definition!O481*Definition!G$14)</f>
        <v>0</v>
      </c>
      <c r="U481" s="203">
        <f>(Definition!P481*Definition!H$14)</f>
        <v>0</v>
      </c>
      <c r="V481" s="203">
        <f>(Definition!Q481*Definition!I$14)</f>
        <v>0</v>
      </c>
      <c r="W481" s="204">
        <f t="shared" si="42"/>
        <v>0</v>
      </c>
      <c r="X481" s="207">
        <f t="shared" si="43"/>
        <v>0</v>
      </c>
    </row>
    <row r="482" spans="12:24">
      <c r="L482" s="423"/>
      <c r="M482" s="68">
        <f>IF(compute_ManualOverrideHybrid="No", COUNTIFS(Hybrid!E$5:E$14987, UCDEffortSpread!D8, Hybrid!B$5:B$14987,Definition!C$14,Hybrid!D$5:D$14987,Definition!E$3), 0)</f>
        <v>0</v>
      </c>
      <c r="N482" s="68">
        <f>IF(compute_ManualOverrideHybrid="No", COUNTIFS(Hybrid!E$5:E$14987, UCDEffortSpread!D8, Hybrid!B$5:B$14987,Definition!C$14,Hybrid!D$5:D$14987,Definition!F$3), 0)</f>
        <v>0</v>
      </c>
      <c r="O482" s="68">
        <f>IF(compute_ManualOverrideHybrid="No", COUNTIFS(Hybrid!E$5:E$14987, UCDEffortSpread!D8, Hybrid!B$5:B$14987,Definition!C$14,Hybrid!D$5:D$14987,Definition!G$3), 0)</f>
        <v>0</v>
      </c>
      <c r="P482" s="68">
        <f>IF(compute_ManualOverrideHybrid="No", COUNTIFS(Hybrid!E$5:E$14987, UCDEffortSpread!D8, Hybrid!B$5:B$14987,Definition!C$14,Hybrid!D$5:D$14987,Definition!H$3), 0)</f>
        <v>0</v>
      </c>
      <c r="Q482" s="68">
        <f>IF(compute_ManualOverrideHybrid="No", COUNTIFS(Hybrid!E$5:E$14987, UCDEffortSpread!D8, Hybrid!B$5:B$14987,Definition!C$14,Hybrid!D$5:D$14987,Definition!I$3),0)</f>
        <v>0</v>
      </c>
      <c r="R482" s="203">
        <f>(Definition!M482*Definition!E$14)</f>
        <v>0</v>
      </c>
      <c r="S482" s="203">
        <f>(Definition!N482*Definition!F$14)</f>
        <v>0</v>
      </c>
      <c r="T482" s="203">
        <f>(Definition!O482*Definition!G$14)</f>
        <v>0</v>
      </c>
      <c r="U482" s="203">
        <f>(Definition!P482*Definition!H$14)</f>
        <v>0</v>
      </c>
      <c r="V482" s="203">
        <f>(Definition!Q482*Definition!I$14)</f>
        <v>0</v>
      </c>
      <c r="W482" s="204">
        <f t="shared" si="42"/>
        <v>0</v>
      </c>
      <c r="X482" s="207">
        <f t="shared" si="43"/>
        <v>0</v>
      </c>
    </row>
    <row r="483" spans="12:24">
      <c r="L483" s="423"/>
      <c r="M483" s="68">
        <f>IF(compute_ManualOverrideHybrid="No", COUNTIFS(Hybrid!E$5:E$14987, UCDEffortSpread!D9, Hybrid!B$5:B$14987,Definition!C$14,Hybrid!D$5:D$14987,Definition!E$3), 0)</f>
        <v>0</v>
      </c>
      <c r="N483" s="68">
        <f>IF(compute_ManualOverrideHybrid="No", COUNTIFS(Hybrid!E$5:E$14987, UCDEffortSpread!D9, Hybrid!B$5:B$14987,Definition!C$14,Hybrid!D$5:D$14987,Definition!F$3), 0)</f>
        <v>0</v>
      </c>
      <c r="O483" s="68">
        <f>IF(compute_ManualOverrideHybrid="No", COUNTIFS(Hybrid!E$5:E$14987, UCDEffortSpread!D9, Hybrid!B$5:B$14987,Definition!C$14,Hybrid!D$5:D$14987,Definition!G$3), 0)</f>
        <v>0</v>
      </c>
      <c r="P483" s="68">
        <f>IF(compute_ManualOverrideHybrid="No", COUNTIFS(Hybrid!E$5:E$14987, UCDEffortSpread!D9, Hybrid!B$5:B$14987,Definition!C$14,Hybrid!D$5:D$14987,Definition!H$3), 0)</f>
        <v>0</v>
      </c>
      <c r="Q483" s="68">
        <f>IF(compute_ManualOverrideHybrid="No", COUNTIFS(Hybrid!E$5:E$14987, UCDEffortSpread!D9, Hybrid!B$5:B$14987,Definition!C$14,Hybrid!D$5:D$14987,Definition!I$3),0)</f>
        <v>0</v>
      </c>
      <c r="R483" s="203">
        <f>(Definition!M483*Definition!E$14)</f>
        <v>0</v>
      </c>
      <c r="S483" s="203">
        <f>(Definition!N483*Definition!F$14)</f>
        <v>0</v>
      </c>
      <c r="T483" s="203">
        <f>(Definition!O483*Definition!G$14)</f>
        <v>0</v>
      </c>
      <c r="U483" s="203">
        <f>(Definition!P483*Definition!H$14)</f>
        <v>0</v>
      </c>
      <c r="V483" s="203">
        <f>(Definition!Q483*Definition!I$14)</f>
        <v>0</v>
      </c>
      <c r="W483" s="204">
        <f t="shared" si="42"/>
        <v>0</v>
      </c>
      <c r="X483" s="207">
        <f t="shared" si="43"/>
        <v>0</v>
      </c>
    </row>
    <row r="484" spans="12:24">
      <c r="L484" s="423"/>
      <c r="M484" s="68">
        <f>IF(compute_ManualOverrideHybrid="No", COUNTIFS(Hybrid!E$5:E$14987, UCDEffortSpread!D10, Hybrid!B$5:B$14987,Definition!C$14,Hybrid!D$5:D$14987,Definition!E$3), 0)</f>
        <v>0</v>
      </c>
      <c r="N484" s="68">
        <f>IF(compute_ManualOverrideHybrid="No", COUNTIFS(Hybrid!E$5:E$14987, UCDEffortSpread!D10, Hybrid!B$5:B$14987,Definition!C$14,Hybrid!D$5:D$14987,Definition!F$3), 0)</f>
        <v>0</v>
      </c>
      <c r="O484" s="68">
        <f>IF(compute_ManualOverrideHybrid="No", COUNTIFS(Hybrid!E$5:E$14987, UCDEffortSpread!D10, Hybrid!B$5:B$14987,Definition!C$14,Hybrid!D$5:D$14987,Definition!G$3), 0)</f>
        <v>0</v>
      </c>
      <c r="P484" s="68">
        <f>IF(compute_ManualOverrideHybrid="No", COUNTIFS(Hybrid!E$5:E$14987, UCDEffortSpread!D10, Hybrid!B$5:B$14987,Definition!C$14,Hybrid!D$5:D$14987,Definition!H$3), 0)</f>
        <v>0</v>
      </c>
      <c r="Q484" s="68">
        <f>IF(compute_ManualOverrideHybrid="No", COUNTIFS(Hybrid!E$5:E$14987, UCDEffortSpread!D10, Hybrid!B$5:B$14987,Definition!C$14,Hybrid!D$5:D$14987,Definition!I$3),0)</f>
        <v>0</v>
      </c>
      <c r="R484" s="203">
        <f>(Definition!M484*Definition!E$14)</f>
        <v>0</v>
      </c>
      <c r="S484" s="203">
        <f>(Definition!N484*Definition!F$14)</f>
        <v>0</v>
      </c>
      <c r="T484" s="203">
        <f>(Definition!O484*Definition!G$14)</f>
        <v>0</v>
      </c>
      <c r="U484" s="203">
        <f>(Definition!P484*Definition!H$14)</f>
        <v>0</v>
      </c>
      <c r="V484" s="203">
        <f>(Definition!Q484*Definition!I$14)</f>
        <v>0</v>
      </c>
      <c r="W484" s="204">
        <f t="shared" si="42"/>
        <v>0</v>
      </c>
      <c r="X484" s="207">
        <f t="shared" si="43"/>
        <v>0</v>
      </c>
    </row>
    <row r="485" spans="12:24">
      <c r="L485" s="423"/>
      <c r="M485" s="68">
        <f>IF(compute_ManualOverrideHybrid="No", COUNTIFS(Hybrid!E$5:E$14987, UCDEffortSpread!D11, Hybrid!B$5:B$14987,Definition!C$14,Hybrid!D$5:D$14987,Definition!E$3), 0)</f>
        <v>0</v>
      </c>
      <c r="N485" s="68">
        <f>IF(compute_ManualOverrideHybrid="No", COUNTIFS(Hybrid!E$5:E$14987, UCDEffortSpread!D11, Hybrid!B$5:B$14987,Definition!C$14,Hybrid!D$5:D$14987,Definition!F$3), 0)</f>
        <v>0</v>
      </c>
      <c r="O485" s="68">
        <f>IF(compute_ManualOverrideHybrid="No", COUNTIFS(Hybrid!E$5:E$14987, UCDEffortSpread!D11, Hybrid!B$5:B$14987,Definition!C$14,Hybrid!D$5:D$14987,Definition!G$3), 0)</f>
        <v>0</v>
      </c>
      <c r="P485" s="68">
        <f>IF(compute_ManualOverrideHybrid="No", COUNTIFS(Hybrid!E$5:E$14987, UCDEffortSpread!D11, Hybrid!B$5:B$14987,Definition!C$14,Hybrid!D$5:D$14987,Definition!H$3), 0)</f>
        <v>0</v>
      </c>
      <c r="Q485" s="68">
        <f>IF(compute_ManualOverrideHybrid="No", COUNTIFS(Hybrid!E$5:E$14987, UCDEffortSpread!D11, Hybrid!B$5:B$14987,Definition!C$14,Hybrid!D$5:D$14987,Definition!I$3),0)</f>
        <v>0</v>
      </c>
      <c r="R485" s="203">
        <f>(Definition!M485*Definition!E$14)</f>
        <v>0</v>
      </c>
      <c r="S485" s="203">
        <f>(Definition!N485*Definition!F$14)</f>
        <v>0</v>
      </c>
      <c r="T485" s="203">
        <f>(Definition!O485*Definition!G$14)</f>
        <v>0</v>
      </c>
      <c r="U485" s="203">
        <f>(Definition!P485*Definition!H$14)</f>
        <v>0</v>
      </c>
      <c r="V485" s="203">
        <f>(Definition!Q485*Definition!I$14)</f>
        <v>0</v>
      </c>
      <c r="W485" s="204">
        <f t="shared" si="42"/>
        <v>0</v>
      </c>
      <c r="X485" s="207">
        <f t="shared" si="43"/>
        <v>0</v>
      </c>
    </row>
    <row r="486" spans="12:24">
      <c r="L486" s="423"/>
      <c r="M486" s="68">
        <f>IF(compute_ManualOverrideHybrid="No", COUNTIFS(Hybrid!E$5:E$14987, UCDEffortSpread!D12, Hybrid!B$5:B$14987,Definition!C$14,Hybrid!D$5:D$14987,Definition!E$3), 0)</f>
        <v>0</v>
      </c>
      <c r="N486" s="68">
        <f>IF(compute_ManualOverrideHybrid="No", COUNTIFS(Hybrid!E$5:E$14987, UCDEffortSpread!D12, Hybrid!B$5:B$14987,Definition!C$14,Hybrid!D$5:D$14987,Definition!F$3), 0)</f>
        <v>0</v>
      </c>
      <c r="O486" s="68">
        <f>IF(compute_ManualOverrideHybrid="No", COUNTIFS(Hybrid!E$5:E$14987, UCDEffortSpread!D12, Hybrid!B$5:B$14987,Definition!C$14,Hybrid!D$5:D$14987,Definition!G$3), 0)</f>
        <v>0</v>
      </c>
      <c r="P486" s="68">
        <f>IF(compute_ManualOverrideHybrid="No", COUNTIFS(Hybrid!E$5:E$14987, UCDEffortSpread!D12, Hybrid!B$5:B$14987,Definition!C$14,Hybrid!D$5:D$14987,Definition!H$3), 0)</f>
        <v>0</v>
      </c>
      <c r="Q486" s="68">
        <f>IF(compute_ManualOverrideHybrid="No", COUNTIFS(Hybrid!E$5:E$14987, UCDEffortSpread!D12, Hybrid!B$5:B$14987,Definition!C$14,Hybrid!D$5:D$14987,Definition!I$3),0)</f>
        <v>0</v>
      </c>
      <c r="R486" s="203">
        <f>(Definition!M486*Definition!E$14)</f>
        <v>0</v>
      </c>
      <c r="S486" s="203">
        <f>(Definition!N486*Definition!F$14)</f>
        <v>0</v>
      </c>
      <c r="T486" s="203">
        <f>(Definition!O486*Definition!G$14)</f>
        <v>0</v>
      </c>
      <c r="U486" s="203">
        <f>(Definition!P486*Definition!H$14)</f>
        <v>0</v>
      </c>
      <c r="V486" s="203">
        <f>(Definition!Q486*Definition!I$14)</f>
        <v>0</v>
      </c>
      <c r="W486" s="204">
        <f t="shared" si="42"/>
        <v>0</v>
      </c>
      <c r="X486" s="207">
        <f t="shared" si="43"/>
        <v>0</v>
      </c>
    </row>
    <row r="487" spans="12:24">
      <c r="L487" s="423"/>
      <c r="M487" s="68">
        <f>IF(compute_ManualOverrideHybrid="No", COUNTIFS(Hybrid!E$5:E$14987, UCDEffortSpread!D13, Hybrid!B$5:B$14987,Definition!C$14,Hybrid!D$5:D$14987,Definition!E$3), 0)</f>
        <v>0</v>
      </c>
      <c r="N487" s="68">
        <f>IF(compute_ManualOverrideHybrid="No", COUNTIFS(Hybrid!E$5:E$14987, UCDEffortSpread!D13, Hybrid!B$5:B$14987,Definition!C$14,Hybrid!D$5:D$14987,Definition!F$3), 0)</f>
        <v>0</v>
      </c>
      <c r="O487" s="68">
        <f>IF(compute_ManualOverrideHybrid="No", COUNTIFS(Hybrid!E$5:E$14987, UCDEffortSpread!D13, Hybrid!B$5:B$14987,Definition!C$14,Hybrid!D$5:D$14987,Definition!G$3), 0)</f>
        <v>0</v>
      </c>
      <c r="P487" s="68">
        <f>IF(compute_ManualOverrideHybrid="No", COUNTIFS(Hybrid!E$5:E$14987, UCDEffortSpread!D13, Hybrid!B$5:B$14987,Definition!C$14,Hybrid!D$5:D$14987,Definition!H$3), 0)</f>
        <v>0</v>
      </c>
      <c r="Q487" s="68">
        <f>IF(compute_ManualOverrideHybrid="No", COUNTIFS(Hybrid!E$5:E$14987, UCDEffortSpread!D13, Hybrid!B$5:B$14987,Definition!C$14,Hybrid!D$5:D$14987,Definition!I$3),0)</f>
        <v>0</v>
      </c>
      <c r="R487" s="203">
        <f>(Definition!M487*Definition!E$14)</f>
        <v>0</v>
      </c>
      <c r="S487" s="203">
        <f>(Definition!N487*Definition!F$14)</f>
        <v>0</v>
      </c>
      <c r="T487" s="203">
        <f>(Definition!O487*Definition!G$14)</f>
        <v>0</v>
      </c>
      <c r="U487" s="203">
        <f>(Definition!P487*Definition!H$14)</f>
        <v>0</v>
      </c>
      <c r="V487" s="203">
        <f>(Definition!Q487*Definition!I$14)</f>
        <v>0</v>
      </c>
      <c r="W487" s="204">
        <f t="shared" si="42"/>
        <v>0</v>
      </c>
      <c r="X487" s="207">
        <f t="shared" si="43"/>
        <v>0</v>
      </c>
    </row>
    <row r="488" spans="12:24">
      <c r="L488" s="423"/>
      <c r="M488" s="68">
        <f>IF(compute_ManualOverrideHybrid="No", COUNTIFS(Hybrid!E$5:E$14987, UCDEffortSpread!D14, Hybrid!B$5:B$14987,Definition!C$14,Hybrid!D$5:D$14987,Definition!E$3), 0)</f>
        <v>0</v>
      </c>
      <c r="N488" s="68">
        <f>IF(compute_ManualOverrideHybrid="No", COUNTIFS(Hybrid!E$5:E$14987, UCDEffortSpread!D14, Hybrid!B$5:B$14987,Definition!C$14,Hybrid!D$5:D$14987,Definition!F$3), 0)</f>
        <v>0</v>
      </c>
      <c r="O488" s="68">
        <f>IF(compute_ManualOverrideHybrid="No", COUNTIFS(Hybrid!E$5:E$14987, UCDEffortSpread!D14, Hybrid!B$5:B$14987,Definition!C$14,Hybrid!D$5:D$14987,Definition!G$3), 0)</f>
        <v>0</v>
      </c>
      <c r="P488" s="68">
        <f>IF(compute_ManualOverrideHybrid="No", COUNTIFS(Hybrid!E$5:E$14987, UCDEffortSpread!D14, Hybrid!B$5:B$14987,Definition!C$14,Hybrid!D$5:D$14987,Definition!H$3), 0)</f>
        <v>0</v>
      </c>
      <c r="Q488" s="68">
        <f>IF(compute_ManualOverrideHybrid="No", COUNTIFS(Hybrid!E$5:E$14987, UCDEffortSpread!D14, Hybrid!B$5:B$14987,Definition!C$14,Hybrid!D$5:D$14987,Definition!I$3),0)</f>
        <v>0</v>
      </c>
      <c r="R488" s="203">
        <f>(Definition!M488*Definition!E$14)</f>
        <v>0</v>
      </c>
      <c r="S488" s="203">
        <f>(Definition!N488*Definition!F$14)</f>
        <v>0</v>
      </c>
      <c r="T488" s="203">
        <f>(Definition!O488*Definition!G$14)</f>
        <v>0</v>
      </c>
      <c r="U488" s="203">
        <f>(Definition!P488*Definition!H$14)</f>
        <v>0</v>
      </c>
      <c r="V488" s="203">
        <f>(Definition!Q488*Definition!I$14)</f>
        <v>0</v>
      </c>
      <c r="W488" s="204">
        <f t="shared" si="42"/>
        <v>0</v>
      </c>
      <c r="X488" s="207">
        <f t="shared" si="43"/>
        <v>0</v>
      </c>
    </row>
    <row r="489" spans="12:24">
      <c r="L489" s="423"/>
      <c r="M489" s="68">
        <f>IF(compute_ManualOverrideHybrid="No", COUNTIFS(Hybrid!E$5:E$14987, UCDEffortSpread!D15, Hybrid!B$5:B$14987,Definition!C$14,Hybrid!D$5:D$14987,Definition!E$3), 0)</f>
        <v>0</v>
      </c>
      <c r="N489" s="68">
        <f>IF(compute_ManualOverrideHybrid="No", COUNTIFS(Hybrid!E$5:E$14987, UCDEffortSpread!D15, Hybrid!B$5:B$14987,Definition!C$14,Hybrid!D$5:D$14987,Definition!F$3), 0)</f>
        <v>0</v>
      </c>
      <c r="O489" s="68">
        <f>IF(compute_ManualOverrideHybrid="No", COUNTIFS(Hybrid!E$5:E$14987, UCDEffortSpread!D15, Hybrid!B$5:B$14987,Definition!C$14,Hybrid!D$5:D$14987,Definition!G$3), 0)</f>
        <v>0</v>
      </c>
      <c r="P489" s="68">
        <f>IF(compute_ManualOverrideHybrid="No", COUNTIFS(Hybrid!E$5:E$14987, UCDEffortSpread!D15, Hybrid!B$5:B$14987,Definition!C$14,Hybrid!D$5:D$14987,Definition!H$3), 0)</f>
        <v>0</v>
      </c>
      <c r="Q489" s="68">
        <f>IF(compute_ManualOverrideHybrid="No", COUNTIFS(Hybrid!E$5:E$14987, UCDEffortSpread!D15, Hybrid!B$5:B$14987,Definition!C$14,Hybrid!D$5:D$14987,Definition!I$3),0)</f>
        <v>0</v>
      </c>
      <c r="R489" s="203">
        <f>(Definition!M489*Definition!E$14)</f>
        <v>0</v>
      </c>
      <c r="S489" s="203">
        <f>(Definition!N489*Definition!F$14)</f>
        <v>0</v>
      </c>
      <c r="T489" s="203">
        <f>(Definition!O489*Definition!G$14)</f>
        <v>0</v>
      </c>
      <c r="U489" s="203">
        <f>(Definition!P489*Definition!H$14)</f>
        <v>0</v>
      </c>
      <c r="V489" s="203">
        <f>(Definition!Q489*Definition!I$14)</f>
        <v>0</v>
      </c>
      <c r="W489" s="204">
        <f t="shared" si="42"/>
        <v>0</v>
      </c>
      <c r="X489" s="207">
        <f t="shared" si="43"/>
        <v>0</v>
      </c>
    </row>
    <row r="490" spans="12:24">
      <c r="L490" s="423"/>
      <c r="M490" s="68">
        <f>IF(compute_ManualOverrideHybrid="No", COUNTIFS(Hybrid!E$5:E$14987, UCDEffortSpread!D16, Hybrid!B$5:B$14987,Definition!C$14,Hybrid!D$5:D$14987,Definition!E$3), 0)</f>
        <v>0</v>
      </c>
      <c r="N490" s="68">
        <f>IF(compute_ManualOverrideHybrid="No", COUNTIFS(Hybrid!E$5:E$14987, UCDEffortSpread!D16, Hybrid!B$5:B$14987,Definition!C$14,Hybrid!D$5:D$14987,Definition!F$3), 0)</f>
        <v>0</v>
      </c>
      <c r="O490" s="68">
        <f>IF(compute_ManualOverrideHybrid="No", COUNTIFS(Hybrid!E$5:E$14987, UCDEffortSpread!D16, Hybrid!B$5:B$14987,Definition!C$14,Hybrid!D$5:D$14987,Definition!G$3), 0)</f>
        <v>0</v>
      </c>
      <c r="P490" s="68">
        <f>IF(compute_ManualOverrideHybrid="No", COUNTIFS(Hybrid!E$5:E$14987, UCDEffortSpread!D16, Hybrid!B$5:B$14987,Definition!C$14,Hybrid!D$5:D$14987,Definition!H$3), 0)</f>
        <v>0</v>
      </c>
      <c r="Q490" s="68">
        <f>IF(compute_ManualOverrideHybrid="No", COUNTIFS(Hybrid!E$5:E$14987, UCDEffortSpread!D16, Hybrid!B$5:B$14987,Definition!C$14,Hybrid!D$5:D$14987,Definition!I$3),0)</f>
        <v>0</v>
      </c>
      <c r="R490" s="203">
        <f>(Definition!M490*Definition!E$14)</f>
        <v>0</v>
      </c>
      <c r="S490" s="203">
        <f>(Definition!N490*Definition!F$14)</f>
        <v>0</v>
      </c>
      <c r="T490" s="203">
        <f>(Definition!O490*Definition!G$14)</f>
        <v>0</v>
      </c>
      <c r="U490" s="203">
        <f>(Definition!P490*Definition!H$14)</f>
        <v>0</v>
      </c>
      <c r="V490" s="203">
        <f>(Definition!Q490*Definition!I$14)</f>
        <v>0</v>
      </c>
      <c r="W490" s="204">
        <f t="shared" si="42"/>
        <v>0</v>
      </c>
      <c r="X490" s="207">
        <f t="shared" si="43"/>
        <v>0</v>
      </c>
    </row>
    <row r="491" spans="12:24">
      <c r="L491" s="423"/>
      <c r="M491" s="68">
        <f>IF(compute_ManualOverrideHybrid="No", COUNTIFS(Hybrid!E$5:E$14987, UCDEffortSpread!D17, Hybrid!B$5:B$14987,Definition!C$14,Hybrid!D$5:D$14987,Definition!E$3), 0)</f>
        <v>0</v>
      </c>
      <c r="N491" s="68">
        <f>IF(compute_ManualOverrideHybrid="No", COUNTIFS(Hybrid!E$5:E$14987, UCDEffortSpread!D17, Hybrid!B$5:B$14987,Definition!C$14,Hybrid!D$5:D$14987,Definition!F$3), 0)</f>
        <v>0</v>
      </c>
      <c r="O491" s="68">
        <f>IF(compute_ManualOverrideHybrid="No", COUNTIFS(Hybrid!E$5:E$14987, UCDEffortSpread!D17, Hybrid!B$5:B$14987,Definition!C$14,Hybrid!D$5:D$14987,Definition!G$3), 0)</f>
        <v>0</v>
      </c>
      <c r="P491" s="68">
        <f>IF(compute_ManualOverrideHybrid="No", COUNTIFS(Hybrid!E$5:E$14987, UCDEffortSpread!D17, Hybrid!B$5:B$14987,Definition!C$14,Hybrid!D$5:D$14987,Definition!H$3), 0)</f>
        <v>0</v>
      </c>
      <c r="Q491" s="68">
        <f>IF(compute_ManualOverrideHybrid="No", COUNTIFS(Hybrid!E$5:E$14987, UCDEffortSpread!D17, Hybrid!B$5:B$14987,Definition!C$14,Hybrid!D$5:D$14987,Definition!I$3),0)</f>
        <v>0</v>
      </c>
      <c r="R491" s="203">
        <f>(Definition!M491*Definition!E$14)</f>
        <v>0</v>
      </c>
      <c r="S491" s="203">
        <f>(Definition!N491*Definition!F$14)</f>
        <v>0</v>
      </c>
      <c r="T491" s="203">
        <f>(Definition!O491*Definition!G$14)</f>
        <v>0</v>
      </c>
      <c r="U491" s="203">
        <f>(Definition!P491*Definition!H$14)</f>
        <v>0</v>
      </c>
      <c r="V491" s="203">
        <f>(Definition!Q491*Definition!I$14)</f>
        <v>0</v>
      </c>
      <c r="W491" s="204">
        <f t="shared" si="42"/>
        <v>0</v>
      </c>
      <c r="X491" s="207">
        <f t="shared" si="43"/>
        <v>0</v>
      </c>
    </row>
    <row r="492" spans="12:24">
      <c r="L492" s="423"/>
      <c r="M492" s="68">
        <f>IF(compute_ManualOverrideHybrid="No", COUNTIFS(Hybrid!E$5:E$14987, UCDEffortSpread!D18, Hybrid!B$5:B$14987,Definition!C$14,Hybrid!D$5:D$14987,Definition!E$3), 0)</f>
        <v>0</v>
      </c>
      <c r="N492" s="68">
        <f>IF(compute_ManualOverrideHybrid="No", COUNTIFS(Hybrid!E$5:E$14987, UCDEffortSpread!D18, Hybrid!B$5:B$14987,Definition!C$14,Hybrid!D$5:D$14987,Definition!F$3), 0)</f>
        <v>0</v>
      </c>
      <c r="O492" s="68">
        <f>IF(compute_ManualOverrideHybrid="No", COUNTIFS(Hybrid!E$5:E$14987, UCDEffortSpread!D18, Hybrid!B$5:B$14987,Definition!C$14,Hybrid!D$5:D$14987,Definition!G$3), 0)</f>
        <v>0</v>
      </c>
      <c r="P492" s="68">
        <f>IF(compute_ManualOverrideHybrid="No", COUNTIFS(Hybrid!E$5:E$14987, UCDEffortSpread!D18, Hybrid!B$5:B$14987,Definition!C$14,Hybrid!D$5:D$14987,Definition!H$3), 0)</f>
        <v>0</v>
      </c>
      <c r="Q492" s="68">
        <f>IF(compute_ManualOverrideHybrid="No", COUNTIFS(Hybrid!E$5:E$14987, UCDEffortSpread!D18, Hybrid!B$5:B$14987,Definition!C$14,Hybrid!D$5:D$14987,Definition!I$3),0)</f>
        <v>0</v>
      </c>
      <c r="R492" s="203">
        <f>(Definition!M492*Definition!E$14)</f>
        <v>0</v>
      </c>
      <c r="S492" s="203">
        <f>(Definition!N492*Definition!F$14)</f>
        <v>0</v>
      </c>
      <c r="T492" s="203">
        <f>(Definition!O492*Definition!G$14)</f>
        <v>0</v>
      </c>
      <c r="U492" s="203">
        <f>(Definition!P492*Definition!H$14)</f>
        <v>0</v>
      </c>
      <c r="V492" s="203">
        <f>(Definition!Q492*Definition!I$14)</f>
        <v>0</v>
      </c>
      <c r="W492" s="204">
        <f t="shared" si="42"/>
        <v>0</v>
      </c>
      <c r="X492" s="207">
        <f t="shared" si="43"/>
        <v>0</v>
      </c>
    </row>
    <row r="493" spans="12:24">
      <c r="L493" s="423"/>
      <c r="M493" s="68">
        <f>IF(compute_ManualOverrideHybrid="No", COUNTIFS(Hybrid!E$5:E$14987, UCDEffortSpread!D19, Hybrid!B$5:B$14987,Definition!C$14,Hybrid!D$5:D$14987,Definition!E$3), 0)</f>
        <v>0</v>
      </c>
      <c r="N493" s="68">
        <f>IF(compute_ManualOverrideHybrid="No", COUNTIFS(Hybrid!E$5:E$14987, UCDEffortSpread!D19, Hybrid!B$5:B$14987,Definition!C$14,Hybrid!D$5:D$14987,Definition!F$3), 0)</f>
        <v>0</v>
      </c>
      <c r="O493" s="68">
        <f>IF(compute_ManualOverrideHybrid="No", COUNTIFS(Hybrid!E$5:E$14987, UCDEffortSpread!D19, Hybrid!B$5:B$14987,Definition!C$14,Hybrid!D$5:D$14987,Definition!G$3), 0)</f>
        <v>0</v>
      </c>
      <c r="P493" s="68">
        <f>IF(compute_ManualOverrideHybrid="No", COUNTIFS(Hybrid!E$5:E$14987, UCDEffortSpread!D19, Hybrid!B$5:B$14987,Definition!C$14,Hybrid!D$5:D$14987,Definition!H$3), 0)</f>
        <v>0</v>
      </c>
      <c r="Q493" s="68">
        <f>IF(compute_ManualOverrideHybrid="No", COUNTIFS(Hybrid!E$5:E$14987, UCDEffortSpread!D19, Hybrid!B$5:B$14987,Definition!C$14,Hybrid!D$5:D$14987,Definition!I$3),0)</f>
        <v>0</v>
      </c>
      <c r="R493" s="203">
        <f>(Definition!M493*Definition!E$14)</f>
        <v>0</v>
      </c>
      <c r="S493" s="203">
        <f>(Definition!N493*Definition!F$14)</f>
        <v>0</v>
      </c>
      <c r="T493" s="203">
        <f>(Definition!O493*Definition!G$14)</f>
        <v>0</v>
      </c>
      <c r="U493" s="203">
        <f>(Definition!P493*Definition!H$14)</f>
        <v>0</v>
      </c>
      <c r="V493" s="203">
        <f>(Definition!Q493*Definition!I$14)</f>
        <v>0</v>
      </c>
      <c r="W493" s="204">
        <f t="shared" si="42"/>
        <v>0</v>
      </c>
      <c r="X493" s="207">
        <f t="shared" si="43"/>
        <v>0</v>
      </c>
    </row>
    <row r="494" spans="12:24">
      <c r="L494" s="423"/>
      <c r="M494" s="68">
        <f>IF(compute_ManualOverrideHybrid="No", COUNTIFS(Hybrid!E$5:E$14987, UCDEffortSpread!D20, Hybrid!B$5:B$14987,Definition!C$14,Hybrid!D$5:D$14987,Definition!E$3), 0)</f>
        <v>0</v>
      </c>
      <c r="N494" s="68">
        <f>IF(compute_ManualOverrideHybrid="No", COUNTIFS(Hybrid!E$5:E$14987, UCDEffortSpread!D20, Hybrid!B$5:B$14987,Definition!C$14,Hybrid!D$5:D$14987,Definition!F$3), 0)</f>
        <v>0</v>
      </c>
      <c r="O494" s="68">
        <f>IF(compute_ManualOverrideHybrid="No", COUNTIFS(Hybrid!E$5:E$14987, UCDEffortSpread!D20, Hybrid!B$5:B$14987,Definition!C$14,Hybrid!D$5:D$14987,Definition!G$3), 0)</f>
        <v>0</v>
      </c>
      <c r="P494" s="68">
        <f>IF(compute_ManualOverrideHybrid="No", COUNTIFS(Hybrid!E$5:E$14987, UCDEffortSpread!D20, Hybrid!B$5:B$14987,Definition!C$14,Hybrid!D$5:D$14987,Definition!H$3), 0)</f>
        <v>0</v>
      </c>
      <c r="Q494" s="68">
        <f>IF(compute_ManualOverrideHybrid="No", COUNTIFS(Hybrid!E$5:E$14987, UCDEffortSpread!D20, Hybrid!B$5:B$14987,Definition!C$14,Hybrid!D$5:D$14987,Definition!I$3),0)</f>
        <v>0</v>
      </c>
      <c r="R494" s="203">
        <f>(Definition!M494*Definition!E$14)</f>
        <v>0</v>
      </c>
      <c r="S494" s="203">
        <f>(Definition!N494*Definition!F$14)</f>
        <v>0</v>
      </c>
      <c r="T494" s="203">
        <f>(Definition!O494*Definition!G$14)</f>
        <v>0</v>
      </c>
      <c r="U494" s="203">
        <f>(Definition!P494*Definition!H$14)</f>
        <v>0</v>
      </c>
      <c r="V494" s="203">
        <f>(Definition!Q494*Definition!I$14)</f>
        <v>0</v>
      </c>
      <c r="W494" s="204">
        <f t="shared" ref="W494:W528" si="44">SUM(R494:V494)</f>
        <v>0</v>
      </c>
      <c r="X494" s="207">
        <f t="shared" si="43"/>
        <v>0</v>
      </c>
    </row>
    <row r="495" spans="12:24">
      <c r="L495" s="423"/>
      <c r="M495" s="68">
        <f>IF(compute_ManualOverrideHybrid="No", COUNTIFS(Hybrid!E$5:E$14987, UCDEffortSpread!D21, Hybrid!B$5:B$14987,Definition!C$14,Hybrid!D$5:D$14987,Definition!E$3), 0)</f>
        <v>0</v>
      </c>
      <c r="N495" s="68">
        <f>IF(compute_ManualOverrideHybrid="No", COUNTIFS(Hybrid!E$5:E$14987, UCDEffortSpread!D21, Hybrid!B$5:B$14987,Definition!C$14,Hybrid!D$5:D$14987,Definition!F$3), 0)</f>
        <v>0</v>
      </c>
      <c r="O495" s="68">
        <f>IF(compute_ManualOverrideHybrid="No", COUNTIFS(Hybrid!E$5:E$14987, UCDEffortSpread!D21, Hybrid!B$5:B$14987,Definition!C$14,Hybrid!D$5:D$14987,Definition!G$3), 0)</f>
        <v>0</v>
      </c>
      <c r="P495" s="68">
        <f>IF(compute_ManualOverrideHybrid="No", COUNTIFS(Hybrid!E$5:E$14987, UCDEffortSpread!D21, Hybrid!B$5:B$14987,Definition!C$14,Hybrid!D$5:D$14987,Definition!H$3), 0)</f>
        <v>0</v>
      </c>
      <c r="Q495" s="68">
        <f>IF(compute_ManualOverrideHybrid="No", COUNTIFS(Hybrid!E$5:E$14987, UCDEffortSpread!D21, Hybrid!B$5:B$14987,Definition!C$14,Hybrid!D$5:D$14987,Definition!I$3),0)</f>
        <v>0</v>
      </c>
      <c r="R495" s="203">
        <f>(Definition!M495*Definition!E$14)</f>
        <v>0</v>
      </c>
      <c r="S495" s="203">
        <f>(Definition!N495*Definition!F$14)</f>
        <v>0</v>
      </c>
      <c r="T495" s="203">
        <f>(Definition!O495*Definition!G$14)</f>
        <v>0</v>
      </c>
      <c r="U495" s="203">
        <f>(Definition!P495*Definition!H$14)</f>
        <v>0</v>
      </c>
      <c r="V495" s="203">
        <f>(Definition!Q495*Definition!I$14)</f>
        <v>0</v>
      </c>
      <c r="W495" s="204">
        <f t="shared" si="44"/>
        <v>0</v>
      </c>
      <c r="X495" s="207">
        <f t="shared" si="43"/>
        <v>0</v>
      </c>
    </row>
    <row r="496" spans="12:24">
      <c r="L496" s="423"/>
      <c r="M496" s="68">
        <f>IF(compute_ManualOverrideHybrid="No", COUNTIFS(Hybrid!E$5:E$14987, UCDEffortSpread!D22, Hybrid!B$5:B$14987,Definition!C$14,Hybrid!D$5:D$14987,Definition!E$3), 0)</f>
        <v>0</v>
      </c>
      <c r="N496" s="68">
        <f>IF(compute_ManualOverrideHybrid="No", COUNTIFS(Hybrid!E$5:E$14987, UCDEffortSpread!D22, Hybrid!B$5:B$14987,Definition!C$14,Hybrid!D$5:D$14987,Definition!F$3), 0)</f>
        <v>0</v>
      </c>
      <c r="O496" s="68">
        <f>IF(compute_ManualOverrideHybrid="No", COUNTIFS(Hybrid!E$5:E$14987, UCDEffortSpread!D22, Hybrid!B$5:B$14987,Definition!C$14,Hybrid!D$5:D$14987,Definition!G$3), 0)</f>
        <v>0</v>
      </c>
      <c r="P496" s="68">
        <f>IF(compute_ManualOverrideHybrid="No", COUNTIFS(Hybrid!E$5:E$14987, UCDEffortSpread!D22, Hybrid!B$5:B$14987,Definition!C$14,Hybrid!D$5:D$14987,Definition!H$3), 0)</f>
        <v>0</v>
      </c>
      <c r="Q496" s="68">
        <f>IF(compute_ManualOverrideHybrid="No", COUNTIFS(Hybrid!E$5:E$14987, UCDEffortSpread!D22, Hybrid!B$5:B$14987,Definition!C$14,Hybrid!D$5:D$14987,Definition!I$3),0)</f>
        <v>0</v>
      </c>
      <c r="R496" s="203">
        <f>(Definition!M496*Definition!E$14)</f>
        <v>0</v>
      </c>
      <c r="S496" s="203">
        <f>(Definition!N496*Definition!F$14)</f>
        <v>0</v>
      </c>
      <c r="T496" s="203">
        <f>(Definition!O496*Definition!G$14)</f>
        <v>0</v>
      </c>
      <c r="U496" s="203">
        <f>(Definition!P496*Definition!H$14)</f>
        <v>0</v>
      </c>
      <c r="V496" s="203">
        <f>(Definition!Q496*Definition!I$14)</f>
        <v>0</v>
      </c>
      <c r="W496" s="204">
        <f t="shared" si="44"/>
        <v>0</v>
      </c>
      <c r="X496" s="207">
        <f t="shared" si="43"/>
        <v>0</v>
      </c>
    </row>
    <row r="497" spans="12:24">
      <c r="L497" s="423"/>
      <c r="M497" s="68">
        <f>IF(compute_ManualOverrideHybrid="No", COUNTIFS(Hybrid!E$5:E$14987, UCDEffortSpread!D23, Hybrid!B$5:B$14987,Definition!C$14,Hybrid!D$5:D$14987,Definition!E$3), 0)</f>
        <v>0</v>
      </c>
      <c r="N497" s="68">
        <f>IF(compute_ManualOverrideHybrid="No", COUNTIFS(Hybrid!E$5:E$14987, UCDEffortSpread!D23, Hybrid!B$5:B$14987,Definition!C$14,Hybrid!D$5:D$14987,Definition!F$3), 0)</f>
        <v>0</v>
      </c>
      <c r="O497" s="68">
        <f>IF(compute_ManualOverrideHybrid="No", COUNTIFS(Hybrid!E$5:E$14987, UCDEffortSpread!D23, Hybrid!B$5:B$14987,Definition!C$14,Hybrid!D$5:D$14987,Definition!G$3), 0)</f>
        <v>0</v>
      </c>
      <c r="P497" s="68">
        <f>IF(compute_ManualOverrideHybrid="No", COUNTIFS(Hybrid!E$5:E$14987, UCDEffortSpread!D23, Hybrid!B$5:B$14987,Definition!C$14,Hybrid!D$5:D$14987,Definition!H$3), 0)</f>
        <v>0</v>
      </c>
      <c r="Q497" s="68">
        <f>IF(compute_ManualOverrideHybrid="No", COUNTIFS(Hybrid!E$5:E$14987, UCDEffortSpread!D23, Hybrid!B$5:B$14987,Definition!C$14,Hybrid!D$5:D$14987,Definition!I$3),0)</f>
        <v>0</v>
      </c>
      <c r="R497" s="203">
        <f>(Definition!M497*Definition!E$14)</f>
        <v>0</v>
      </c>
      <c r="S497" s="203">
        <f>(Definition!N497*Definition!F$14)</f>
        <v>0</v>
      </c>
      <c r="T497" s="203">
        <f>(Definition!O497*Definition!G$14)</f>
        <v>0</v>
      </c>
      <c r="U497" s="203">
        <f>(Definition!P497*Definition!H$14)</f>
        <v>0</v>
      </c>
      <c r="V497" s="203">
        <f>(Definition!Q497*Definition!I$14)</f>
        <v>0</v>
      </c>
      <c r="W497" s="204">
        <f t="shared" si="44"/>
        <v>0</v>
      </c>
      <c r="X497" s="207">
        <f t="shared" si="43"/>
        <v>0</v>
      </c>
    </row>
    <row r="498" spans="12:24">
      <c r="L498" s="423"/>
      <c r="M498" s="68">
        <f>IF(compute_ManualOverrideHybrid="No", COUNTIFS(Hybrid!E$5:E$14987, UCDEffortSpread!D24, Hybrid!B$5:B$14987,Definition!C$14,Hybrid!D$5:D$14987,Definition!E$3), 0)</f>
        <v>0</v>
      </c>
      <c r="N498" s="68">
        <f>IF(compute_ManualOverrideHybrid="No", COUNTIFS(Hybrid!E$5:E$14987, UCDEffortSpread!D24, Hybrid!B$5:B$14987,Definition!C$14,Hybrid!D$5:D$14987,Definition!F$3), 0)</f>
        <v>0</v>
      </c>
      <c r="O498" s="68">
        <f>IF(compute_ManualOverrideHybrid="No", COUNTIFS(Hybrid!E$5:E$14987, UCDEffortSpread!D24, Hybrid!B$5:B$14987,Definition!C$14,Hybrid!D$5:D$14987,Definition!G$3), 0)</f>
        <v>0</v>
      </c>
      <c r="P498" s="68">
        <f>IF(compute_ManualOverrideHybrid="No", COUNTIFS(Hybrid!E$5:E$14987, UCDEffortSpread!D24, Hybrid!B$5:B$14987,Definition!C$14,Hybrid!D$5:D$14987,Definition!H$3), 0)</f>
        <v>0</v>
      </c>
      <c r="Q498" s="68">
        <f>IF(compute_ManualOverrideHybrid="No", COUNTIFS(Hybrid!E$5:E$14987, UCDEffortSpread!D24, Hybrid!B$5:B$14987,Definition!C$14,Hybrid!D$5:D$14987,Definition!I$3),0)</f>
        <v>0</v>
      </c>
      <c r="R498" s="203">
        <f>(Definition!M498*Definition!E$14)</f>
        <v>0</v>
      </c>
      <c r="S498" s="203">
        <f>(Definition!N498*Definition!F$14)</f>
        <v>0</v>
      </c>
      <c r="T498" s="203">
        <f>(Definition!O498*Definition!G$14)</f>
        <v>0</v>
      </c>
      <c r="U498" s="203">
        <f>(Definition!P498*Definition!H$14)</f>
        <v>0</v>
      </c>
      <c r="V498" s="203">
        <f>(Definition!Q498*Definition!I$14)</f>
        <v>0</v>
      </c>
      <c r="W498" s="204">
        <f t="shared" si="44"/>
        <v>0</v>
      </c>
      <c r="X498" s="207">
        <f t="shared" si="43"/>
        <v>0</v>
      </c>
    </row>
    <row r="499" spans="12:24">
      <c r="L499" s="423"/>
      <c r="M499" s="68">
        <f>IF(compute_ManualOverrideHybrid="No", COUNTIFS(Hybrid!E$5:E$14987, UCDEffortSpread!D25, Hybrid!B$5:B$14987,Definition!C$14,Hybrid!D$5:D$14987,Definition!E$3), 0)</f>
        <v>0</v>
      </c>
      <c r="N499" s="68">
        <f>IF(compute_ManualOverrideHybrid="No", COUNTIFS(Hybrid!E$5:E$14987, UCDEffortSpread!D25, Hybrid!B$5:B$14987,Definition!C$14,Hybrid!D$5:D$14987,Definition!F$3), 0)</f>
        <v>0</v>
      </c>
      <c r="O499" s="68">
        <f>IF(compute_ManualOverrideHybrid="No", COUNTIFS(Hybrid!E$5:E$14987, UCDEffortSpread!D25, Hybrid!B$5:B$14987,Definition!C$14,Hybrid!D$5:D$14987,Definition!G$3), 0)</f>
        <v>0</v>
      </c>
      <c r="P499" s="68">
        <f>IF(compute_ManualOverrideHybrid="No", COUNTIFS(Hybrid!E$5:E$14987, UCDEffortSpread!D25, Hybrid!B$5:B$14987,Definition!C$14,Hybrid!D$5:D$14987,Definition!H$3), 0)</f>
        <v>0</v>
      </c>
      <c r="Q499" s="68">
        <f>IF(compute_ManualOverrideHybrid="No", COUNTIFS(Hybrid!E$5:E$14987, UCDEffortSpread!D25, Hybrid!B$5:B$14987,Definition!C$14,Hybrid!D$5:D$14987,Definition!I$3),0)</f>
        <v>0</v>
      </c>
      <c r="R499" s="203">
        <f>(Definition!M499*Definition!E$14)</f>
        <v>0</v>
      </c>
      <c r="S499" s="203">
        <f>(Definition!N499*Definition!F$14)</f>
        <v>0</v>
      </c>
      <c r="T499" s="203">
        <f>(Definition!O499*Definition!G$14)</f>
        <v>0</v>
      </c>
      <c r="U499" s="203">
        <f>(Definition!P499*Definition!H$14)</f>
        <v>0</v>
      </c>
      <c r="V499" s="203">
        <f>(Definition!Q499*Definition!I$14)</f>
        <v>0</v>
      </c>
      <c r="W499" s="204">
        <f t="shared" si="44"/>
        <v>0</v>
      </c>
      <c r="X499" s="207">
        <f t="shared" si="43"/>
        <v>0</v>
      </c>
    </row>
    <row r="500" spans="12:24">
      <c r="L500" s="423"/>
      <c r="M500" s="68">
        <f>IF(compute_ManualOverrideHybrid="No", COUNTIFS(Hybrid!E$5:E$14987, UCDEffortSpread!D26, Hybrid!B$5:B$14987,Definition!C$14,Hybrid!D$5:D$14987,Definition!E$3), 0)</f>
        <v>0</v>
      </c>
      <c r="N500" s="68">
        <f>IF(compute_ManualOverrideHybrid="No", COUNTIFS(Hybrid!E$5:E$14987, UCDEffortSpread!D26, Hybrid!B$5:B$14987,Definition!C$14,Hybrid!D$5:D$14987,Definition!F$3), 0)</f>
        <v>0</v>
      </c>
      <c r="O500" s="68">
        <f>IF(compute_ManualOverrideHybrid="No", COUNTIFS(Hybrid!E$5:E$14987, UCDEffortSpread!D26, Hybrid!B$5:B$14987,Definition!C$14,Hybrid!D$5:D$14987,Definition!G$3), 0)</f>
        <v>0</v>
      </c>
      <c r="P500" s="68">
        <f>IF(compute_ManualOverrideHybrid="No", COUNTIFS(Hybrid!E$5:E$14987, UCDEffortSpread!D26, Hybrid!B$5:B$14987,Definition!C$14,Hybrid!D$5:D$14987,Definition!H$3), 0)</f>
        <v>0</v>
      </c>
      <c r="Q500" s="68">
        <f>IF(compute_ManualOverrideHybrid="No", COUNTIFS(Hybrid!E$5:E$14987, UCDEffortSpread!D26, Hybrid!B$5:B$14987,Definition!C$14,Hybrid!D$5:D$14987,Definition!I$3),0)</f>
        <v>0</v>
      </c>
      <c r="R500" s="203">
        <f>(Definition!M500*Definition!E$14)</f>
        <v>0</v>
      </c>
      <c r="S500" s="203">
        <f>(Definition!N500*Definition!F$14)</f>
        <v>0</v>
      </c>
      <c r="T500" s="203">
        <f>(Definition!O500*Definition!G$14)</f>
        <v>0</v>
      </c>
      <c r="U500" s="203">
        <f>(Definition!P500*Definition!H$14)</f>
        <v>0</v>
      </c>
      <c r="V500" s="203">
        <f>(Definition!Q500*Definition!I$14)</f>
        <v>0</v>
      </c>
      <c r="W500" s="204">
        <f t="shared" si="44"/>
        <v>0</v>
      </c>
      <c r="X500" s="207">
        <f t="shared" si="43"/>
        <v>0</v>
      </c>
    </row>
    <row r="501" spans="12:24">
      <c r="L501" s="423"/>
      <c r="M501" s="68">
        <f>IF(compute_ManualOverrideHybrid="No", COUNTIFS(Hybrid!E$5:E$14987, UCDEffortSpread!D27, Hybrid!B$5:B$14987,Definition!C$14,Hybrid!D$5:D$14987,Definition!E$3), 0)</f>
        <v>0</v>
      </c>
      <c r="N501" s="68">
        <f>IF(compute_ManualOverrideHybrid="No", COUNTIFS(Hybrid!E$5:E$14987, UCDEffortSpread!D27, Hybrid!B$5:B$14987,Definition!C$14,Hybrid!D$5:D$14987,Definition!F$3), 0)</f>
        <v>0</v>
      </c>
      <c r="O501" s="68">
        <f>IF(compute_ManualOverrideHybrid="No", COUNTIFS(Hybrid!E$5:E$14987, UCDEffortSpread!D27, Hybrid!B$5:B$14987,Definition!C$14,Hybrid!D$5:D$14987,Definition!G$3), 0)</f>
        <v>0</v>
      </c>
      <c r="P501" s="68">
        <f>IF(compute_ManualOverrideHybrid="No", COUNTIFS(Hybrid!E$5:E$14987, UCDEffortSpread!D27, Hybrid!B$5:B$14987,Definition!C$14,Hybrid!D$5:D$14987,Definition!H$3), 0)</f>
        <v>0</v>
      </c>
      <c r="Q501" s="68">
        <f>IF(compute_ManualOverrideHybrid="No", COUNTIFS(Hybrid!E$5:E$14987, UCDEffortSpread!D27, Hybrid!B$5:B$14987,Definition!C$14,Hybrid!D$5:D$14987,Definition!I$3),0)</f>
        <v>0</v>
      </c>
      <c r="R501" s="203">
        <f>(Definition!M501*Definition!E$14)</f>
        <v>0</v>
      </c>
      <c r="S501" s="203">
        <f>(Definition!N501*Definition!F$14)</f>
        <v>0</v>
      </c>
      <c r="T501" s="203">
        <f>(Definition!O501*Definition!G$14)</f>
        <v>0</v>
      </c>
      <c r="U501" s="203">
        <f>(Definition!P501*Definition!H$14)</f>
        <v>0</v>
      </c>
      <c r="V501" s="203">
        <f>(Definition!Q501*Definition!I$14)</f>
        <v>0</v>
      </c>
      <c r="W501" s="204">
        <f t="shared" si="44"/>
        <v>0</v>
      </c>
      <c r="X501" s="207">
        <f t="shared" si="43"/>
        <v>0</v>
      </c>
    </row>
    <row r="502" spans="12:24">
      <c r="L502" s="423"/>
      <c r="M502" s="68">
        <f>IF(compute_ManualOverrideHybrid="No", COUNTIFS(Hybrid!E$5:E$14987, UCDEffortSpread!D28, Hybrid!B$5:B$14987,Definition!C$14,Hybrid!D$5:D$14987,Definition!E$3), 0)</f>
        <v>0</v>
      </c>
      <c r="N502" s="68">
        <f>IF(compute_ManualOverrideHybrid="No", COUNTIFS(Hybrid!E$5:E$14987, UCDEffortSpread!D28, Hybrid!B$5:B$14987,Definition!C$14,Hybrid!D$5:D$14987,Definition!F$3), 0)</f>
        <v>0</v>
      </c>
      <c r="O502" s="68">
        <f>IF(compute_ManualOverrideHybrid="No", COUNTIFS(Hybrid!E$5:E$14987, UCDEffortSpread!D28, Hybrid!B$5:B$14987,Definition!C$14,Hybrid!D$5:D$14987,Definition!G$3), 0)</f>
        <v>0</v>
      </c>
      <c r="P502" s="68">
        <f>IF(compute_ManualOverrideHybrid="No", COUNTIFS(Hybrid!E$5:E$14987, UCDEffortSpread!D28, Hybrid!B$5:B$14987,Definition!C$14,Hybrid!D$5:D$14987,Definition!H$3), 0)</f>
        <v>0</v>
      </c>
      <c r="Q502" s="68">
        <f>IF(compute_ManualOverrideHybrid="No", COUNTIFS(Hybrid!E$5:E$14987, UCDEffortSpread!D28, Hybrid!B$5:B$14987,Definition!C$14,Hybrid!D$5:D$14987,Definition!I$3),0)</f>
        <v>0</v>
      </c>
      <c r="R502" s="203">
        <f>(Definition!M502*Definition!E$14)</f>
        <v>0</v>
      </c>
      <c r="S502" s="203">
        <f>(Definition!N502*Definition!F$14)</f>
        <v>0</v>
      </c>
      <c r="T502" s="203">
        <f>(Definition!O502*Definition!G$14)</f>
        <v>0</v>
      </c>
      <c r="U502" s="203">
        <f>(Definition!P502*Definition!H$14)</f>
        <v>0</v>
      </c>
      <c r="V502" s="203">
        <f>(Definition!Q502*Definition!I$14)</f>
        <v>0</v>
      </c>
      <c r="W502" s="204">
        <f t="shared" si="44"/>
        <v>0</v>
      </c>
      <c r="X502" s="207">
        <f t="shared" si="43"/>
        <v>0</v>
      </c>
    </row>
    <row r="503" spans="12:24">
      <c r="L503" s="423"/>
      <c r="M503" s="68">
        <f>IF(compute_ManualOverrideHybrid="No", COUNTIFS(Hybrid!E$5:E$14987, UCDEffortSpread!D29, Hybrid!B$5:B$14987,Definition!C$14,Hybrid!D$5:D$14987,Definition!E$3), 0)</f>
        <v>0</v>
      </c>
      <c r="N503" s="68">
        <f>IF(compute_ManualOverrideHybrid="No", COUNTIFS(Hybrid!E$5:E$14987, UCDEffortSpread!D29, Hybrid!B$5:B$14987,Definition!C$14,Hybrid!D$5:D$14987,Definition!F$3), 0)</f>
        <v>0</v>
      </c>
      <c r="O503" s="68">
        <f>IF(compute_ManualOverrideHybrid="No", COUNTIFS(Hybrid!E$5:E$14987, UCDEffortSpread!D29, Hybrid!B$5:B$14987,Definition!C$14,Hybrid!D$5:D$14987,Definition!G$3), 0)</f>
        <v>0</v>
      </c>
      <c r="P503" s="68">
        <f>IF(compute_ManualOverrideHybrid="No", COUNTIFS(Hybrid!E$5:E$14987, UCDEffortSpread!D29, Hybrid!B$5:B$14987,Definition!C$14,Hybrid!D$5:D$14987,Definition!H$3), 0)</f>
        <v>0</v>
      </c>
      <c r="Q503" s="68">
        <f>IF(compute_ManualOverrideHybrid="No", COUNTIFS(Hybrid!E$5:E$14987, UCDEffortSpread!D29, Hybrid!B$5:B$14987,Definition!C$14,Hybrid!D$5:D$14987,Definition!I$3),0)</f>
        <v>0</v>
      </c>
      <c r="R503" s="203">
        <f>(Definition!M503*Definition!E$14)</f>
        <v>0</v>
      </c>
      <c r="S503" s="203">
        <f>(Definition!N503*Definition!F$14)</f>
        <v>0</v>
      </c>
      <c r="T503" s="203">
        <f>(Definition!O503*Definition!G$14)</f>
        <v>0</v>
      </c>
      <c r="U503" s="203">
        <f>(Definition!P503*Definition!H$14)</f>
        <v>0</v>
      </c>
      <c r="V503" s="203">
        <f>(Definition!Q503*Definition!I$14)</f>
        <v>0</v>
      </c>
      <c r="W503" s="204">
        <f t="shared" si="44"/>
        <v>0</v>
      </c>
      <c r="X503" s="207">
        <f t="shared" si="43"/>
        <v>0</v>
      </c>
    </row>
    <row r="504" spans="12:24">
      <c r="L504" s="423"/>
      <c r="M504" s="68">
        <f>IF(compute_ManualOverrideHybrid="No", COUNTIFS(Hybrid!E$5:E$14987, UCDEffortSpread!D30, Hybrid!B$5:B$14987,Definition!C$14,Hybrid!D$5:D$14987,Definition!E$3), 0)</f>
        <v>0</v>
      </c>
      <c r="N504" s="68">
        <f>IF(compute_ManualOverrideHybrid="No", COUNTIFS(Hybrid!E$5:E$14987, UCDEffortSpread!D30, Hybrid!B$5:B$14987,Definition!C$14,Hybrid!D$5:D$14987,Definition!F$3), 0)</f>
        <v>0</v>
      </c>
      <c r="O504" s="68">
        <f>IF(compute_ManualOverrideHybrid="No", COUNTIFS(Hybrid!E$5:E$14987, UCDEffortSpread!D30, Hybrid!B$5:B$14987,Definition!C$14,Hybrid!D$5:D$14987,Definition!G$3), 0)</f>
        <v>0</v>
      </c>
      <c r="P504" s="68">
        <f>IF(compute_ManualOverrideHybrid="No", COUNTIFS(Hybrid!E$5:E$14987, UCDEffortSpread!D30, Hybrid!B$5:B$14987,Definition!C$14,Hybrid!D$5:D$14987,Definition!H$3), 0)</f>
        <v>0</v>
      </c>
      <c r="Q504" s="68">
        <f>IF(compute_ManualOverrideHybrid="No", COUNTIFS(Hybrid!E$5:E$14987, UCDEffortSpread!D30, Hybrid!B$5:B$14987,Definition!C$14,Hybrid!D$5:D$14987,Definition!I$3),0)</f>
        <v>0</v>
      </c>
      <c r="R504" s="203">
        <f>(Definition!M504*Definition!E$14)</f>
        <v>0</v>
      </c>
      <c r="S504" s="203">
        <f>(Definition!N504*Definition!F$14)</f>
        <v>0</v>
      </c>
      <c r="T504" s="203">
        <f>(Definition!O504*Definition!G$14)</f>
        <v>0</v>
      </c>
      <c r="U504" s="203">
        <f>(Definition!P504*Definition!H$14)</f>
        <v>0</v>
      </c>
      <c r="V504" s="203">
        <f>(Definition!Q504*Definition!I$14)</f>
        <v>0</v>
      </c>
      <c r="W504" s="204">
        <f t="shared" si="44"/>
        <v>0</v>
      </c>
      <c r="X504" s="207">
        <f t="shared" si="43"/>
        <v>0</v>
      </c>
    </row>
    <row r="505" spans="12:24">
      <c r="L505" s="423"/>
      <c r="M505" s="68">
        <f>IF(compute_ManualOverrideHybrid="No", COUNTIFS(Hybrid!E$5:E$14987, UCDEffortSpread!D31, Hybrid!B$5:B$14987,Definition!C$14,Hybrid!D$5:D$14987,Definition!E$3), 0)</f>
        <v>0</v>
      </c>
      <c r="N505" s="68">
        <f>IF(compute_ManualOverrideHybrid="No", COUNTIFS(Hybrid!E$5:E$14987, UCDEffortSpread!D31, Hybrid!B$5:B$14987,Definition!C$14,Hybrid!D$5:D$14987,Definition!F$3), 0)</f>
        <v>0</v>
      </c>
      <c r="O505" s="68">
        <f>IF(compute_ManualOverrideHybrid="No", COUNTIFS(Hybrid!E$5:E$14987, UCDEffortSpread!D31, Hybrid!B$5:B$14987,Definition!C$14,Hybrid!D$5:D$14987,Definition!G$3), 0)</f>
        <v>0</v>
      </c>
      <c r="P505" s="68">
        <f>IF(compute_ManualOverrideHybrid="No", COUNTIFS(Hybrid!E$5:E$14987, UCDEffortSpread!D31, Hybrid!B$5:B$14987,Definition!C$14,Hybrid!D$5:D$14987,Definition!H$3), 0)</f>
        <v>0</v>
      </c>
      <c r="Q505" s="68">
        <f>IF(compute_ManualOverrideHybrid="No", COUNTIFS(Hybrid!E$5:E$14987, UCDEffortSpread!D31, Hybrid!B$5:B$14987,Definition!C$14,Hybrid!D$5:D$14987,Definition!I$3),0)</f>
        <v>0</v>
      </c>
      <c r="R505" s="203">
        <f>(Definition!M505*Definition!E$14)</f>
        <v>0</v>
      </c>
      <c r="S505" s="203">
        <f>(Definition!N505*Definition!F$14)</f>
        <v>0</v>
      </c>
      <c r="T505" s="203">
        <f>(Definition!O505*Definition!G$14)</f>
        <v>0</v>
      </c>
      <c r="U505" s="203">
        <f>(Definition!P505*Definition!H$14)</f>
        <v>0</v>
      </c>
      <c r="V505" s="203">
        <f>(Definition!Q505*Definition!I$14)</f>
        <v>0</v>
      </c>
      <c r="W505" s="204">
        <f t="shared" si="44"/>
        <v>0</v>
      </c>
      <c r="X505" s="207">
        <f t="shared" si="43"/>
        <v>0</v>
      </c>
    </row>
    <row r="506" spans="12:24">
      <c r="L506" s="423"/>
      <c r="M506" s="68">
        <f>IF(compute_ManualOverrideHybrid="No", COUNTIFS(Hybrid!E$5:E$14987, UCDEffortSpread!D32, Hybrid!B$5:B$14987,Definition!C$14,Hybrid!D$5:D$14987,Definition!E$3), 0)</f>
        <v>0</v>
      </c>
      <c r="N506" s="68">
        <f>IF(compute_ManualOverrideHybrid="No", COUNTIFS(Hybrid!E$5:E$14987, UCDEffortSpread!D32, Hybrid!B$5:B$14987,Definition!C$14,Hybrid!D$5:D$14987,Definition!F$3), 0)</f>
        <v>0</v>
      </c>
      <c r="O506" s="68">
        <f>IF(compute_ManualOverrideHybrid="No", COUNTIFS(Hybrid!E$5:E$14987, UCDEffortSpread!D32, Hybrid!B$5:B$14987,Definition!C$14,Hybrid!D$5:D$14987,Definition!G$3), 0)</f>
        <v>0</v>
      </c>
      <c r="P506" s="68">
        <f>IF(compute_ManualOverrideHybrid="No", COUNTIFS(Hybrid!E$5:E$14987, UCDEffortSpread!D32, Hybrid!B$5:B$14987,Definition!C$14,Hybrid!D$5:D$14987,Definition!H$3), 0)</f>
        <v>0</v>
      </c>
      <c r="Q506" s="68">
        <f>IF(compute_ManualOverrideHybrid="No", COUNTIFS(Hybrid!E$5:E$14987, UCDEffortSpread!D32, Hybrid!B$5:B$14987,Definition!C$14,Hybrid!D$5:D$14987,Definition!I$3),0)</f>
        <v>0</v>
      </c>
      <c r="R506" s="203">
        <f>(Definition!M506*Definition!E$14)</f>
        <v>0</v>
      </c>
      <c r="S506" s="203">
        <f>(Definition!N506*Definition!F$14)</f>
        <v>0</v>
      </c>
      <c r="T506" s="203">
        <f>(Definition!O506*Definition!G$14)</f>
        <v>0</v>
      </c>
      <c r="U506" s="203">
        <f>(Definition!P506*Definition!H$14)</f>
        <v>0</v>
      </c>
      <c r="V506" s="203">
        <f>(Definition!Q506*Definition!I$14)</f>
        <v>0</v>
      </c>
      <c r="W506" s="204">
        <f t="shared" si="44"/>
        <v>0</v>
      </c>
      <c r="X506" s="207">
        <f t="shared" si="43"/>
        <v>0</v>
      </c>
    </row>
    <row r="507" spans="12:24">
      <c r="L507" s="423"/>
      <c r="M507" s="68">
        <f>IF(compute_ManualOverrideHybrid="No", COUNTIFS(Hybrid!E$5:E$14987, UCDEffortSpread!D33, Hybrid!B$5:B$14987,Definition!C$14,Hybrid!D$5:D$14987,Definition!E$3), 0)</f>
        <v>0</v>
      </c>
      <c r="N507" s="68">
        <f>IF(compute_ManualOverrideHybrid="No", COUNTIFS(Hybrid!E$5:E$14987, UCDEffortSpread!D33, Hybrid!B$5:B$14987,Definition!C$14,Hybrid!D$5:D$14987,Definition!F$3), 0)</f>
        <v>0</v>
      </c>
      <c r="O507" s="68">
        <f>IF(compute_ManualOverrideHybrid="No", COUNTIFS(Hybrid!E$5:E$14987, UCDEffortSpread!D33, Hybrid!B$5:B$14987,Definition!C$14,Hybrid!D$5:D$14987,Definition!G$3), 0)</f>
        <v>0</v>
      </c>
      <c r="P507" s="68">
        <f>IF(compute_ManualOverrideHybrid="No", COUNTIFS(Hybrid!E$5:E$14987, UCDEffortSpread!D33, Hybrid!B$5:B$14987,Definition!C$14,Hybrid!D$5:D$14987,Definition!H$3), 0)</f>
        <v>0</v>
      </c>
      <c r="Q507" s="68">
        <f>IF(compute_ManualOverrideHybrid="No", COUNTIFS(Hybrid!E$5:E$14987, UCDEffortSpread!D33, Hybrid!B$5:B$14987,Definition!C$14,Hybrid!D$5:D$14987,Definition!I$3),0)</f>
        <v>0</v>
      </c>
      <c r="R507" s="203">
        <f>(Definition!M507*Definition!E$14)</f>
        <v>0</v>
      </c>
      <c r="S507" s="203">
        <f>(Definition!N507*Definition!F$14)</f>
        <v>0</v>
      </c>
      <c r="T507" s="203">
        <f>(Definition!O507*Definition!G$14)</f>
        <v>0</v>
      </c>
      <c r="U507" s="203">
        <f>(Definition!P507*Definition!H$14)</f>
        <v>0</v>
      </c>
      <c r="V507" s="203">
        <f>(Definition!Q507*Definition!I$14)</f>
        <v>0</v>
      </c>
      <c r="W507" s="204">
        <f t="shared" si="44"/>
        <v>0</v>
      </c>
      <c r="X507" s="207">
        <f t="shared" si="43"/>
        <v>0</v>
      </c>
    </row>
    <row r="508" spans="12:24">
      <c r="L508" s="423"/>
      <c r="M508" s="68">
        <f>IF(compute_ManualOverrideHybrid="No", COUNTIFS(Hybrid!E$5:E$14987, UCDEffortSpread!D34, Hybrid!B$5:B$14987,Definition!C$14,Hybrid!D$5:D$14987,Definition!E$3), 0)</f>
        <v>0</v>
      </c>
      <c r="N508" s="68">
        <f>IF(compute_ManualOverrideHybrid="No", COUNTIFS(Hybrid!E$5:E$14987, UCDEffortSpread!D34, Hybrid!B$5:B$14987,Definition!C$14,Hybrid!D$5:D$14987,Definition!F$3), 0)</f>
        <v>0</v>
      </c>
      <c r="O508" s="68">
        <f>IF(compute_ManualOverrideHybrid="No", COUNTIFS(Hybrid!E$5:E$14987, UCDEffortSpread!D34, Hybrid!B$5:B$14987,Definition!C$14,Hybrid!D$5:D$14987,Definition!G$3), 0)</f>
        <v>0</v>
      </c>
      <c r="P508" s="68">
        <f>IF(compute_ManualOverrideHybrid="No", COUNTIFS(Hybrid!E$5:E$14987, UCDEffortSpread!D34, Hybrid!B$5:B$14987,Definition!C$14,Hybrid!D$5:D$14987,Definition!H$3), 0)</f>
        <v>0</v>
      </c>
      <c r="Q508" s="68">
        <f>IF(compute_ManualOverrideHybrid="No", COUNTIFS(Hybrid!E$5:E$14987, UCDEffortSpread!D34, Hybrid!B$5:B$14987,Definition!C$14,Hybrid!D$5:D$14987,Definition!I$3),0)</f>
        <v>0</v>
      </c>
      <c r="R508" s="203">
        <f>(Definition!M508*Definition!E$14)</f>
        <v>0</v>
      </c>
      <c r="S508" s="203">
        <f>(Definition!N508*Definition!F$14)</f>
        <v>0</v>
      </c>
      <c r="T508" s="203">
        <f>(Definition!O508*Definition!G$14)</f>
        <v>0</v>
      </c>
      <c r="U508" s="203">
        <f>(Definition!P508*Definition!H$14)</f>
        <v>0</v>
      </c>
      <c r="V508" s="203">
        <f>(Definition!Q508*Definition!I$14)</f>
        <v>0</v>
      </c>
      <c r="W508" s="204">
        <f t="shared" si="44"/>
        <v>0</v>
      </c>
      <c r="X508" s="207">
        <f t="shared" si="43"/>
        <v>0</v>
      </c>
    </row>
    <row r="509" spans="12:24">
      <c r="L509" s="423"/>
      <c r="M509" s="68">
        <f>IF(compute_ManualOverrideHybrid="No", COUNTIFS(Hybrid!E$5:E$14987, UCDEffortSpread!D35, Hybrid!B$5:B$14987,Definition!C$14,Hybrid!D$5:D$14987,Definition!E$3), 0)</f>
        <v>0</v>
      </c>
      <c r="N509" s="68">
        <f>IF(compute_ManualOverrideHybrid="No", COUNTIFS(Hybrid!E$5:E$14987, UCDEffortSpread!D35, Hybrid!B$5:B$14987,Definition!C$14,Hybrid!D$5:D$14987,Definition!F$3), 0)</f>
        <v>0</v>
      </c>
      <c r="O509" s="68">
        <f>IF(compute_ManualOverrideHybrid="No", COUNTIFS(Hybrid!E$5:E$14987, UCDEffortSpread!D35, Hybrid!B$5:B$14987,Definition!C$14,Hybrid!D$5:D$14987,Definition!G$3), 0)</f>
        <v>0</v>
      </c>
      <c r="P509" s="68">
        <f>IF(compute_ManualOverrideHybrid="No", COUNTIFS(Hybrid!E$5:E$14987, UCDEffortSpread!D35, Hybrid!B$5:B$14987,Definition!C$14,Hybrid!D$5:D$14987,Definition!H$3), 0)</f>
        <v>0</v>
      </c>
      <c r="Q509" s="68">
        <f>IF(compute_ManualOverrideHybrid="No", COUNTIFS(Hybrid!E$5:E$14987, UCDEffortSpread!D35, Hybrid!B$5:B$14987,Definition!C$14,Hybrid!D$5:D$14987,Definition!I$3),0)</f>
        <v>0</v>
      </c>
      <c r="R509" s="203">
        <f>(Definition!M509*Definition!E$14)</f>
        <v>0</v>
      </c>
      <c r="S509" s="203">
        <f>(Definition!N509*Definition!F$14)</f>
        <v>0</v>
      </c>
      <c r="T509" s="203">
        <f>(Definition!O509*Definition!G$14)</f>
        <v>0</v>
      </c>
      <c r="U509" s="203">
        <f>(Definition!P509*Definition!H$14)</f>
        <v>0</v>
      </c>
      <c r="V509" s="203">
        <f>(Definition!Q509*Definition!I$14)</f>
        <v>0</v>
      </c>
      <c r="W509" s="204">
        <f t="shared" si="44"/>
        <v>0</v>
      </c>
      <c r="X509" s="207">
        <f t="shared" si="43"/>
        <v>0</v>
      </c>
    </row>
    <row r="510" spans="12:24">
      <c r="L510" s="423"/>
      <c r="M510" s="68">
        <f>IF(compute_ManualOverrideHybrid="No", COUNTIFS(Hybrid!E$5:E$14987, UCDEffortSpread!D36, Hybrid!B$5:B$14987,Definition!C$14,Hybrid!D$5:D$14987,Definition!E$3), 0)</f>
        <v>0</v>
      </c>
      <c r="N510" s="68">
        <f>IF(compute_ManualOverrideHybrid="No", COUNTIFS(Hybrid!E$5:E$14987, UCDEffortSpread!D36, Hybrid!B$5:B$14987,Definition!C$14,Hybrid!D$5:D$14987,Definition!F$3), 0)</f>
        <v>0</v>
      </c>
      <c r="O510" s="68">
        <f>IF(compute_ManualOverrideHybrid="No", COUNTIFS(Hybrid!E$5:E$14987, UCDEffortSpread!D36, Hybrid!B$5:B$14987,Definition!C$14,Hybrid!D$5:D$14987,Definition!G$3), 0)</f>
        <v>0</v>
      </c>
      <c r="P510" s="68">
        <f>IF(compute_ManualOverrideHybrid="No", COUNTIFS(Hybrid!E$5:E$14987, UCDEffortSpread!D36, Hybrid!B$5:B$14987,Definition!C$14,Hybrid!D$5:D$14987,Definition!H$3), 0)</f>
        <v>0</v>
      </c>
      <c r="Q510" s="68">
        <f>IF(compute_ManualOverrideHybrid="No", COUNTIFS(Hybrid!E$5:E$14987, UCDEffortSpread!D36, Hybrid!B$5:B$14987,Definition!C$14,Hybrid!D$5:D$14987,Definition!I$3),0)</f>
        <v>0</v>
      </c>
      <c r="R510" s="203">
        <f>(Definition!M510*Definition!E$14)</f>
        <v>0</v>
      </c>
      <c r="S510" s="203">
        <f>(Definition!N510*Definition!F$14)</f>
        <v>0</v>
      </c>
      <c r="T510" s="203">
        <f>(Definition!O510*Definition!G$14)</f>
        <v>0</v>
      </c>
      <c r="U510" s="203">
        <f>(Definition!P510*Definition!H$14)</f>
        <v>0</v>
      </c>
      <c r="V510" s="203">
        <f>(Definition!Q510*Definition!I$14)</f>
        <v>0</v>
      </c>
      <c r="W510" s="204">
        <f t="shared" si="44"/>
        <v>0</v>
      </c>
      <c r="X510" s="207">
        <f t="shared" si="43"/>
        <v>0</v>
      </c>
    </row>
    <row r="511" spans="12:24">
      <c r="L511" s="423"/>
      <c r="M511" s="68">
        <f>IF(compute_ManualOverrideHybrid="No", COUNTIFS(Hybrid!E$5:E$14987, UCDEffortSpread!D37, Hybrid!B$5:B$14987,Definition!C$14,Hybrid!D$5:D$14987,Definition!E$3), 0)</f>
        <v>0</v>
      </c>
      <c r="N511" s="68">
        <f>IF(compute_ManualOverrideHybrid="No", COUNTIFS(Hybrid!E$5:E$14987, UCDEffortSpread!D37, Hybrid!B$5:B$14987,Definition!C$14,Hybrid!D$5:D$14987,Definition!F$3), 0)</f>
        <v>0</v>
      </c>
      <c r="O511" s="68">
        <f>IF(compute_ManualOverrideHybrid="No", COUNTIFS(Hybrid!E$5:E$14987, UCDEffortSpread!D37, Hybrid!B$5:B$14987,Definition!C$14,Hybrid!D$5:D$14987,Definition!G$3), 0)</f>
        <v>0</v>
      </c>
      <c r="P511" s="68">
        <f>IF(compute_ManualOverrideHybrid="No", COUNTIFS(Hybrid!E$5:E$14987, UCDEffortSpread!D37, Hybrid!B$5:B$14987,Definition!C$14,Hybrid!D$5:D$14987,Definition!H$3), 0)</f>
        <v>0</v>
      </c>
      <c r="Q511" s="68">
        <f>IF(compute_ManualOverrideHybrid="No", COUNTIFS(Hybrid!E$5:E$14987, UCDEffortSpread!D37, Hybrid!B$5:B$14987,Definition!C$14,Hybrid!D$5:D$14987,Definition!I$3),0)</f>
        <v>0</v>
      </c>
      <c r="R511" s="203">
        <f>(Definition!M511*Definition!E$14)</f>
        <v>0</v>
      </c>
      <c r="S511" s="203">
        <f>(Definition!N511*Definition!F$14)</f>
        <v>0</v>
      </c>
      <c r="T511" s="203">
        <f>(Definition!O511*Definition!G$14)</f>
        <v>0</v>
      </c>
      <c r="U511" s="203">
        <f>(Definition!P511*Definition!H$14)</f>
        <v>0</v>
      </c>
      <c r="V511" s="203">
        <f>(Definition!Q511*Definition!I$14)</f>
        <v>0</v>
      </c>
      <c r="W511" s="204">
        <f t="shared" si="44"/>
        <v>0</v>
      </c>
      <c r="X511" s="207">
        <f t="shared" ref="X511:X574" si="45">IF(W511&lt;&gt;0,SUM(R511:V511)+((effort_Hybrid_Android+effort_Hybrid_iOS)/AA$30),0)</f>
        <v>0</v>
      </c>
    </row>
    <row r="512" spans="12:24">
      <c r="L512" s="423"/>
      <c r="M512" s="68">
        <f>IF(compute_ManualOverrideHybrid="No", COUNTIFS(Hybrid!E$5:E$14987, UCDEffortSpread!D38, Hybrid!B$5:B$14987,Definition!C$14,Hybrid!D$5:D$14987,Definition!E$3), 0)</f>
        <v>0</v>
      </c>
      <c r="N512" s="68">
        <f>IF(compute_ManualOverrideHybrid="No", COUNTIFS(Hybrid!E$5:E$14987, UCDEffortSpread!D38, Hybrid!B$5:B$14987,Definition!C$14,Hybrid!D$5:D$14987,Definition!F$3), 0)</f>
        <v>0</v>
      </c>
      <c r="O512" s="68">
        <f>IF(compute_ManualOverrideHybrid="No", COUNTIFS(Hybrid!E$5:E$14987, UCDEffortSpread!D38, Hybrid!B$5:B$14987,Definition!C$14,Hybrid!D$5:D$14987,Definition!G$3), 0)</f>
        <v>0</v>
      </c>
      <c r="P512" s="68">
        <f>IF(compute_ManualOverrideHybrid="No", COUNTIFS(Hybrid!E$5:E$14987, UCDEffortSpread!D38, Hybrid!B$5:B$14987,Definition!C$14,Hybrid!D$5:D$14987,Definition!H$3), 0)</f>
        <v>0</v>
      </c>
      <c r="Q512" s="68">
        <f>IF(compute_ManualOverrideHybrid="No", COUNTIFS(Hybrid!E$5:E$14987, UCDEffortSpread!D38, Hybrid!B$5:B$14987,Definition!C$14,Hybrid!D$5:D$14987,Definition!I$3),0)</f>
        <v>0</v>
      </c>
      <c r="R512" s="203">
        <f>(Definition!M512*Definition!E$14)</f>
        <v>0</v>
      </c>
      <c r="S512" s="203">
        <f>(Definition!N512*Definition!F$14)</f>
        <v>0</v>
      </c>
      <c r="T512" s="203">
        <f>(Definition!O512*Definition!G$14)</f>
        <v>0</v>
      </c>
      <c r="U512" s="203">
        <f>(Definition!P512*Definition!H$14)</f>
        <v>0</v>
      </c>
      <c r="V512" s="203">
        <f>(Definition!Q512*Definition!I$14)</f>
        <v>0</v>
      </c>
      <c r="W512" s="204">
        <f t="shared" si="44"/>
        <v>0</v>
      </c>
      <c r="X512" s="207">
        <f t="shared" si="45"/>
        <v>0</v>
      </c>
    </row>
    <row r="513" spans="12:24">
      <c r="L513" s="423"/>
      <c r="M513" s="68">
        <f>IF(compute_ManualOverrideHybrid="No", COUNTIFS(Hybrid!E$5:E$14987, UCDEffortSpread!D39, Hybrid!B$5:B$14987,Definition!C$14,Hybrid!D$5:D$14987,Definition!E$3), 0)</f>
        <v>0</v>
      </c>
      <c r="N513" s="68">
        <f>IF(compute_ManualOverrideHybrid="No", COUNTIFS(Hybrid!E$5:E$14987, UCDEffortSpread!D39, Hybrid!B$5:B$14987,Definition!C$14,Hybrid!D$5:D$14987,Definition!F$3), 0)</f>
        <v>0</v>
      </c>
      <c r="O513" s="68">
        <f>IF(compute_ManualOverrideHybrid="No", COUNTIFS(Hybrid!E$5:E$14987, UCDEffortSpread!D39, Hybrid!B$5:B$14987,Definition!C$14,Hybrid!D$5:D$14987,Definition!G$3), 0)</f>
        <v>0</v>
      </c>
      <c r="P513" s="68">
        <f>IF(compute_ManualOverrideHybrid="No", COUNTIFS(Hybrid!E$5:E$14987, UCDEffortSpread!D39, Hybrid!B$5:B$14987,Definition!C$14,Hybrid!D$5:D$14987,Definition!H$3), 0)</f>
        <v>0</v>
      </c>
      <c r="Q513" s="68">
        <f>IF(compute_ManualOverrideHybrid="No", COUNTIFS(Hybrid!E$5:E$14987, UCDEffortSpread!D39, Hybrid!B$5:B$14987,Definition!C$14,Hybrid!D$5:D$14987,Definition!I$3),0)</f>
        <v>0</v>
      </c>
      <c r="R513" s="203">
        <f>(Definition!M513*Definition!E$14)</f>
        <v>0</v>
      </c>
      <c r="S513" s="203">
        <f>(Definition!N513*Definition!F$14)</f>
        <v>0</v>
      </c>
      <c r="T513" s="203">
        <f>(Definition!O513*Definition!G$14)</f>
        <v>0</v>
      </c>
      <c r="U513" s="203">
        <f>(Definition!P513*Definition!H$14)</f>
        <v>0</v>
      </c>
      <c r="V513" s="203">
        <f>(Definition!Q513*Definition!I$14)</f>
        <v>0</v>
      </c>
      <c r="W513" s="204">
        <f t="shared" si="44"/>
        <v>0</v>
      </c>
      <c r="X513" s="207">
        <f t="shared" si="45"/>
        <v>0</v>
      </c>
    </row>
    <row r="514" spans="12:24">
      <c r="L514" s="423"/>
      <c r="M514" s="68">
        <f>IF(compute_ManualOverrideHybrid="No", COUNTIFS(Hybrid!E$5:E$14987, UCDEffortSpread!D40, Hybrid!B$5:B$14987,Definition!C$14,Hybrid!D$5:D$14987,Definition!E$3), 0)</f>
        <v>0</v>
      </c>
      <c r="N514" s="68">
        <f>IF(compute_ManualOverrideHybrid="No", COUNTIFS(Hybrid!E$5:E$14987, UCDEffortSpread!D40, Hybrid!B$5:B$14987,Definition!C$14,Hybrid!D$5:D$14987,Definition!F$3), 0)</f>
        <v>0</v>
      </c>
      <c r="O514" s="68">
        <f>IF(compute_ManualOverrideHybrid="No", COUNTIFS(Hybrid!E$5:E$14987, UCDEffortSpread!D40, Hybrid!B$5:B$14987,Definition!C$14,Hybrid!D$5:D$14987,Definition!G$3), 0)</f>
        <v>0</v>
      </c>
      <c r="P514" s="68">
        <f>IF(compute_ManualOverrideHybrid="No", COUNTIFS(Hybrid!E$5:E$14987, UCDEffortSpread!D40, Hybrid!B$5:B$14987,Definition!C$14,Hybrid!D$5:D$14987,Definition!H$3), 0)</f>
        <v>0</v>
      </c>
      <c r="Q514" s="68">
        <f>IF(compute_ManualOverrideHybrid="No", COUNTIFS(Hybrid!E$5:E$14987, UCDEffortSpread!D40, Hybrid!B$5:B$14987,Definition!C$14,Hybrid!D$5:D$14987,Definition!I$3),0)</f>
        <v>0</v>
      </c>
      <c r="R514" s="203">
        <f>(Definition!M514*Definition!E$14)</f>
        <v>0</v>
      </c>
      <c r="S514" s="203">
        <f>(Definition!N514*Definition!F$14)</f>
        <v>0</v>
      </c>
      <c r="T514" s="203">
        <f>(Definition!O514*Definition!G$14)</f>
        <v>0</v>
      </c>
      <c r="U514" s="203">
        <f>(Definition!P514*Definition!H$14)</f>
        <v>0</v>
      </c>
      <c r="V514" s="203">
        <f>(Definition!Q514*Definition!I$14)</f>
        <v>0</v>
      </c>
      <c r="W514" s="204">
        <f t="shared" si="44"/>
        <v>0</v>
      </c>
      <c r="X514" s="207">
        <f t="shared" si="45"/>
        <v>0</v>
      </c>
    </row>
    <row r="515" spans="12:24">
      <c r="L515" s="423"/>
      <c r="M515" s="68">
        <f>IF(compute_ManualOverrideHybrid="No", COUNTIFS(Hybrid!E$5:E$14987, UCDEffortSpread!D41, Hybrid!B$5:B$14987,Definition!C$14,Hybrid!D$5:D$14987,Definition!E$3), 0)</f>
        <v>0</v>
      </c>
      <c r="N515" s="68">
        <f>IF(compute_ManualOverrideHybrid="No", COUNTIFS(Hybrid!E$5:E$14987, UCDEffortSpread!D41, Hybrid!B$5:B$14987,Definition!C$14,Hybrid!D$5:D$14987,Definition!F$3), 0)</f>
        <v>0</v>
      </c>
      <c r="O515" s="68">
        <f>IF(compute_ManualOverrideHybrid="No", COUNTIFS(Hybrid!E$5:E$14987, UCDEffortSpread!D41, Hybrid!B$5:B$14987,Definition!C$14,Hybrid!D$5:D$14987,Definition!G$3), 0)</f>
        <v>0</v>
      </c>
      <c r="P515" s="68">
        <f>IF(compute_ManualOverrideHybrid="No", COUNTIFS(Hybrid!E$5:E$14987, UCDEffortSpread!D41, Hybrid!B$5:B$14987,Definition!C$14,Hybrid!D$5:D$14987,Definition!H$3), 0)</f>
        <v>0</v>
      </c>
      <c r="Q515" s="68">
        <f>IF(compute_ManualOverrideHybrid="No", COUNTIFS(Hybrid!E$5:E$14987, UCDEffortSpread!D41, Hybrid!B$5:B$14987,Definition!C$14,Hybrid!D$5:D$14987,Definition!I$3),0)</f>
        <v>0</v>
      </c>
      <c r="R515" s="203">
        <f>(Definition!M515*Definition!E$14)</f>
        <v>0</v>
      </c>
      <c r="S515" s="203">
        <f>(Definition!N515*Definition!F$14)</f>
        <v>0</v>
      </c>
      <c r="T515" s="203">
        <f>(Definition!O515*Definition!G$14)</f>
        <v>0</v>
      </c>
      <c r="U515" s="203">
        <f>(Definition!P515*Definition!H$14)</f>
        <v>0</v>
      </c>
      <c r="V515" s="203">
        <f>(Definition!Q515*Definition!I$14)</f>
        <v>0</v>
      </c>
      <c r="W515" s="204">
        <f t="shared" si="44"/>
        <v>0</v>
      </c>
      <c r="X515" s="207">
        <f t="shared" si="45"/>
        <v>0</v>
      </c>
    </row>
    <row r="516" spans="12:24">
      <c r="L516" s="423"/>
      <c r="M516" s="68">
        <f>IF(compute_ManualOverrideHybrid="No", COUNTIFS(Hybrid!E$5:E$14987, UCDEffortSpread!D42, Hybrid!B$5:B$14987,Definition!C$14,Hybrid!D$5:D$14987,Definition!E$3), 0)</f>
        <v>0</v>
      </c>
      <c r="N516" s="68">
        <f>IF(compute_ManualOverrideHybrid="No", COUNTIFS(Hybrid!E$5:E$14987, UCDEffortSpread!D42, Hybrid!B$5:B$14987,Definition!C$14,Hybrid!D$5:D$14987,Definition!F$3), 0)</f>
        <v>0</v>
      </c>
      <c r="O516" s="68">
        <f>IF(compute_ManualOverrideHybrid="No", COUNTIFS(Hybrid!E$5:E$14987, UCDEffortSpread!D42, Hybrid!B$5:B$14987,Definition!C$14,Hybrid!D$5:D$14987,Definition!G$3), 0)</f>
        <v>0</v>
      </c>
      <c r="P516" s="68">
        <f>IF(compute_ManualOverrideHybrid="No", COUNTIFS(Hybrid!E$5:E$14987, UCDEffortSpread!D42, Hybrid!B$5:B$14987,Definition!C$14,Hybrid!D$5:D$14987,Definition!H$3), 0)</f>
        <v>0</v>
      </c>
      <c r="Q516" s="68">
        <f>IF(compute_ManualOverrideHybrid="No", COUNTIFS(Hybrid!E$5:E$14987, UCDEffortSpread!D42, Hybrid!B$5:B$14987,Definition!C$14,Hybrid!D$5:D$14987,Definition!I$3),0)</f>
        <v>0</v>
      </c>
      <c r="R516" s="203">
        <f>(Definition!M516*Definition!E$14)</f>
        <v>0</v>
      </c>
      <c r="S516" s="203">
        <f>(Definition!N516*Definition!F$14)</f>
        <v>0</v>
      </c>
      <c r="T516" s="203">
        <f>(Definition!O516*Definition!G$14)</f>
        <v>0</v>
      </c>
      <c r="U516" s="203">
        <f>(Definition!P516*Definition!H$14)</f>
        <v>0</v>
      </c>
      <c r="V516" s="203">
        <f>(Definition!Q516*Definition!I$14)</f>
        <v>0</v>
      </c>
      <c r="W516" s="204">
        <f t="shared" si="44"/>
        <v>0</v>
      </c>
      <c r="X516" s="207">
        <f t="shared" si="45"/>
        <v>0</v>
      </c>
    </row>
    <row r="517" spans="12:24">
      <c r="L517" s="423"/>
      <c r="M517" s="68">
        <f>IF(compute_ManualOverrideHybrid="No", COUNTIFS(Hybrid!E$5:E$14987, UCDEffortSpread!D43, Hybrid!B$5:B$14987,Definition!C$14,Hybrid!D$5:D$14987,Definition!E$3), 0)</f>
        <v>0</v>
      </c>
      <c r="N517" s="68">
        <f>IF(compute_ManualOverrideHybrid="No", COUNTIFS(Hybrid!E$5:E$14987, UCDEffortSpread!D43, Hybrid!B$5:B$14987,Definition!C$14,Hybrid!D$5:D$14987,Definition!F$3), 0)</f>
        <v>0</v>
      </c>
      <c r="O517" s="68">
        <f>IF(compute_ManualOverrideHybrid="No", COUNTIFS(Hybrid!E$5:E$14987, UCDEffortSpread!D43, Hybrid!B$5:B$14987,Definition!C$14,Hybrid!D$5:D$14987,Definition!G$3), 0)</f>
        <v>0</v>
      </c>
      <c r="P517" s="68">
        <f>IF(compute_ManualOverrideHybrid="No", COUNTIFS(Hybrid!E$5:E$14987, UCDEffortSpread!D43, Hybrid!B$5:B$14987,Definition!C$14,Hybrid!D$5:D$14987,Definition!H$3), 0)</f>
        <v>0</v>
      </c>
      <c r="Q517" s="68">
        <f>IF(compute_ManualOverrideHybrid="No", COUNTIFS(Hybrid!E$5:E$14987, UCDEffortSpread!D43, Hybrid!B$5:B$14987,Definition!C$14,Hybrid!D$5:D$14987,Definition!I$3),0)</f>
        <v>0</v>
      </c>
      <c r="R517" s="203">
        <f>(Definition!M517*Definition!E$14)</f>
        <v>0</v>
      </c>
      <c r="S517" s="203">
        <f>(Definition!N517*Definition!F$14)</f>
        <v>0</v>
      </c>
      <c r="T517" s="203">
        <f>(Definition!O517*Definition!G$14)</f>
        <v>0</v>
      </c>
      <c r="U517" s="203">
        <f>(Definition!P517*Definition!H$14)</f>
        <v>0</v>
      </c>
      <c r="V517" s="203">
        <f>(Definition!Q517*Definition!I$14)</f>
        <v>0</v>
      </c>
      <c r="W517" s="204">
        <f t="shared" si="44"/>
        <v>0</v>
      </c>
      <c r="X517" s="207">
        <f t="shared" si="45"/>
        <v>0</v>
      </c>
    </row>
    <row r="518" spans="12:24">
      <c r="L518" s="423"/>
      <c r="M518" s="68">
        <f>IF(compute_ManualOverrideHybrid="No", COUNTIFS(Hybrid!E$5:E$14987, UCDEffortSpread!D44, Hybrid!B$5:B$14987,Definition!C$14,Hybrid!D$5:D$14987,Definition!E$3), 0)</f>
        <v>0</v>
      </c>
      <c r="N518" s="68">
        <f>IF(compute_ManualOverrideHybrid="No", COUNTIFS(Hybrid!E$5:E$14987, UCDEffortSpread!D44, Hybrid!B$5:B$14987,Definition!C$14,Hybrid!D$5:D$14987,Definition!F$3), 0)</f>
        <v>0</v>
      </c>
      <c r="O518" s="68">
        <f>IF(compute_ManualOverrideHybrid="No", COUNTIFS(Hybrid!E$5:E$14987, UCDEffortSpread!D44, Hybrid!B$5:B$14987,Definition!C$14,Hybrid!D$5:D$14987,Definition!G$3), 0)</f>
        <v>0</v>
      </c>
      <c r="P518" s="68">
        <f>IF(compute_ManualOverrideHybrid="No", COUNTIFS(Hybrid!E$5:E$14987, UCDEffortSpread!D44, Hybrid!B$5:B$14987,Definition!C$14,Hybrid!D$5:D$14987,Definition!H$3), 0)</f>
        <v>0</v>
      </c>
      <c r="Q518" s="68">
        <f>IF(compute_ManualOverrideHybrid="No", COUNTIFS(Hybrid!E$5:E$14987, UCDEffortSpread!D44, Hybrid!B$5:B$14987,Definition!C$14,Hybrid!D$5:D$14987,Definition!I$3),0)</f>
        <v>0</v>
      </c>
      <c r="R518" s="203">
        <f>(Definition!M518*Definition!E$14)</f>
        <v>0</v>
      </c>
      <c r="S518" s="203">
        <f>(Definition!N518*Definition!F$14)</f>
        <v>0</v>
      </c>
      <c r="T518" s="203">
        <f>(Definition!O518*Definition!G$14)</f>
        <v>0</v>
      </c>
      <c r="U518" s="203">
        <f>(Definition!P518*Definition!H$14)</f>
        <v>0</v>
      </c>
      <c r="V518" s="203">
        <f>(Definition!Q518*Definition!I$14)</f>
        <v>0</v>
      </c>
      <c r="W518" s="204">
        <f t="shared" si="44"/>
        <v>0</v>
      </c>
      <c r="X518" s="207">
        <f t="shared" si="45"/>
        <v>0</v>
      </c>
    </row>
    <row r="519" spans="12:24">
      <c r="L519" s="423"/>
      <c r="M519" s="68">
        <f>IF(compute_ManualOverrideHybrid="No", COUNTIFS(Hybrid!E$5:E$14987, UCDEffortSpread!D45, Hybrid!B$5:B$14987,Definition!C$14,Hybrid!D$5:D$14987,Definition!E$3), 0)</f>
        <v>0</v>
      </c>
      <c r="N519" s="68">
        <f>IF(compute_ManualOverrideHybrid="No", COUNTIFS(Hybrid!E$5:E$14987, UCDEffortSpread!D45, Hybrid!B$5:B$14987,Definition!C$14,Hybrid!D$5:D$14987,Definition!F$3), 0)</f>
        <v>0</v>
      </c>
      <c r="O519" s="68">
        <f>IF(compute_ManualOverrideHybrid="No", COUNTIFS(Hybrid!E$5:E$14987, UCDEffortSpread!D45, Hybrid!B$5:B$14987,Definition!C$14,Hybrid!D$5:D$14987,Definition!G$3), 0)</f>
        <v>0</v>
      </c>
      <c r="P519" s="68">
        <f>IF(compute_ManualOverrideHybrid="No", COUNTIFS(Hybrid!E$5:E$14987, UCDEffortSpread!D45, Hybrid!B$5:B$14987,Definition!C$14,Hybrid!D$5:D$14987,Definition!H$3), 0)</f>
        <v>0</v>
      </c>
      <c r="Q519" s="68">
        <f>IF(compute_ManualOverrideHybrid="No", COUNTIFS(Hybrid!E$5:E$14987, UCDEffortSpread!D45, Hybrid!B$5:B$14987,Definition!C$14,Hybrid!D$5:D$14987,Definition!I$3),0)</f>
        <v>0</v>
      </c>
      <c r="R519" s="203">
        <f>(Definition!M519*Definition!E$14)</f>
        <v>0</v>
      </c>
      <c r="S519" s="203">
        <f>(Definition!N519*Definition!F$14)</f>
        <v>0</v>
      </c>
      <c r="T519" s="203">
        <f>(Definition!O519*Definition!G$14)</f>
        <v>0</v>
      </c>
      <c r="U519" s="203">
        <f>(Definition!P519*Definition!H$14)</f>
        <v>0</v>
      </c>
      <c r="V519" s="203">
        <f>(Definition!Q519*Definition!I$14)</f>
        <v>0</v>
      </c>
      <c r="W519" s="204">
        <f t="shared" si="44"/>
        <v>0</v>
      </c>
      <c r="X519" s="207">
        <f t="shared" si="45"/>
        <v>0</v>
      </c>
    </row>
    <row r="520" spans="12:24">
      <c r="L520" s="423"/>
      <c r="M520" s="68">
        <f>IF(compute_ManualOverrideHybrid="No", COUNTIFS(Hybrid!E$5:E$14987, UCDEffortSpread!D46, Hybrid!B$5:B$14987,Definition!C$14,Hybrid!D$5:D$14987,Definition!E$3), 0)</f>
        <v>0</v>
      </c>
      <c r="N520" s="68">
        <f>IF(compute_ManualOverrideHybrid="No", COUNTIFS(Hybrid!E$5:E$14987, UCDEffortSpread!D46, Hybrid!B$5:B$14987,Definition!C$14,Hybrid!D$5:D$14987,Definition!F$3), 0)</f>
        <v>0</v>
      </c>
      <c r="O520" s="68">
        <f>IF(compute_ManualOverrideHybrid="No", COUNTIFS(Hybrid!E$5:E$14987, UCDEffortSpread!D46, Hybrid!B$5:B$14987,Definition!C$14,Hybrid!D$5:D$14987,Definition!G$3), 0)</f>
        <v>0</v>
      </c>
      <c r="P520" s="68">
        <f>IF(compute_ManualOverrideHybrid="No", COUNTIFS(Hybrid!E$5:E$14987, UCDEffortSpread!D46, Hybrid!B$5:B$14987,Definition!C$14,Hybrid!D$5:D$14987,Definition!H$3), 0)</f>
        <v>0</v>
      </c>
      <c r="Q520" s="68">
        <f>IF(compute_ManualOverrideHybrid="No", COUNTIFS(Hybrid!E$5:E$14987, UCDEffortSpread!D46, Hybrid!B$5:B$14987,Definition!C$14,Hybrid!D$5:D$14987,Definition!I$3),0)</f>
        <v>0</v>
      </c>
      <c r="R520" s="203">
        <f>(Definition!M520*Definition!E$14)</f>
        <v>0</v>
      </c>
      <c r="S520" s="203">
        <f>(Definition!N520*Definition!F$14)</f>
        <v>0</v>
      </c>
      <c r="T520" s="203">
        <f>(Definition!O520*Definition!G$14)</f>
        <v>0</v>
      </c>
      <c r="U520" s="203">
        <f>(Definition!P520*Definition!H$14)</f>
        <v>0</v>
      </c>
      <c r="V520" s="203">
        <f>(Definition!Q520*Definition!I$14)</f>
        <v>0</v>
      </c>
      <c r="W520" s="204">
        <f t="shared" si="44"/>
        <v>0</v>
      </c>
      <c r="X520" s="207">
        <f t="shared" si="45"/>
        <v>0</v>
      </c>
    </row>
    <row r="521" spans="12:24">
      <c r="L521" s="423"/>
      <c r="M521" s="68">
        <f>IF(compute_ManualOverrideHybrid="No", COUNTIFS(Hybrid!E$5:E$14987, UCDEffortSpread!D47, Hybrid!B$5:B$14987,Definition!C$14,Hybrid!D$5:D$14987,Definition!E$3), 0)</f>
        <v>0</v>
      </c>
      <c r="N521" s="68">
        <f>IF(compute_ManualOverrideHybrid="No", COUNTIFS(Hybrid!E$5:E$14987, UCDEffortSpread!D47, Hybrid!B$5:B$14987,Definition!C$14,Hybrid!D$5:D$14987,Definition!F$3), 0)</f>
        <v>0</v>
      </c>
      <c r="O521" s="68">
        <f>IF(compute_ManualOverrideHybrid="No", COUNTIFS(Hybrid!E$5:E$14987, UCDEffortSpread!D47, Hybrid!B$5:B$14987,Definition!C$14,Hybrid!D$5:D$14987,Definition!G$3), 0)</f>
        <v>0</v>
      </c>
      <c r="P521" s="68">
        <f>IF(compute_ManualOverrideHybrid="No", COUNTIFS(Hybrid!E$5:E$14987, UCDEffortSpread!D47, Hybrid!B$5:B$14987,Definition!C$14,Hybrid!D$5:D$14987,Definition!H$3), 0)</f>
        <v>0</v>
      </c>
      <c r="Q521" s="68">
        <f>IF(compute_ManualOverrideHybrid="No", COUNTIFS(Hybrid!E$5:E$14987, UCDEffortSpread!D47, Hybrid!B$5:B$14987,Definition!C$14,Hybrid!D$5:D$14987,Definition!I$3),0)</f>
        <v>0</v>
      </c>
      <c r="R521" s="203">
        <f>(Definition!M521*Definition!E$14)</f>
        <v>0</v>
      </c>
      <c r="S521" s="203">
        <f>(Definition!N521*Definition!F$14)</f>
        <v>0</v>
      </c>
      <c r="T521" s="203">
        <f>(Definition!O521*Definition!G$14)</f>
        <v>0</v>
      </c>
      <c r="U521" s="203">
        <f>(Definition!P521*Definition!H$14)</f>
        <v>0</v>
      </c>
      <c r="V521" s="203">
        <f>(Definition!Q521*Definition!I$14)</f>
        <v>0</v>
      </c>
      <c r="W521" s="204">
        <f t="shared" si="44"/>
        <v>0</v>
      </c>
      <c r="X521" s="207">
        <f t="shared" si="45"/>
        <v>0</v>
      </c>
    </row>
    <row r="522" spans="12:24">
      <c r="L522" s="423"/>
      <c r="M522" s="68">
        <f>IF(compute_ManualOverrideHybrid="No", COUNTIFS(Hybrid!E$5:E$14987, UCDEffortSpread!D48, Hybrid!B$5:B$14987,Definition!C$14,Hybrid!D$5:D$14987,Definition!E$3), 0)</f>
        <v>0</v>
      </c>
      <c r="N522" s="68">
        <f>IF(compute_ManualOverrideHybrid="No", COUNTIFS(Hybrid!E$5:E$14987, UCDEffortSpread!D48, Hybrid!B$5:B$14987,Definition!C$14,Hybrid!D$5:D$14987,Definition!F$3), 0)</f>
        <v>0</v>
      </c>
      <c r="O522" s="68">
        <f>IF(compute_ManualOverrideHybrid="No", COUNTIFS(Hybrid!E$5:E$14987, UCDEffortSpread!D48, Hybrid!B$5:B$14987,Definition!C$14,Hybrid!D$5:D$14987,Definition!G$3), 0)</f>
        <v>0</v>
      </c>
      <c r="P522" s="68">
        <f>IF(compute_ManualOverrideHybrid="No", COUNTIFS(Hybrid!E$5:E$14987, UCDEffortSpread!D48, Hybrid!B$5:B$14987,Definition!C$14,Hybrid!D$5:D$14987,Definition!H$3), 0)</f>
        <v>0</v>
      </c>
      <c r="Q522" s="68">
        <f>IF(compute_ManualOverrideHybrid="No", COUNTIFS(Hybrid!E$5:E$14987, UCDEffortSpread!D48, Hybrid!B$5:B$14987,Definition!C$14,Hybrid!D$5:D$14987,Definition!I$3),0)</f>
        <v>0</v>
      </c>
      <c r="R522" s="203">
        <f>(Definition!M522*Definition!E$14)</f>
        <v>0</v>
      </c>
      <c r="S522" s="203">
        <f>(Definition!N522*Definition!F$14)</f>
        <v>0</v>
      </c>
      <c r="T522" s="203">
        <f>(Definition!O522*Definition!G$14)</f>
        <v>0</v>
      </c>
      <c r="U522" s="203">
        <f>(Definition!P522*Definition!H$14)</f>
        <v>0</v>
      </c>
      <c r="V522" s="203">
        <f>(Definition!Q522*Definition!I$14)</f>
        <v>0</v>
      </c>
      <c r="W522" s="204">
        <f t="shared" si="44"/>
        <v>0</v>
      </c>
      <c r="X522" s="207">
        <f t="shared" si="45"/>
        <v>0</v>
      </c>
    </row>
    <row r="523" spans="12:24">
      <c r="L523" s="423"/>
      <c r="M523" s="68">
        <f>IF(compute_ManualOverrideHybrid="No", COUNTIFS(Hybrid!E$5:E$14987, UCDEffortSpread!D49, Hybrid!B$5:B$14987,Definition!C$14,Hybrid!D$5:D$14987,Definition!E$3), 0)</f>
        <v>0</v>
      </c>
      <c r="N523" s="68">
        <f>IF(compute_ManualOverrideHybrid="No", COUNTIFS(Hybrid!E$5:E$14987, UCDEffortSpread!D49, Hybrid!B$5:B$14987,Definition!C$14,Hybrid!D$5:D$14987,Definition!F$3), 0)</f>
        <v>0</v>
      </c>
      <c r="O523" s="68">
        <f>IF(compute_ManualOverrideHybrid="No", COUNTIFS(Hybrid!E$5:E$14987, UCDEffortSpread!D49, Hybrid!B$5:B$14987,Definition!C$14,Hybrid!D$5:D$14987,Definition!G$3), 0)</f>
        <v>0</v>
      </c>
      <c r="P523" s="68">
        <f>IF(compute_ManualOverrideHybrid="No", COUNTIFS(Hybrid!E$5:E$14987, UCDEffortSpread!D49, Hybrid!B$5:B$14987,Definition!C$14,Hybrid!D$5:D$14987,Definition!H$3), 0)</f>
        <v>0</v>
      </c>
      <c r="Q523" s="68">
        <f>IF(compute_ManualOverrideHybrid="No", COUNTIFS(Hybrid!E$5:E$14987, UCDEffortSpread!D49, Hybrid!B$5:B$14987,Definition!C$14,Hybrid!D$5:D$14987,Definition!I$3),0)</f>
        <v>0</v>
      </c>
      <c r="R523" s="203">
        <f>(Definition!M523*Definition!E$14)</f>
        <v>0</v>
      </c>
      <c r="S523" s="203">
        <f>(Definition!N523*Definition!F$14)</f>
        <v>0</v>
      </c>
      <c r="T523" s="203">
        <f>(Definition!O523*Definition!G$14)</f>
        <v>0</v>
      </c>
      <c r="U523" s="203">
        <f>(Definition!P523*Definition!H$14)</f>
        <v>0</v>
      </c>
      <c r="V523" s="203">
        <f>(Definition!Q523*Definition!I$14)</f>
        <v>0</v>
      </c>
      <c r="W523" s="204">
        <f t="shared" si="44"/>
        <v>0</v>
      </c>
      <c r="X523" s="207">
        <f t="shared" si="45"/>
        <v>0</v>
      </c>
    </row>
    <row r="524" spans="12:24">
      <c r="L524" s="423"/>
      <c r="M524" s="68">
        <f>IF(compute_ManualOverrideHybrid="No", COUNTIFS(Hybrid!E$5:E$14987, UCDEffortSpread!D50, Hybrid!B$5:B$14987,Definition!C$14,Hybrid!D$5:D$14987,Definition!E$3), 0)</f>
        <v>0</v>
      </c>
      <c r="N524" s="68">
        <f>IF(compute_ManualOverrideHybrid="No", COUNTIFS(Hybrid!E$5:E$14987, UCDEffortSpread!D50, Hybrid!B$5:B$14987,Definition!C$14,Hybrid!D$5:D$14987,Definition!F$3), 0)</f>
        <v>0</v>
      </c>
      <c r="O524" s="68">
        <f>IF(compute_ManualOverrideHybrid="No", COUNTIFS(Hybrid!E$5:E$14987, UCDEffortSpread!D50, Hybrid!B$5:B$14987,Definition!C$14,Hybrid!D$5:D$14987,Definition!G$3), 0)</f>
        <v>0</v>
      </c>
      <c r="P524" s="68">
        <f>IF(compute_ManualOverrideHybrid="No", COUNTIFS(Hybrid!E$5:E$14987, UCDEffortSpread!D50, Hybrid!B$5:B$14987,Definition!C$14,Hybrid!D$5:D$14987,Definition!H$3), 0)</f>
        <v>0</v>
      </c>
      <c r="Q524" s="68">
        <f>IF(compute_ManualOverrideHybrid="No", COUNTIFS(Hybrid!E$5:E$14987, UCDEffortSpread!D50, Hybrid!B$5:B$14987,Definition!C$14,Hybrid!D$5:D$14987,Definition!I$3),0)</f>
        <v>0</v>
      </c>
      <c r="R524" s="203">
        <f>(Definition!M524*Definition!E$14)</f>
        <v>0</v>
      </c>
      <c r="S524" s="203">
        <f>(Definition!N524*Definition!F$14)</f>
        <v>0</v>
      </c>
      <c r="T524" s="203">
        <f>(Definition!O524*Definition!G$14)</f>
        <v>0</v>
      </c>
      <c r="U524" s="203">
        <f>(Definition!P524*Definition!H$14)</f>
        <v>0</v>
      </c>
      <c r="V524" s="203">
        <f>(Definition!Q524*Definition!I$14)</f>
        <v>0</v>
      </c>
      <c r="W524" s="204">
        <f t="shared" si="44"/>
        <v>0</v>
      </c>
      <c r="X524" s="207">
        <f t="shared" si="45"/>
        <v>0</v>
      </c>
    </row>
    <row r="525" spans="12:24">
      <c r="L525" s="423"/>
      <c r="M525" s="68">
        <f>IF(compute_ManualOverrideHybrid="No", COUNTIFS(Hybrid!E$5:E$14987, UCDEffortSpread!D51, Hybrid!B$5:B$14987,Definition!C$14,Hybrid!D$5:D$14987,Definition!E$3), 0)</f>
        <v>0</v>
      </c>
      <c r="N525" s="68">
        <f>IF(compute_ManualOverrideHybrid="No", COUNTIFS(Hybrid!E$5:E$14987, UCDEffortSpread!D51, Hybrid!B$5:B$14987,Definition!C$14,Hybrid!D$5:D$14987,Definition!F$3), 0)</f>
        <v>0</v>
      </c>
      <c r="O525" s="68">
        <f>IF(compute_ManualOverrideHybrid="No", COUNTIFS(Hybrid!E$5:E$14987, UCDEffortSpread!D51, Hybrid!B$5:B$14987,Definition!C$14,Hybrid!D$5:D$14987,Definition!G$3), 0)</f>
        <v>0</v>
      </c>
      <c r="P525" s="68">
        <f>IF(compute_ManualOverrideHybrid="No", COUNTIFS(Hybrid!E$5:E$14987, UCDEffortSpread!D51, Hybrid!B$5:B$14987,Definition!C$14,Hybrid!D$5:D$14987,Definition!H$3), 0)</f>
        <v>0</v>
      </c>
      <c r="Q525" s="68">
        <f>IF(compute_ManualOverrideHybrid="No", COUNTIFS(Hybrid!E$5:E$14987, UCDEffortSpread!D51, Hybrid!B$5:B$14987,Definition!C$14,Hybrid!D$5:D$14987,Definition!I$3),0)</f>
        <v>0</v>
      </c>
      <c r="R525" s="203">
        <f>(Definition!M525*Definition!E$14)</f>
        <v>0</v>
      </c>
      <c r="S525" s="203">
        <f>(Definition!N525*Definition!F$14)</f>
        <v>0</v>
      </c>
      <c r="T525" s="203">
        <f>(Definition!O525*Definition!G$14)</f>
        <v>0</v>
      </c>
      <c r="U525" s="203">
        <f>(Definition!P525*Definition!H$14)</f>
        <v>0</v>
      </c>
      <c r="V525" s="203">
        <f>(Definition!Q525*Definition!I$14)</f>
        <v>0</v>
      </c>
      <c r="W525" s="204">
        <f t="shared" si="44"/>
        <v>0</v>
      </c>
      <c r="X525" s="207">
        <f t="shared" si="45"/>
        <v>0</v>
      </c>
    </row>
    <row r="526" spans="12:24">
      <c r="L526" s="423"/>
      <c r="M526" s="68">
        <f>IF(compute_ManualOverrideHybrid="No", COUNTIFS(Hybrid!E$5:E$14987, UCDEffortSpread!D52, Hybrid!B$5:B$14987,Definition!C$14,Hybrid!D$5:D$14987,Definition!E$3), 0)</f>
        <v>0</v>
      </c>
      <c r="N526" s="68">
        <f>IF(compute_ManualOverrideHybrid="No", COUNTIFS(Hybrid!E$5:E$14987, UCDEffortSpread!D52, Hybrid!B$5:B$14987,Definition!C$14,Hybrid!D$5:D$14987,Definition!F$3), 0)</f>
        <v>0</v>
      </c>
      <c r="O526" s="68">
        <f>IF(compute_ManualOverrideHybrid="No", COUNTIFS(Hybrid!E$5:E$14987, UCDEffortSpread!D52, Hybrid!B$5:B$14987,Definition!C$14,Hybrid!D$5:D$14987,Definition!G$3), 0)</f>
        <v>0</v>
      </c>
      <c r="P526" s="68">
        <f>IF(compute_ManualOverrideHybrid="No", COUNTIFS(Hybrid!E$5:E$14987, UCDEffortSpread!D52, Hybrid!B$5:B$14987,Definition!C$14,Hybrid!D$5:D$14987,Definition!H$3), 0)</f>
        <v>0</v>
      </c>
      <c r="Q526" s="68">
        <f>IF(compute_ManualOverrideHybrid="No", COUNTIFS(Hybrid!E$5:E$14987, UCDEffortSpread!D52, Hybrid!B$5:B$14987,Definition!C$14,Hybrid!D$5:D$14987,Definition!I$3),0)</f>
        <v>0</v>
      </c>
      <c r="R526" s="203">
        <f>(Definition!M526*Definition!E$14)</f>
        <v>0</v>
      </c>
      <c r="S526" s="203">
        <f>(Definition!N526*Definition!F$14)</f>
        <v>0</v>
      </c>
      <c r="T526" s="203">
        <f>(Definition!O526*Definition!G$14)</f>
        <v>0</v>
      </c>
      <c r="U526" s="203">
        <f>(Definition!P526*Definition!H$14)</f>
        <v>0</v>
      </c>
      <c r="V526" s="203">
        <f>(Definition!Q526*Definition!I$14)</f>
        <v>0</v>
      </c>
      <c r="W526" s="204">
        <f t="shared" si="44"/>
        <v>0</v>
      </c>
      <c r="X526" s="207">
        <f t="shared" si="45"/>
        <v>0</v>
      </c>
    </row>
    <row r="527" spans="12:24">
      <c r="L527" s="423"/>
      <c r="M527" s="68">
        <f>IF(compute_ManualOverrideHybrid="No", COUNTIFS(Hybrid!E$5:E$14987, UCDEffortSpread!D53, Hybrid!B$5:B$14987,Definition!C$14,Hybrid!D$5:D$14987,Definition!E$3), 0)</f>
        <v>0</v>
      </c>
      <c r="N527" s="68">
        <f>IF(compute_ManualOverrideHybrid="No", COUNTIFS(Hybrid!E$5:E$14987, UCDEffortSpread!D53, Hybrid!B$5:B$14987,Definition!C$14,Hybrid!D$5:D$14987,Definition!F$3), 0)</f>
        <v>0</v>
      </c>
      <c r="O527" s="68">
        <f>IF(compute_ManualOverrideHybrid="No", COUNTIFS(Hybrid!E$5:E$14987, UCDEffortSpread!D53, Hybrid!B$5:B$14987,Definition!C$14,Hybrid!D$5:D$14987,Definition!G$3), 0)</f>
        <v>0</v>
      </c>
      <c r="P527" s="68">
        <f>IF(compute_ManualOverrideHybrid="No", COUNTIFS(Hybrid!E$5:E$14987, UCDEffortSpread!D53, Hybrid!B$5:B$14987,Definition!C$14,Hybrid!D$5:D$14987,Definition!H$3), 0)</f>
        <v>0</v>
      </c>
      <c r="Q527" s="68">
        <f>IF(compute_ManualOverrideHybrid="No", COUNTIFS(Hybrid!E$5:E$14987, UCDEffortSpread!D53, Hybrid!B$5:B$14987,Definition!C$14,Hybrid!D$5:D$14987,Definition!I$3),0)</f>
        <v>0</v>
      </c>
      <c r="R527" s="203">
        <f>(Definition!M527*Definition!E$14)</f>
        <v>0</v>
      </c>
      <c r="S527" s="203">
        <f>(Definition!N527*Definition!F$14)</f>
        <v>0</v>
      </c>
      <c r="T527" s="203">
        <f>(Definition!O527*Definition!G$14)</f>
        <v>0</v>
      </c>
      <c r="U527" s="203">
        <f>(Definition!P527*Definition!H$14)</f>
        <v>0</v>
      </c>
      <c r="V527" s="203">
        <f>(Definition!Q527*Definition!I$14)</f>
        <v>0</v>
      </c>
      <c r="W527" s="204">
        <f t="shared" si="44"/>
        <v>0</v>
      </c>
      <c r="X527" s="207">
        <f t="shared" si="45"/>
        <v>0</v>
      </c>
    </row>
    <row r="528" spans="12:24">
      <c r="L528" s="424"/>
      <c r="M528" s="68">
        <f>IF(compute_ManualOverrideHybrid="No", COUNTIFS(Hybrid!E$5:E$14987, UCDEffortSpread!D54, Hybrid!B$5:B$14987,Definition!C$14,Hybrid!D$5:D$14987,Definition!E$3), 0)</f>
        <v>0</v>
      </c>
      <c r="N528" s="68">
        <f>IF(compute_ManualOverrideHybrid="No", COUNTIFS(Hybrid!E$5:E$14987, UCDEffortSpread!D54, Hybrid!B$5:B$14987,Definition!C$14,Hybrid!D$5:D$14987,Definition!F$3), 0)</f>
        <v>0</v>
      </c>
      <c r="O528" s="68">
        <f>IF(compute_ManualOverrideHybrid="No", COUNTIFS(Hybrid!E$5:E$14987, UCDEffortSpread!D54, Hybrid!B$5:B$14987,Definition!C$14,Hybrid!D$5:D$14987,Definition!G$3), 0)</f>
        <v>0</v>
      </c>
      <c r="P528" s="68">
        <f>IF(compute_ManualOverrideHybrid="No", COUNTIFS(Hybrid!E$5:E$14987, UCDEffortSpread!D54, Hybrid!B$5:B$14987,Definition!C$14,Hybrid!D$5:D$14987,Definition!H$3), 0)</f>
        <v>0</v>
      </c>
      <c r="Q528" s="68">
        <f>IF(compute_ManualOverrideHybrid="No", COUNTIFS(Hybrid!E$5:E$14987, UCDEffortSpread!D54, Hybrid!B$5:B$14987,Definition!C$14,Hybrid!D$5:D$14987,Definition!I$3),0)</f>
        <v>0</v>
      </c>
      <c r="R528" s="203">
        <f>(Definition!M528*Definition!E$14)</f>
        <v>0</v>
      </c>
      <c r="S528" s="203">
        <f>(Definition!N528*Definition!F$14)</f>
        <v>0</v>
      </c>
      <c r="T528" s="203">
        <f>(Definition!O528*Definition!G$14)</f>
        <v>0</v>
      </c>
      <c r="U528" s="203">
        <f>(Definition!P528*Definition!H$14)</f>
        <v>0</v>
      </c>
      <c r="V528" s="203">
        <f>(Definition!Q528*Definition!I$14)</f>
        <v>0</v>
      </c>
      <c r="W528" s="204">
        <f t="shared" si="44"/>
        <v>0</v>
      </c>
      <c r="X528" s="207">
        <f t="shared" si="45"/>
        <v>0</v>
      </c>
    </row>
    <row r="529" spans="12:24" ht="14.1" customHeight="1">
      <c r="L529" s="422" t="str">
        <f>C15</f>
        <v>Plugin Customization</v>
      </c>
      <c r="M529" s="68">
        <f>IF(compute_ManualOverrideHybrid="No", COUNTIFS(Hybrid!E$5:E$14987, UCDEffortSpread!D5, Hybrid!B$5:B$14987,Definition!C$15,Hybrid!D$5:D$14987,Definition!E$3), Hybrid!H$18)</f>
        <v>0</v>
      </c>
      <c r="N529" s="68">
        <f>IF(compute_ManualOverrideHybrid="No", COUNTIFS(Hybrid!E$5:E$14987, UCDEffortSpread!D5, Hybrid!B$5:B$14987,Definition!C$15,Hybrid!D$5:D$14987,Definition!F$3), Hybrid!I$18)</f>
        <v>0</v>
      </c>
      <c r="O529" s="68">
        <f>IF(compute_ManualOverrideHybrid="No", COUNTIFS(Hybrid!E$5:E$14987, UCDEffortSpread!D5, Hybrid!B$5:B$14987,Definition!C$15,Hybrid!D$5:D$14987,Definition!G$3), Hybrid!J$18)</f>
        <v>0</v>
      </c>
      <c r="P529" s="68">
        <f>IF(compute_ManualOverrideHybrid="No", COUNTIFS(Hybrid!E$5:E$14987, UCDEffortSpread!D5, Hybrid!B$5:B$14987,Definition!C$15,Hybrid!D$5:D$14987,Definition!H$3), Hybrid!K$18)</f>
        <v>0</v>
      </c>
      <c r="Q529" s="68">
        <f>IF(compute_ManualOverrideHybrid="No", COUNTIFS(Hybrid!E$5:E$14987, UCDEffortSpread!D5, Hybrid!B$5:B$14987,Definition!C$15,Hybrid!D$5:D$14987,Definition!I$3), Hybrid!L$18)</f>
        <v>0</v>
      </c>
      <c r="R529" s="204">
        <f>(Definition!M529*Definition!E$15)</f>
        <v>0</v>
      </c>
      <c r="S529" s="204">
        <f>(Definition!N529*Definition!F$15)</f>
        <v>0</v>
      </c>
      <c r="T529" s="204">
        <f>(Definition!O529*Definition!G$15)</f>
        <v>0</v>
      </c>
      <c r="U529" s="204">
        <f>(Definition!P529*Definition!H$15)</f>
        <v>0</v>
      </c>
      <c r="V529" s="204">
        <f>(Definition!Q529*Definition!I$15)</f>
        <v>0</v>
      </c>
      <c r="W529" s="203">
        <f>SUM(R529:V529)</f>
        <v>0</v>
      </c>
      <c r="X529" s="207">
        <f>IF(W529&lt;&gt;0,SUM(R529:V529)+((effort_Hybrid_Android+effort_Hybrid_iOS)/AA$30),0)</f>
        <v>0</v>
      </c>
    </row>
    <row r="530" spans="12:24">
      <c r="L530" s="423"/>
      <c r="M530" s="68">
        <f>IF(compute_ManualOverrideHybrid="No", COUNTIFS(Hybrid!E$5:E$14987, UCDEffortSpread!D6, Hybrid!B$5:B$14987,Definition!C$15,Hybrid!D$5:D$14987,Definition!E$3),0)</f>
        <v>0</v>
      </c>
      <c r="N530" s="68">
        <f>IF(compute_ManualOverrideHybrid="No", COUNTIFS(Hybrid!E$5:E$14987, UCDEffortSpread!D6, Hybrid!B$5:B$14987,Definition!C$15,Hybrid!D$5:D$14987,Definition!F$3), 0)</f>
        <v>0</v>
      </c>
      <c r="O530" s="68">
        <f>IF(compute_ManualOverrideHybrid="No", COUNTIFS(Hybrid!E$5:E$14987, UCDEffortSpread!D6, Hybrid!B$5:B$14987,Definition!C$15,Hybrid!D$5:D$14987,Definition!G$3), 0)</f>
        <v>0</v>
      </c>
      <c r="P530" s="68">
        <f>IF(compute_ManualOverrideHybrid="No", COUNTIFS(Hybrid!E$5:E$14987, UCDEffortSpread!D5, Hybrid!B$5:B$14987,Definition!C$15,Hybrid!D$5:D$14987,Definition!H$3),0)</f>
        <v>0</v>
      </c>
      <c r="Q530" s="68">
        <f>IF(compute_ManualOverrideHybrid="No", COUNTIFS(Hybrid!E$5:E$14987, UCDEffortSpread!D6, Hybrid!B$5:B$14987,Definition!C$15,Hybrid!D$5:D$14987,Definition!I$3), 0)</f>
        <v>0</v>
      </c>
      <c r="R530" s="204">
        <f>(Definition!M530*Definition!E$15)</f>
        <v>0</v>
      </c>
      <c r="S530" s="204">
        <f>(Definition!N530*Definition!F$15)</f>
        <v>0</v>
      </c>
      <c r="T530" s="204">
        <f>(Definition!O530*Definition!G$15)</f>
        <v>0</v>
      </c>
      <c r="U530" s="204">
        <f>(Definition!P530*Definition!H$15)</f>
        <v>0</v>
      </c>
      <c r="V530" s="204">
        <f>(Definition!Q530*Definition!I$15)</f>
        <v>0</v>
      </c>
      <c r="W530" s="203">
        <f>SUM(R530:V530)</f>
        <v>0</v>
      </c>
      <c r="X530" s="207">
        <f>IF(W530&lt;&gt;0,SUM(R530:V530)+((effort_Hybrid_Android+effort_Hybrid_iOS)/AA$30),0)</f>
        <v>0</v>
      </c>
    </row>
    <row r="531" spans="12:24">
      <c r="L531" s="423"/>
      <c r="M531" s="68">
        <f>IF(compute_ManualOverrideHybrid="No", COUNTIFS(Hybrid!E$5:E$14987, UCDEffortSpread!D7, Hybrid!B$5:B$14987,Definition!C$15,Hybrid!D$5:D$14987,Definition!E$3),0)</f>
        <v>0</v>
      </c>
      <c r="N531" s="68">
        <f>IF(compute_ManualOverrideHybrid="No", COUNTIFS(Hybrid!E$5:E$14987, UCDEffortSpread!D7, Hybrid!B$5:B$14987,Definition!C$15,Hybrid!D$5:D$14987,Definition!F$3), 0)</f>
        <v>0</v>
      </c>
      <c r="O531" s="68">
        <f>IF(compute_ManualOverrideHybrid="No", COUNTIFS(Hybrid!E$5:E$14987, UCDEffortSpread!D7, Hybrid!B$5:B$14987,Definition!C$15,Hybrid!D$5:D$14987,Definition!G$3), 0)</f>
        <v>0</v>
      </c>
      <c r="P531" s="68">
        <f>IF(compute_ManualOverrideHybrid="No", COUNTIFS(Hybrid!E$5:E$14987, UCDEffortSpread!D6, Hybrid!B$5:B$14987,Definition!C$15,Hybrid!D$5:D$14987,Definition!H$3),0)</f>
        <v>0</v>
      </c>
      <c r="Q531" s="68">
        <f>IF(compute_ManualOverrideHybrid="No", COUNTIFS(Hybrid!E$5:E$14987, UCDEffortSpread!D7, Hybrid!B$5:B$14987,Definition!C$15,Hybrid!D$5:D$14987,Definition!I$3), 0)</f>
        <v>0</v>
      </c>
      <c r="R531" s="204">
        <f>(Definition!M531*Definition!E$15)</f>
        <v>0</v>
      </c>
      <c r="S531" s="204">
        <f>(Definition!N531*Definition!F$15)</f>
        <v>0</v>
      </c>
      <c r="T531" s="204">
        <f>(Definition!O531*Definition!G$15)</f>
        <v>0</v>
      </c>
      <c r="U531" s="204">
        <f>(Definition!P531*Definition!H$15)</f>
        <v>0</v>
      </c>
      <c r="V531" s="204">
        <f>(Definition!Q531*Definition!I$15)</f>
        <v>0</v>
      </c>
      <c r="W531" s="203">
        <f t="shared" ref="W531:W543" si="46">SUM(R531:V531)</f>
        <v>0</v>
      </c>
      <c r="X531" s="207">
        <f t="shared" si="45"/>
        <v>0</v>
      </c>
    </row>
    <row r="532" spans="12:24">
      <c r="L532" s="423"/>
      <c r="M532" s="68">
        <f>IF(compute_ManualOverrideHybrid="No", COUNTIFS(Hybrid!E$5:E$14987, UCDEffortSpread!D8, Hybrid!B$5:B$14987,Definition!C$15,Hybrid!D$5:D$14987,Definition!E$3),0)</f>
        <v>0</v>
      </c>
      <c r="N532" s="68">
        <f>IF(compute_ManualOverrideHybrid="No", COUNTIFS(Hybrid!E$5:E$14987, UCDEffortSpread!D8, Hybrid!B$5:B$14987,Definition!C$15,Hybrid!D$5:D$14987,Definition!F$3), 0)</f>
        <v>0</v>
      </c>
      <c r="O532" s="68">
        <f>IF(compute_ManualOverrideHybrid="No", COUNTIFS(Hybrid!E$5:E$14987, UCDEffortSpread!D8, Hybrid!B$5:B$14987,Definition!C$15,Hybrid!D$5:D$14987,Definition!G$3), 0)</f>
        <v>0</v>
      </c>
      <c r="P532" s="68">
        <f>IF(compute_ManualOverrideHybrid="No", COUNTIFS(Hybrid!E$5:E$14987, UCDEffortSpread!D7, Hybrid!B$5:B$14987,Definition!C$15,Hybrid!D$5:D$14987,Definition!H$3),0)</f>
        <v>0</v>
      </c>
      <c r="Q532" s="68">
        <f>IF(compute_ManualOverrideHybrid="No", COUNTIFS(Hybrid!E$5:E$14987, UCDEffortSpread!D8, Hybrid!B$5:B$14987,Definition!C$15,Hybrid!D$5:D$14987,Definition!I$3), 0)</f>
        <v>0</v>
      </c>
      <c r="R532" s="204">
        <f>(Definition!M532*Definition!E$15)</f>
        <v>0</v>
      </c>
      <c r="S532" s="204">
        <f>(Definition!N532*Definition!F$15)</f>
        <v>0</v>
      </c>
      <c r="T532" s="204">
        <f>(Definition!O532*Definition!G$15)</f>
        <v>0</v>
      </c>
      <c r="U532" s="204">
        <f>(Definition!P532*Definition!H$15)</f>
        <v>0</v>
      </c>
      <c r="V532" s="204">
        <f>(Definition!Q532*Definition!I$15)</f>
        <v>0</v>
      </c>
      <c r="W532" s="203">
        <f t="shared" si="46"/>
        <v>0</v>
      </c>
      <c r="X532" s="207">
        <f t="shared" si="45"/>
        <v>0</v>
      </c>
    </row>
    <row r="533" spans="12:24">
      <c r="L533" s="423"/>
      <c r="M533" s="68">
        <f>IF(compute_ManualOverrideHybrid="No", COUNTIFS(Hybrid!E$5:E$14987, UCDEffortSpread!D9, Hybrid!B$5:B$14987,Definition!C$15,Hybrid!D$5:D$14987,Definition!E$3),0)</f>
        <v>0</v>
      </c>
      <c r="N533" s="68">
        <f>IF(compute_ManualOverrideHybrid="No", COUNTIFS(Hybrid!E$5:E$14987, UCDEffortSpread!D9, Hybrid!B$5:B$14987,Definition!C$15,Hybrid!D$5:D$14987,Definition!F$3), 0)</f>
        <v>0</v>
      </c>
      <c r="O533" s="68">
        <f>IF(compute_ManualOverrideHybrid="No", COUNTIFS(Hybrid!E$5:E$14987, UCDEffortSpread!D9, Hybrid!B$5:B$14987,Definition!C$15,Hybrid!D$5:D$14987,Definition!G$3), 0)</f>
        <v>0</v>
      </c>
      <c r="P533" s="68">
        <f>IF(compute_ManualOverrideHybrid="No", COUNTIFS(Hybrid!E$5:E$14987, UCDEffortSpread!D8, Hybrid!B$5:B$14987,Definition!C$15,Hybrid!D$5:D$14987,Definition!H$3),0)</f>
        <v>0</v>
      </c>
      <c r="Q533" s="68">
        <f>IF(compute_ManualOverrideHybrid="No", COUNTIFS(Hybrid!E$5:E$14987, UCDEffortSpread!D9, Hybrid!B$5:B$14987,Definition!C$15,Hybrid!D$5:D$14987,Definition!I$3), 0)</f>
        <v>0</v>
      </c>
      <c r="R533" s="204">
        <f>(Definition!M533*Definition!E$15)</f>
        <v>0</v>
      </c>
      <c r="S533" s="204">
        <f>(Definition!N533*Definition!F$15)</f>
        <v>0</v>
      </c>
      <c r="T533" s="204">
        <f>(Definition!O533*Definition!G$15)</f>
        <v>0</v>
      </c>
      <c r="U533" s="204">
        <f>(Definition!P533*Definition!H$15)</f>
        <v>0</v>
      </c>
      <c r="V533" s="204">
        <f>(Definition!Q533*Definition!I$15)</f>
        <v>0</v>
      </c>
      <c r="W533" s="203">
        <f t="shared" si="46"/>
        <v>0</v>
      </c>
      <c r="X533" s="207">
        <f t="shared" si="45"/>
        <v>0</v>
      </c>
    </row>
    <row r="534" spans="12:24">
      <c r="L534" s="423"/>
      <c r="M534" s="68">
        <f>IF(compute_ManualOverrideHybrid="No", COUNTIFS(Hybrid!E$5:E$14987, UCDEffortSpread!D10, Hybrid!B$5:B$14987,Definition!C$15,Hybrid!D$5:D$14987,Definition!E$3),0)</f>
        <v>0</v>
      </c>
      <c r="N534" s="68">
        <f>IF(compute_ManualOverrideHybrid="No", COUNTIFS(Hybrid!E$5:E$14987, UCDEffortSpread!D10, Hybrid!B$5:B$14987,Definition!C$15,Hybrid!D$5:D$14987,Definition!F$3), 0)</f>
        <v>0</v>
      </c>
      <c r="O534" s="68">
        <f>IF(compute_ManualOverrideHybrid="No", COUNTIFS(Hybrid!E$5:E$14987, UCDEffortSpread!D10, Hybrid!B$5:B$14987,Definition!C$15,Hybrid!D$5:D$14987,Definition!G$3), 0)</f>
        <v>0</v>
      </c>
      <c r="P534" s="68">
        <f>IF(compute_ManualOverrideHybrid="No", COUNTIFS(Hybrid!E$5:E$14987, UCDEffortSpread!D9, Hybrid!B$5:B$14987,Definition!C$15,Hybrid!D$5:D$14987,Definition!H$3),0)</f>
        <v>0</v>
      </c>
      <c r="Q534" s="68">
        <f>IF(compute_ManualOverrideHybrid="No", COUNTIFS(Hybrid!E$5:E$14987, UCDEffortSpread!D10, Hybrid!B$5:B$14987,Definition!C$15,Hybrid!D$5:D$14987,Definition!I$3), 0)</f>
        <v>0</v>
      </c>
      <c r="R534" s="204">
        <f>(Definition!M534*Definition!E$15)</f>
        <v>0</v>
      </c>
      <c r="S534" s="204">
        <f>(Definition!N534*Definition!F$15)</f>
        <v>0</v>
      </c>
      <c r="T534" s="204">
        <f>(Definition!O534*Definition!G$15)</f>
        <v>0</v>
      </c>
      <c r="U534" s="204">
        <f>(Definition!P534*Definition!H$15)</f>
        <v>0</v>
      </c>
      <c r="V534" s="204">
        <f>(Definition!Q534*Definition!I$15)</f>
        <v>0</v>
      </c>
      <c r="W534" s="203">
        <f t="shared" si="46"/>
        <v>0</v>
      </c>
      <c r="X534" s="207">
        <f t="shared" si="45"/>
        <v>0</v>
      </c>
    </row>
    <row r="535" spans="12:24">
      <c r="L535" s="423"/>
      <c r="M535" s="68">
        <f>IF(compute_ManualOverrideHybrid="No", COUNTIFS(Hybrid!E$5:E$14987, UCDEffortSpread!D11, Hybrid!B$5:B$14987,Definition!C$15,Hybrid!D$5:D$14987,Definition!E$3),0)</f>
        <v>0</v>
      </c>
      <c r="N535" s="68">
        <f>IF(compute_ManualOverrideHybrid="No", COUNTIFS(Hybrid!E$5:E$14987, UCDEffortSpread!D11, Hybrid!B$5:B$14987,Definition!C$15,Hybrid!D$5:D$14987,Definition!F$3), 0)</f>
        <v>0</v>
      </c>
      <c r="O535" s="68">
        <f>IF(compute_ManualOverrideHybrid="No", COUNTIFS(Hybrid!E$5:E$14987, UCDEffortSpread!D11, Hybrid!B$5:B$14987,Definition!C$15,Hybrid!D$5:D$14987,Definition!G$3), 0)</f>
        <v>0</v>
      </c>
      <c r="P535" s="68">
        <f>IF(compute_ManualOverrideHybrid="No", COUNTIFS(Hybrid!E$5:E$14987, UCDEffortSpread!D10, Hybrid!B$5:B$14987,Definition!C$15,Hybrid!D$5:D$14987,Definition!H$3),0)</f>
        <v>0</v>
      </c>
      <c r="Q535" s="68">
        <f>IF(compute_ManualOverrideHybrid="No", COUNTIFS(Hybrid!E$5:E$14987, UCDEffortSpread!D11, Hybrid!B$5:B$14987,Definition!C$15,Hybrid!D$5:D$14987,Definition!I$3), 0)</f>
        <v>0</v>
      </c>
      <c r="R535" s="204">
        <f>(Definition!M535*Definition!E$15)</f>
        <v>0</v>
      </c>
      <c r="S535" s="204">
        <f>(Definition!N535*Definition!F$15)</f>
        <v>0</v>
      </c>
      <c r="T535" s="204">
        <f>(Definition!O535*Definition!G$15)</f>
        <v>0</v>
      </c>
      <c r="U535" s="204">
        <f>(Definition!P535*Definition!H$15)</f>
        <v>0</v>
      </c>
      <c r="V535" s="204">
        <f>(Definition!Q535*Definition!I$15)</f>
        <v>0</v>
      </c>
      <c r="W535" s="203">
        <f t="shared" si="46"/>
        <v>0</v>
      </c>
      <c r="X535" s="207">
        <f t="shared" si="45"/>
        <v>0</v>
      </c>
    </row>
    <row r="536" spans="12:24">
      <c r="L536" s="423"/>
      <c r="M536" s="68">
        <f>IF(compute_ManualOverrideHybrid="No", COUNTIFS(Hybrid!E$5:E$14987, UCDEffortSpread!D12, Hybrid!B$5:B$14987,Definition!C$15,Hybrid!D$5:D$14987,Definition!E$3),0)</f>
        <v>0</v>
      </c>
      <c r="N536" s="68">
        <f>IF(compute_ManualOverrideHybrid="No", COUNTIFS(Hybrid!E$5:E$14987, UCDEffortSpread!D12, Hybrid!B$5:B$14987,Definition!C$15,Hybrid!D$5:D$14987,Definition!F$3), 0)</f>
        <v>0</v>
      </c>
      <c r="O536" s="68">
        <f>IF(compute_ManualOverrideHybrid="No", COUNTIFS(Hybrid!E$5:E$14987, UCDEffortSpread!D12, Hybrid!B$5:B$14987,Definition!C$15,Hybrid!D$5:D$14987,Definition!G$3), 0)</f>
        <v>0</v>
      </c>
      <c r="P536" s="68">
        <f>IF(compute_ManualOverrideHybrid="No", COUNTIFS(Hybrid!E$5:E$14987, UCDEffortSpread!D11, Hybrid!B$5:B$14987,Definition!C$15,Hybrid!D$5:D$14987,Definition!H$3),0)</f>
        <v>0</v>
      </c>
      <c r="Q536" s="68">
        <f>IF(compute_ManualOverrideHybrid="No", COUNTIFS(Hybrid!E$5:E$14987, UCDEffortSpread!D12, Hybrid!B$5:B$14987,Definition!C$15,Hybrid!D$5:D$14987,Definition!I$3), 0)</f>
        <v>0</v>
      </c>
      <c r="R536" s="204">
        <f>(Definition!M536*Definition!E$15)</f>
        <v>0</v>
      </c>
      <c r="S536" s="204">
        <f>(Definition!N536*Definition!F$15)</f>
        <v>0</v>
      </c>
      <c r="T536" s="204">
        <f>(Definition!O536*Definition!G$15)</f>
        <v>0</v>
      </c>
      <c r="U536" s="204">
        <f>(Definition!P536*Definition!H$15)</f>
        <v>0</v>
      </c>
      <c r="V536" s="204">
        <f>(Definition!Q536*Definition!I$15)</f>
        <v>0</v>
      </c>
      <c r="W536" s="203">
        <f t="shared" si="46"/>
        <v>0</v>
      </c>
      <c r="X536" s="207">
        <f t="shared" si="45"/>
        <v>0</v>
      </c>
    </row>
    <row r="537" spans="12:24">
      <c r="L537" s="423"/>
      <c r="M537" s="68">
        <f>IF(compute_ManualOverrideHybrid="No", COUNTIFS(Hybrid!E$5:E$14987, UCDEffortSpread!D13, Hybrid!B$5:B$14987,Definition!C$15,Hybrid!D$5:D$14987,Definition!E$3),0)</f>
        <v>0</v>
      </c>
      <c r="N537" s="68">
        <f>IF(compute_ManualOverrideHybrid="No", COUNTIFS(Hybrid!E$5:E$14987, UCDEffortSpread!D13, Hybrid!B$5:B$14987,Definition!C$15,Hybrid!D$5:D$14987,Definition!F$3), 0)</f>
        <v>0</v>
      </c>
      <c r="O537" s="68">
        <f>IF(compute_ManualOverrideHybrid="No", COUNTIFS(Hybrid!E$5:E$14987, UCDEffortSpread!D13, Hybrid!B$5:B$14987,Definition!C$15,Hybrid!D$5:D$14987,Definition!G$3), 0)</f>
        <v>0</v>
      </c>
      <c r="P537" s="68">
        <f>IF(compute_ManualOverrideHybrid="No", COUNTIFS(Hybrid!E$5:E$14987, UCDEffortSpread!D12, Hybrid!B$5:B$14987,Definition!C$15,Hybrid!D$5:D$14987,Definition!H$3),0)</f>
        <v>0</v>
      </c>
      <c r="Q537" s="68">
        <f>IF(compute_ManualOverrideHybrid="No", COUNTIFS(Hybrid!E$5:E$14987, UCDEffortSpread!D13, Hybrid!B$5:B$14987,Definition!C$15,Hybrid!D$5:D$14987,Definition!I$3), 0)</f>
        <v>0</v>
      </c>
      <c r="R537" s="204">
        <f>(Definition!M537*Definition!E$15)</f>
        <v>0</v>
      </c>
      <c r="S537" s="204">
        <f>(Definition!N537*Definition!F$15)</f>
        <v>0</v>
      </c>
      <c r="T537" s="204">
        <f>(Definition!O537*Definition!G$15)</f>
        <v>0</v>
      </c>
      <c r="U537" s="204">
        <f>(Definition!P537*Definition!H$15)</f>
        <v>0</v>
      </c>
      <c r="V537" s="204">
        <f>(Definition!Q537*Definition!I$15)</f>
        <v>0</v>
      </c>
      <c r="W537" s="203">
        <f t="shared" si="46"/>
        <v>0</v>
      </c>
      <c r="X537" s="207">
        <f t="shared" si="45"/>
        <v>0</v>
      </c>
    </row>
    <row r="538" spans="12:24">
      <c r="L538" s="423"/>
      <c r="M538" s="68">
        <f>IF(compute_ManualOverrideHybrid="No", COUNTIFS(Hybrid!E$5:E$14987, UCDEffortSpread!D14, Hybrid!B$5:B$14987,Definition!C$15,Hybrid!D$5:D$14987,Definition!E$3),0)</f>
        <v>0</v>
      </c>
      <c r="N538" s="68">
        <f>IF(compute_ManualOverrideHybrid="No", COUNTIFS(Hybrid!E$5:E$14987, UCDEffortSpread!D14, Hybrid!B$5:B$14987,Definition!C$15,Hybrid!D$5:D$14987,Definition!F$3), 0)</f>
        <v>0</v>
      </c>
      <c r="O538" s="68">
        <f>IF(compute_ManualOverrideHybrid="No", COUNTIFS(Hybrid!E$5:E$14987, UCDEffortSpread!D14, Hybrid!B$5:B$14987,Definition!C$15,Hybrid!D$5:D$14987,Definition!G$3), 0)</f>
        <v>0</v>
      </c>
      <c r="P538" s="68">
        <f>IF(compute_ManualOverrideHybrid="No", COUNTIFS(Hybrid!E$5:E$14987, UCDEffortSpread!D13, Hybrid!B$5:B$14987,Definition!C$15,Hybrid!D$5:D$14987,Definition!H$3),0)</f>
        <v>0</v>
      </c>
      <c r="Q538" s="68">
        <f>IF(compute_ManualOverrideHybrid="No", COUNTIFS(Hybrid!E$5:E$14987, UCDEffortSpread!D14, Hybrid!B$5:B$14987,Definition!C$15,Hybrid!D$5:D$14987,Definition!I$3), 0)</f>
        <v>0</v>
      </c>
      <c r="R538" s="204">
        <f>(Definition!M538*Definition!E$15)</f>
        <v>0</v>
      </c>
      <c r="S538" s="204">
        <f>(Definition!N538*Definition!F$15)</f>
        <v>0</v>
      </c>
      <c r="T538" s="204">
        <f>(Definition!O538*Definition!G$15)</f>
        <v>0</v>
      </c>
      <c r="U538" s="204">
        <f>(Definition!P538*Definition!H$15)</f>
        <v>0</v>
      </c>
      <c r="V538" s="204">
        <f>(Definition!Q538*Definition!I$15)</f>
        <v>0</v>
      </c>
      <c r="W538" s="203">
        <f t="shared" si="46"/>
        <v>0</v>
      </c>
      <c r="X538" s="207">
        <f t="shared" si="45"/>
        <v>0</v>
      </c>
    </row>
    <row r="539" spans="12:24">
      <c r="L539" s="423"/>
      <c r="M539" s="68">
        <f>IF(compute_ManualOverrideHybrid="No", COUNTIFS(Hybrid!E$5:E$14987, UCDEffortSpread!D15, Hybrid!B$5:B$14987,Definition!C$15,Hybrid!D$5:D$14987,Definition!E$3),0)</f>
        <v>0</v>
      </c>
      <c r="N539" s="68">
        <f>IF(compute_ManualOverrideHybrid="No", COUNTIFS(Hybrid!E$5:E$14987, UCDEffortSpread!D15, Hybrid!B$5:B$14987,Definition!C$15,Hybrid!D$5:D$14987,Definition!F$3), 0)</f>
        <v>0</v>
      </c>
      <c r="O539" s="68">
        <f>IF(compute_ManualOverrideHybrid="No", COUNTIFS(Hybrid!E$5:E$14987, UCDEffortSpread!D15, Hybrid!B$5:B$14987,Definition!C$15,Hybrid!D$5:D$14987,Definition!G$3), 0)</f>
        <v>0</v>
      </c>
      <c r="P539" s="68">
        <f>IF(compute_ManualOverrideHybrid="No", COUNTIFS(Hybrid!E$5:E$14987, UCDEffortSpread!D14, Hybrid!B$5:B$14987,Definition!C$15,Hybrid!D$5:D$14987,Definition!H$3),0)</f>
        <v>0</v>
      </c>
      <c r="Q539" s="68">
        <f>IF(compute_ManualOverrideHybrid="No", COUNTIFS(Hybrid!E$5:E$14987, UCDEffortSpread!D15, Hybrid!B$5:B$14987,Definition!C$15,Hybrid!D$5:D$14987,Definition!I$3), 0)</f>
        <v>0</v>
      </c>
      <c r="R539" s="204">
        <f>(Definition!M539*Definition!E$15)</f>
        <v>0</v>
      </c>
      <c r="S539" s="204">
        <f>(Definition!N539*Definition!F$15)</f>
        <v>0</v>
      </c>
      <c r="T539" s="204">
        <f>(Definition!O539*Definition!G$15)</f>
        <v>0</v>
      </c>
      <c r="U539" s="204">
        <f>(Definition!P539*Definition!H$15)</f>
        <v>0</v>
      </c>
      <c r="V539" s="204">
        <f>(Definition!Q539*Definition!I$15)</f>
        <v>0</v>
      </c>
      <c r="W539" s="203">
        <f t="shared" si="46"/>
        <v>0</v>
      </c>
      <c r="X539" s="207">
        <f t="shared" si="45"/>
        <v>0</v>
      </c>
    </row>
    <row r="540" spans="12:24">
      <c r="L540" s="423"/>
      <c r="M540" s="68">
        <f>IF(compute_ManualOverrideHybrid="No", COUNTIFS(Hybrid!E$5:E$14987, UCDEffortSpread!D16, Hybrid!B$5:B$14987,Definition!C$15,Hybrid!D$5:D$14987,Definition!E$3),0)</f>
        <v>0</v>
      </c>
      <c r="N540" s="68">
        <f>IF(compute_ManualOverrideHybrid="No", COUNTIFS(Hybrid!E$5:E$14987, UCDEffortSpread!D16, Hybrid!B$5:B$14987,Definition!C$15,Hybrid!D$5:D$14987,Definition!F$3), 0)</f>
        <v>0</v>
      </c>
      <c r="O540" s="68">
        <f>IF(compute_ManualOverrideHybrid="No", COUNTIFS(Hybrid!E$5:E$14987, UCDEffortSpread!D16, Hybrid!B$5:B$14987,Definition!C$15,Hybrid!D$5:D$14987,Definition!G$3), 0)</f>
        <v>0</v>
      </c>
      <c r="P540" s="68">
        <f>IF(compute_ManualOverrideHybrid="No", COUNTIFS(Hybrid!E$5:E$14987, UCDEffortSpread!D15, Hybrid!B$5:B$14987,Definition!C$15,Hybrid!D$5:D$14987,Definition!H$3),0)</f>
        <v>0</v>
      </c>
      <c r="Q540" s="68">
        <f>IF(compute_ManualOverrideHybrid="No", COUNTIFS(Hybrid!E$5:E$14987, UCDEffortSpread!D16, Hybrid!B$5:B$14987,Definition!C$15,Hybrid!D$5:D$14987,Definition!I$3), 0)</f>
        <v>0</v>
      </c>
      <c r="R540" s="204">
        <f>(Definition!M540*Definition!E$15)</f>
        <v>0</v>
      </c>
      <c r="S540" s="204">
        <f>(Definition!N540*Definition!F$15)</f>
        <v>0</v>
      </c>
      <c r="T540" s="204">
        <f>(Definition!O540*Definition!G$15)</f>
        <v>0</v>
      </c>
      <c r="U540" s="204">
        <f>(Definition!P540*Definition!H$15)</f>
        <v>0</v>
      </c>
      <c r="V540" s="204">
        <f>(Definition!Q540*Definition!I$15)</f>
        <v>0</v>
      </c>
      <c r="W540" s="203">
        <f t="shared" si="46"/>
        <v>0</v>
      </c>
      <c r="X540" s="207">
        <f t="shared" si="45"/>
        <v>0</v>
      </c>
    </row>
    <row r="541" spans="12:24">
      <c r="L541" s="423"/>
      <c r="M541" s="68">
        <f>IF(compute_ManualOverrideHybrid="No", COUNTIFS(Hybrid!E$5:E$14987, UCDEffortSpread!D17, Hybrid!B$5:B$14987,Definition!C$15,Hybrid!D$5:D$14987,Definition!E$3),0)</f>
        <v>0</v>
      </c>
      <c r="N541" s="68">
        <f>IF(compute_ManualOverrideHybrid="No", COUNTIFS(Hybrid!E$5:E$14987, UCDEffortSpread!D17, Hybrid!B$5:B$14987,Definition!C$15,Hybrid!D$5:D$14987,Definition!F$3), 0)</f>
        <v>0</v>
      </c>
      <c r="O541" s="68">
        <f>IF(compute_ManualOverrideHybrid="No", COUNTIFS(Hybrid!E$5:E$14987, UCDEffortSpread!D17, Hybrid!B$5:B$14987,Definition!C$15,Hybrid!D$5:D$14987,Definition!G$3), 0)</f>
        <v>0</v>
      </c>
      <c r="P541" s="68">
        <f>IF(compute_ManualOverrideHybrid="No", COUNTIFS(Hybrid!E$5:E$14987, UCDEffortSpread!D16, Hybrid!B$5:B$14987,Definition!C$15,Hybrid!D$5:D$14987,Definition!H$3),0)</f>
        <v>0</v>
      </c>
      <c r="Q541" s="68">
        <f>IF(compute_ManualOverrideHybrid="No", COUNTIFS(Hybrid!E$5:E$14987, UCDEffortSpread!D17, Hybrid!B$5:B$14987,Definition!C$15,Hybrid!D$5:D$14987,Definition!I$3), 0)</f>
        <v>0</v>
      </c>
      <c r="R541" s="204">
        <f>(Definition!M541*Definition!E$15)</f>
        <v>0</v>
      </c>
      <c r="S541" s="204">
        <f>(Definition!N541*Definition!F$15)</f>
        <v>0</v>
      </c>
      <c r="T541" s="204">
        <f>(Definition!O541*Definition!G$15)</f>
        <v>0</v>
      </c>
      <c r="U541" s="204">
        <f>(Definition!P541*Definition!H$15)</f>
        <v>0</v>
      </c>
      <c r="V541" s="204">
        <f>(Definition!Q541*Definition!I$15)</f>
        <v>0</v>
      </c>
      <c r="W541" s="203">
        <f t="shared" si="46"/>
        <v>0</v>
      </c>
      <c r="X541" s="207">
        <f t="shared" si="45"/>
        <v>0</v>
      </c>
    </row>
    <row r="542" spans="12:24">
      <c r="L542" s="423"/>
      <c r="M542" s="68">
        <f>IF(compute_ManualOverrideHybrid="No", COUNTIFS(Hybrid!E$5:E$14987, UCDEffortSpread!D18, Hybrid!B$5:B$14987,Definition!C$15,Hybrid!D$5:D$14987,Definition!E$3),0)</f>
        <v>0</v>
      </c>
      <c r="N542" s="68">
        <f>IF(compute_ManualOverrideHybrid="No", COUNTIFS(Hybrid!E$5:E$14987, UCDEffortSpread!D18, Hybrid!B$5:B$14987,Definition!C$15,Hybrid!D$5:D$14987,Definition!F$3), 0)</f>
        <v>0</v>
      </c>
      <c r="O542" s="68">
        <f>IF(compute_ManualOverrideHybrid="No", COUNTIFS(Hybrid!E$5:E$14987, UCDEffortSpread!D18, Hybrid!B$5:B$14987,Definition!C$15,Hybrid!D$5:D$14987,Definition!G$3), 0)</f>
        <v>0</v>
      </c>
      <c r="P542" s="68">
        <f>IF(compute_ManualOverrideHybrid="No", COUNTIFS(Hybrid!E$5:E$14987, UCDEffortSpread!D17, Hybrid!B$5:B$14987,Definition!C$15,Hybrid!D$5:D$14987,Definition!H$3),0)</f>
        <v>0</v>
      </c>
      <c r="Q542" s="68">
        <f>IF(compute_ManualOverrideHybrid="No", COUNTIFS(Hybrid!E$5:E$14987, UCDEffortSpread!D18, Hybrid!B$5:B$14987,Definition!C$15,Hybrid!D$5:D$14987,Definition!I$3), 0)</f>
        <v>0</v>
      </c>
      <c r="R542" s="204">
        <f>(Definition!M542*Definition!E$15)</f>
        <v>0</v>
      </c>
      <c r="S542" s="204">
        <f>(Definition!N542*Definition!F$15)</f>
        <v>0</v>
      </c>
      <c r="T542" s="204">
        <f>(Definition!O542*Definition!G$15)</f>
        <v>0</v>
      </c>
      <c r="U542" s="204">
        <f>(Definition!P542*Definition!H$15)</f>
        <v>0</v>
      </c>
      <c r="V542" s="204">
        <f>(Definition!Q542*Definition!I$15)</f>
        <v>0</v>
      </c>
      <c r="W542" s="203">
        <f t="shared" si="46"/>
        <v>0</v>
      </c>
      <c r="X542" s="207">
        <f t="shared" si="45"/>
        <v>0</v>
      </c>
    </row>
    <row r="543" spans="12:24">
      <c r="L543" s="423"/>
      <c r="M543" s="68">
        <f>IF(compute_ManualOverrideHybrid="No", COUNTIFS(Hybrid!E$5:E$14987, UCDEffortSpread!D19, Hybrid!B$5:B$14987,Definition!C$15,Hybrid!D$5:D$14987,Definition!E$3),0)</f>
        <v>0</v>
      </c>
      <c r="N543" s="68">
        <f>IF(compute_ManualOverrideHybrid="No", COUNTIFS(Hybrid!E$5:E$14987, UCDEffortSpread!D19, Hybrid!B$5:B$14987,Definition!C$15,Hybrid!D$5:D$14987,Definition!F$3), 0)</f>
        <v>0</v>
      </c>
      <c r="O543" s="68">
        <f>IF(compute_ManualOverrideHybrid="No", COUNTIFS(Hybrid!E$5:E$14987, UCDEffortSpread!D19, Hybrid!B$5:B$14987,Definition!C$15,Hybrid!D$5:D$14987,Definition!G$3), 0)</f>
        <v>0</v>
      </c>
      <c r="P543" s="68">
        <f>IF(compute_ManualOverrideHybrid="No", COUNTIFS(Hybrid!E$5:E$14987, UCDEffortSpread!D18, Hybrid!B$5:B$14987,Definition!C$15,Hybrid!D$5:D$14987,Definition!H$3),0)</f>
        <v>0</v>
      </c>
      <c r="Q543" s="68">
        <f>IF(compute_ManualOverrideHybrid="No", COUNTIFS(Hybrid!E$5:E$14987, UCDEffortSpread!D19, Hybrid!B$5:B$14987,Definition!C$15,Hybrid!D$5:D$14987,Definition!I$3), 0)</f>
        <v>0</v>
      </c>
      <c r="R543" s="204">
        <f>(Definition!M543*Definition!E$15)</f>
        <v>0</v>
      </c>
      <c r="S543" s="204">
        <f>(Definition!N543*Definition!F$15)</f>
        <v>0</v>
      </c>
      <c r="T543" s="204">
        <f>(Definition!O543*Definition!G$15)</f>
        <v>0</v>
      </c>
      <c r="U543" s="204">
        <f>(Definition!P543*Definition!H$15)</f>
        <v>0</v>
      </c>
      <c r="V543" s="204">
        <f>(Definition!Q543*Definition!I$15)</f>
        <v>0</v>
      </c>
      <c r="W543" s="203">
        <f t="shared" si="46"/>
        <v>0</v>
      </c>
      <c r="X543" s="207">
        <f t="shared" si="45"/>
        <v>0</v>
      </c>
    </row>
    <row r="544" spans="12:24">
      <c r="L544" s="423"/>
      <c r="M544" s="68">
        <f>IF(compute_ManualOverrideHybrid="No", COUNTIFS(Hybrid!E$5:E$14987, UCDEffortSpread!D20, Hybrid!B$5:B$14987,Definition!C$15,Hybrid!D$5:D$14987,Definition!E$3),0)</f>
        <v>0</v>
      </c>
      <c r="N544" s="68">
        <f>IF(compute_ManualOverrideHybrid="No", COUNTIFS(Hybrid!E$5:E$14987, UCDEffortSpread!D20, Hybrid!B$5:B$14987,Definition!C$15,Hybrid!D$5:D$14987,Definition!F$3), 0)</f>
        <v>0</v>
      </c>
      <c r="O544" s="68">
        <f>IF(compute_ManualOverrideHybrid="No", COUNTIFS(Hybrid!E$5:E$14987, UCDEffortSpread!D20, Hybrid!B$5:B$14987,Definition!C$15,Hybrid!D$5:D$14987,Definition!G$3), 0)</f>
        <v>0</v>
      </c>
      <c r="P544" s="68">
        <f>IF(compute_ManualOverrideHybrid="No", COUNTIFS(Hybrid!E$5:E$14987, UCDEffortSpread!D19, Hybrid!B$5:B$14987,Definition!C$15,Hybrid!D$5:D$14987,Definition!H$3),0)</f>
        <v>0</v>
      </c>
      <c r="Q544" s="68">
        <f>IF(compute_ManualOverrideHybrid="No", COUNTIFS(Hybrid!E$5:E$14987, UCDEffortSpread!D20, Hybrid!B$5:B$14987,Definition!C$15,Hybrid!D$5:D$14987,Definition!I$3), 0)</f>
        <v>0</v>
      </c>
      <c r="R544" s="204">
        <f>(Definition!M544*Definition!E$15)</f>
        <v>0</v>
      </c>
      <c r="S544" s="204">
        <f>(Definition!N544*Definition!F$15)</f>
        <v>0</v>
      </c>
      <c r="T544" s="204">
        <f>(Definition!O544*Definition!G$15)</f>
        <v>0</v>
      </c>
      <c r="U544" s="204">
        <f>(Definition!P544*Definition!H$15)</f>
        <v>0</v>
      </c>
      <c r="V544" s="204">
        <f>(Definition!Q544*Definition!I$15)</f>
        <v>0</v>
      </c>
      <c r="W544" s="203">
        <f t="shared" ref="W544:W578" si="47">SUM(R544:V544)</f>
        <v>0</v>
      </c>
      <c r="X544" s="207">
        <f t="shared" si="45"/>
        <v>0</v>
      </c>
    </row>
    <row r="545" spans="12:24">
      <c r="L545" s="423"/>
      <c r="M545" s="68">
        <f>IF(compute_ManualOverrideHybrid="No", COUNTIFS(Hybrid!E$5:E$14987, UCDEffortSpread!D21, Hybrid!B$5:B$14987,Definition!C$15,Hybrid!D$5:D$14987,Definition!E$3),0)</f>
        <v>0</v>
      </c>
      <c r="N545" s="68">
        <f>IF(compute_ManualOverrideHybrid="No", COUNTIFS(Hybrid!E$5:E$14987, UCDEffortSpread!D21, Hybrid!B$5:B$14987,Definition!C$15,Hybrid!D$5:D$14987,Definition!F$3), 0)</f>
        <v>0</v>
      </c>
      <c r="O545" s="68">
        <f>IF(compute_ManualOverrideHybrid="No", COUNTIFS(Hybrid!E$5:E$14987, UCDEffortSpread!D21, Hybrid!B$5:B$14987,Definition!C$15,Hybrid!D$5:D$14987,Definition!G$3), 0)</f>
        <v>0</v>
      </c>
      <c r="P545" s="68">
        <f>IF(compute_ManualOverrideHybrid="No", COUNTIFS(Hybrid!E$5:E$14987, UCDEffortSpread!D20, Hybrid!B$5:B$14987,Definition!C$15,Hybrid!D$5:D$14987,Definition!H$3),0)</f>
        <v>0</v>
      </c>
      <c r="Q545" s="68">
        <f>IF(compute_ManualOverrideHybrid="No", COUNTIFS(Hybrid!E$5:E$14987, UCDEffortSpread!D21, Hybrid!B$5:B$14987,Definition!C$15,Hybrid!D$5:D$14987,Definition!I$3), 0)</f>
        <v>0</v>
      </c>
      <c r="R545" s="204">
        <f>(Definition!M545*Definition!E$15)</f>
        <v>0</v>
      </c>
      <c r="S545" s="204">
        <f>(Definition!N545*Definition!F$15)</f>
        <v>0</v>
      </c>
      <c r="T545" s="204">
        <f>(Definition!O545*Definition!G$15)</f>
        <v>0</v>
      </c>
      <c r="U545" s="204">
        <f>(Definition!P545*Definition!H$15)</f>
        <v>0</v>
      </c>
      <c r="V545" s="204">
        <f>(Definition!Q545*Definition!I$15)</f>
        <v>0</v>
      </c>
      <c r="W545" s="203">
        <f t="shared" si="47"/>
        <v>0</v>
      </c>
      <c r="X545" s="207">
        <f t="shared" si="45"/>
        <v>0</v>
      </c>
    </row>
    <row r="546" spans="12:24">
      <c r="L546" s="423"/>
      <c r="M546" s="68">
        <f>IF(compute_ManualOverrideHybrid="No", COUNTIFS(Hybrid!E$5:E$14987, UCDEffortSpread!D22, Hybrid!B$5:B$14987,Definition!C$15,Hybrid!D$5:D$14987,Definition!E$3),0)</f>
        <v>0</v>
      </c>
      <c r="N546" s="68">
        <f>IF(compute_ManualOverrideHybrid="No", COUNTIFS(Hybrid!E$5:E$14987, UCDEffortSpread!D22, Hybrid!B$5:B$14987,Definition!C$15,Hybrid!D$5:D$14987,Definition!F$3), 0)</f>
        <v>0</v>
      </c>
      <c r="O546" s="68">
        <f>IF(compute_ManualOverrideHybrid="No", COUNTIFS(Hybrid!E$5:E$14987, UCDEffortSpread!D22, Hybrid!B$5:B$14987,Definition!C$15,Hybrid!D$5:D$14987,Definition!G$3), 0)</f>
        <v>0</v>
      </c>
      <c r="P546" s="68">
        <f>IF(compute_ManualOverrideHybrid="No", COUNTIFS(Hybrid!E$5:E$14987, UCDEffortSpread!D21, Hybrid!B$5:B$14987,Definition!C$15,Hybrid!D$5:D$14987,Definition!H$3),0)</f>
        <v>0</v>
      </c>
      <c r="Q546" s="68">
        <f>IF(compute_ManualOverrideHybrid="No", COUNTIFS(Hybrid!E$5:E$14987, UCDEffortSpread!D22, Hybrid!B$5:B$14987,Definition!C$15,Hybrid!D$5:D$14987,Definition!I$3), 0)</f>
        <v>0</v>
      </c>
      <c r="R546" s="204">
        <f>(Definition!M546*Definition!E$15)</f>
        <v>0</v>
      </c>
      <c r="S546" s="204">
        <f>(Definition!N546*Definition!F$15)</f>
        <v>0</v>
      </c>
      <c r="T546" s="204">
        <f>(Definition!O546*Definition!G$15)</f>
        <v>0</v>
      </c>
      <c r="U546" s="204">
        <f>(Definition!P546*Definition!H$15)</f>
        <v>0</v>
      </c>
      <c r="V546" s="204">
        <f>(Definition!Q546*Definition!I$15)</f>
        <v>0</v>
      </c>
      <c r="W546" s="203">
        <f t="shared" si="47"/>
        <v>0</v>
      </c>
      <c r="X546" s="207">
        <f t="shared" si="45"/>
        <v>0</v>
      </c>
    </row>
    <row r="547" spans="12:24">
      <c r="L547" s="423"/>
      <c r="M547" s="68">
        <f>IF(compute_ManualOverrideHybrid="No", COUNTIFS(Hybrid!E$5:E$14987, UCDEffortSpread!D23, Hybrid!B$5:B$14987,Definition!C$15,Hybrid!D$5:D$14987,Definition!E$3),0)</f>
        <v>0</v>
      </c>
      <c r="N547" s="68">
        <f>IF(compute_ManualOverrideHybrid="No", COUNTIFS(Hybrid!E$5:E$14987, UCDEffortSpread!D23, Hybrid!B$5:B$14987,Definition!C$15,Hybrid!D$5:D$14987,Definition!F$3), 0)</f>
        <v>0</v>
      </c>
      <c r="O547" s="68">
        <f>IF(compute_ManualOverrideHybrid="No", COUNTIFS(Hybrid!E$5:E$14987, UCDEffortSpread!D23, Hybrid!B$5:B$14987,Definition!C$15,Hybrid!D$5:D$14987,Definition!G$3), 0)</f>
        <v>0</v>
      </c>
      <c r="P547" s="68">
        <f>IF(compute_ManualOverrideHybrid="No", COUNTIFS(Hybrid!E$5:E$14987, UCDEffortSpread!D22, Hybrid!B$5:B$14987,Definition!C$15,Hybrid!D$5:D$14987,Definition!H$3),0)</f>
        <v>0</v>
      </c>
      <c r="Q547" s="68">
        <f>IF(compute_ManualOverrideHybrid="No", COUNTIFS(Hybrid!E$5:E$14987, UCDEffortSpread!D23, Hybrid!B$5:B$14987,Definition!C$15,Hybrid!D$5:D$14987,Definition!I$3), 0)</f>
        <v>0</v>
      </c>
      <c r="R547" s="204">
        <f>(Definition!M547*Definition!E$15)</f>
        <v>0</v>
      </c>
      <c r="S547" s="204">
        <f>(Definition!N547*Definition!F$15)</f>
        <v>0</v>
      </c>
      <c r="T547" s="204">
        <f>(Definition!O547*Definition!G$15)</f>
        <v>0</v>
      </c>
      <c r="U547" s="204">
        <f>(Definition!P547*Definition!H$15)</f>
        <v>0</v>
      </c>
      <c r="V547" s="204">
        <f>(Definition!Q547*Definition!I$15)</f>
        <v>0</v>
      </c>
      <c r="W547" s="203">
        <f t="shared" si="47"/>
        <v>0</v>
      </c>
      <c r="X547" s="207">
        <f t="shared" si="45"/>
        <v>0</v>
      </c>
    </row>
    <row r="548" spans="12:24">
      <c r="L548" s="423"/>
      <c r="M548" s="68">
        <f>IF(compute_ManualOverrideHybrid="No", COUNTIFS(Hybrid!E$5:E$14987, UCDEffortSpread!D24, Hybrid!B$5:B$14987,Definition!C$15,Hybrid!D$5:D$14987,Definition!E$3),0)</f>
        <v>0</v>
      </c>
      <c r="N548" s="68">
        <f>IF(compute_ManualOverrideHybrid="No", COUNTIFS(Hybrid!E$5:E$14987, UCDEffortSpread!D24, Hybrid!B$5:B$14987,Definition!C$15,Hybrid!D$5:D$14987,Definition!F$3), 0)</f>
        <v>0</v>
      </c>
      <c r="O548" s="68">
        <f>IF(compute_ManualOverrideHybrid="No", COUNTIFS(Hybrid!E$5:E$14987, UCDEffortSpread!D24, Hybrid!B$5:B$14987,Definition!C$15,Hybrid!D$5:D$14987,Definition!G$3), 0)</f>
        <v>0</v>
      </c>
      <c r="P548" s="68">
        <f>IF(compute_ManualOverrideHybrid="No", COUNTIFS(Hybrid!E$5:E$14987, UCDEffortSpread!D23, Hybrid!B$5:B$14987,Definition!C$15,Hybrid!D$5:D$14987,Definition!H$3),0)</f>
        <v>0</v>
      </c>
      <c r="Q548" s="68">
        <f>IF(compute_ManualOverrideHybrid="No", COUNTIFS(Hybrid!E$5:E$14987, UCDEffortSpread!D24, Hybrid!B$5:B$14987,Definition!C$15,Hybrid!D$5:D$14987,Definition!I$3), 0)</f>
        <v>0</v>
      </c>
      <c r="R548" s="204">
        <f>(Definition!M548*Definition!E$15)</f>
        <v>0</v>
      </c>
      <c r="S548" s="204">
        <f>(Definition!N548*Definition!F$15)</f>
        <v>0</v>
      </c>
      <c r="T548" s="204">
        <f>(Definition!O548*Definition!G$15)</f>
        <v>0</v>
      </c>
      <c r="U548" s="204">
        <f>(Definition!P548*Definition!H$15)</f>
        <v>0</v>
      </c>
      <c r="V548" s="204">
        <f>(Definition!Q548*Definition!I$15)</f>
        <v>0</v>
      </c>
      <c r="W548" s="203">
        <f t="shared" si="47"/>
        <v>0</v>
      </c>
      <c r="X548" s="207">
        <f t="shared" si="45"/>
        <v>0</v>
      </c>
    </row>
    <row r="549" spans="12:24">
      <c r="L549" s="423"/>
      <c r="M549" s="68">
        <f>IF(compute_ManualOverrideHybrid="No", COUNTIFS(Hybrid!E$5:E$14987, UCDEffortSpread!D25, Hybrid!B$5:B$14987,Definition!C$15,Hybrid!D$5:D$14987,Definition!E$3),0)</f>
        <v>0</v>
      </c>
      <c r="N549" s="68">
        <f>IF(compute_ManualOverrideHybrid="No", COUNTIFS(Hybrid!E$5:E$14987, UCDEffortSpread!D25, Hybrid!B$5:B$14987,Definition!C$15,Hybrid!D$5:D$14987,Definition!F$3), 0)</f>
        <v>0</v>
      </c>
      <c r="O549" s="68">
        <f>IF(compute_ManualOverrideHybrid="No", COUNTIFS(Hybrid!E$5:E$14987, UCDEffortSpread!D25, Hybrid!B$5:B$14987,Definition!C$15,Hybrid!D$5:D$14987,Definition!G$3), 0)</f>
        <v>0</v>
      </c>
      <c r="P549" s="68">
        <f>IF(compute_ManualOverrideHybrid="No", COUNTIFS(Hybrid!E$5:E$14987, UCDEffortSpread!D24, Hybrid!B$5:B$14987,Definition!C$15,Hybrid!D$5:D$14987,Definition!H$3),0)</f>
        <v>0</v>
      </c>
      <c r="Q549" s="68">
        <f>IF(compute_ManualOverrideHybrid="No", COUNTIFS(Hybrid!E$5:E$14987, UCDEffortSpread!D25, Hybrid!B$5:B$14987,Definition!C$15,Hybrid!D$5:D$14987,Definition!I$3), 0)</f>
        <v>0</v>
      </c>
      <c r="R549" s="204">
        <f>(Definition!M549*Definition!E$15)</f>
        <v>0</v>
      </c>
      <c r="S549" s="204">
        <f>(Definition!N549*Definition!F$15)</f>
        <v>0</v>
      </c>
      <c r="T549" s="204">
        <f>(Definition!O549*Definition!G$15)</f>
        <v>0</v>
      </c>
      <c r="U549" s="204">
        <f>(Definition!P549*Definition!H$15)</f>
        <v>0</v>
      </c>
      <c r="V549" s="204">
        <f>(Definition!Q549*Definition!I$15)</f>
        <v>0</v>
      </c>
      <c r="W549" s="203">
        <f t="shared" si="47"/>
        <v>0</v>
      </c>
      <c r="X549" s="207">
        <f t="shared" si="45"/>
        <v>0</v>
      </c>
    </row>
    <row r="550" spans="12:24">
      <c r="L550" s="423"/>
      <c r="M550" s="68">
        <f>IF(compute_ManualOverrideHybrid="No", COUNTIFS(Hybrid!E$5:E$14987, UCDEffortSpread!D26, Hybrid!B$5:B$14987,Definition!C$15,Hybrid!D$5:D$14987,Definition!E$3),0)</f>
        <v>0</v>
      </c>
      <c r="N550" s="68">
        <f>IF(compute_ManualOverrideHybrid="No", COUNTIFS(Hybrid!E$5:E$14987, UCDEffortSpread!D26, Hybrid!B$5:B$14987,Definition!C$15,Hybrid!D$5:D$14987,Definition!F$3), 0)</f>
        <v>0</v>
      </c>
      <c r="O550" s="68">
        <f>IF(compute_ManualOverrideHybrid="No", COUNTIFS(Hybrid!E$5:E$14987, UCDEffortSpread!D26, Hybrid!B$5:B$14987,Definition!C$15,Hybrid!D$5:D$14987,Definition!G$3), 0)</f>
        <v>0</v>
      </c>
      <c r="P550" s="68">
        <f>IF(compute_ManualOverrideHybrid="No", COUNTIFS(Hybrid!E$5:E$14987, UCDEffortSpread!D25, Hybrid!B$5:B$14987,Definition!C$15,Hybrid!D$5:D$14987,Definition!H$3),0)</f>
        <v>0</v>
      </c>
      <c r="Q550" s="68">
        <f>IF(compute_ManualOverrideHybrid="No", COUNTIFS(Hybrid!E$5:E$14987, UCDEffortSpread!D26, Hybrid!B$5:B$14987,Definition!C$15,Hybrid!D$5:D$14987,Definition!I$3), 0)</f>
        <v>0</v>
      </c>
      <c r="R550" s="204">
        <f>(Definition!M550*Definition!E$15)</f>
        <v>0</v>
      </c>
      <c r="S550" s="204">
        <f>(Definition!N550*Definition!F$15)</f>
        <v>0</v>
      </c>
      <c r="T550" s="204">
        <f>(Definition!O550*Definition!G$15)</f>
        <v>0</v>
      </c>
      <c r="U550" s="204">
        <f>(Definition!P550*Definition!H$15)</f>
        <v>0</v>
      </c>
      <c r="V550" s="204">
        <f>(Definition!Q550*Definition!I$15)</f>
        <v>0</v>
      </c>
      <c r="W550" s="203">
        <f t="shared" si="47"/>
        <v>0</v>
      </c>
      <c r="X550" s="207">
        <f t="shared" si="45"/>
        <v>0</v>
      </c>
    </row>
    <row r="551" spans="12:24">
      <c r="L551" s="423"/>
      <c r="M551" s="68">
        <f>IF(compute_ManualOverrideHybrid="No", COUNTIFS(Hybrid!E$5:E$14987, UCDEffortSpread!D27, Hybrid!B$5:B$14987,Definition!C$15,Hybrid!D$5:D$14987,Definition!E$3),0)</f>
        <v>0</v>
      </c>
      <c r="N551" s="68">
        <f>IF(compute_ManualOverrideHybrid="No", COUNTIFS(Hybrid!E$5:E$14987, UCDEffortSpread!D27, Hybrid!B$5:B$14987,Definition!C$15,Hybrid!D$5:D$14987,Definition!F$3), 0)</f>
        <v>0</v>
      </c>
      <c r="O551" s="68">
        <f>IF(compute_ManualOverrideHybrid="No", COUNTIFS(Hybrid!E$5:E$14987, UCDEffortSpread!D27, Hybrid!B$5:B$14987,Definition!C$15,Hybrid!D$5:D$14987,Definition!G$3), 0)</f>
        <v>0</v>
      </c>
      <c r="P551" s="68">
        <f>IF(compute_ManualOverrideHybrid="No", COUNTIFS(Hybrid!E$5:E$14987, UCDEffortSpread!D26, Hybrid!B$5:B$14987,Definition!C$15,Hybrid!D$5:D$14987,Definition!H$3),0)</f>
        <v>0</v>
      </c>
      <c r="Q551" s="68">
        <f>IF(compute_ManualOverrideHybrid="No", COUNTIFS(Hybrid!E$5:E$14987, UCDEffortSpread!D27, Hybrid!B$5:B$14987,Definition!C$15,Hybrid!D$5:D$14987,Definition!I$3), 0)</f>
        <v>0</v>
      </c>
      <c r="R551" s="204">
        <f>(Definition!M551*Definition!E$15)</f>
        <v>0</v>
      </c>
      <c r="S551" s="204">
        <f>(Definition!N551*Definition!F$15)</f>
        <v>0</v>
      </c>
      <c r="T551" s="204">
        <f>(Definition!O551*Definition!G$15)</f>
        <v>0</v>
      </c>
      <c r="U551" s="204">
        <f>(Definition!P551*Definition!H$15)</f>
        <v>0</v>
      </c>
      <c r="V551" s="204">
        <f>(Definition!Q551*Definition!I$15)</f>
        <v>0</v>
      </c>
      <c r="W551" s="203">
        <f t="shared" si="47"/>
        <v>0</v>
      </c>
      <c r="X551" s="207">
        <f t="shared" si="45"/>
        <v>0</v>
      </c>
    </row>
    <row r="552" spans="12:24">
      <c r="L552" s="423"/>
      <c r="M552" s="68">
        <f>IF(compute_ManualOverrideHybrid="No", COUNTIFS(Hybrid!E$5:E$14987, UCDEffortSpread!D28, Hybrid!B$5:B$14987,Definition!C$15,Hybrid!D$5:D$14987,Definition!E$3),0)</f>
        <v>0</v>
      </c>
      <c r="N552" s="68">
        <f>IF(compute_ManualOverrideHybrid="No", COUNTIFS(Hybrid!E$5:E$14987, UCDEffortSpread!D28, Hybrid!B$5:B$14987,Definition!C$15,Hybrid!D$5:D$14987,Definition!F$3), 0)</f>
        <v>0</v>
      </c>
      <c r="O552" s="68">
        <f>IF(compute_ManualOverrideHybrid="No", COUNTIFS(Hybrid!E$5:E$14987, UCDEffortSpread!D28, Hybrid!B$5:B$14987,Definition!C$15,Hybrid!D$5:D$14987,Definition!G$3), 0)</f>
        <v>0</v>
      </c>
      <c r="P552" s="68">
        <f>IF(compute_ManualOverrideHybrid="No", COUNTIFS(Hybrid!E$5:E$14987, UCDEffortSpread!D27, Hybrid!B$5:B$14987,Definition!C$15,Hybrid!D$5:D$14987,Definition!H$3),0)</f>
        <v>0</v>
      </c>
      <c r="Q552" s="68">
        <f>IF(compute_ManualOverrideHybrid="No", COUNTIFS(Hybrid!E$5:E$14987, UCDEffortSpread!D28, Hybrid!B$5:B$14987,Definition!C$15,Hybrid!D$5:D$14987,Definition!I$3), 0)</f>
        <v>0</v>
      </c>
      <c r="R552" s="204">
        <f>(Definition!M552*Definition!E$15)</f>
        <v>0</v>
      </c>
      <c r="S552" s="204">
        <f>(Definition!N552*Definition!F$15)</f>
        <v>0</v>
      </c>
      <c r="T552" s="204">
        <f>(Definition!O552*Definition!G$15)</f>
        <v>0</v>
      </c>
      <c r="U552" s="204">
        <f>(Definition!P552*Definition!H$15)</f>
        <v>0</v>
      </c>
      <c r="V552" s="204">
        <f>(Definition!Q552*Definition!I$15)</f>
        <v>0</v>
      </c>
      <c r="W552" s="203">
        <f t="shared" si="47"/>
        <v>0</v>
      </c>
      <c r="X552" s="207">
        <f t="shared" si="45"/>
        <v>0</v>
      </c>
    </row>
    <row r="553" spans="12:24">
      <c r="L553" s="423"/>
      <c r="M553" s="68">
        <f>IF(compute_ManualOverrideHybrid="No", COUNTIFS(Hybrid!E$5:E$14987, UCDEffortSpread!D29, Hybrid!B$5:B$14987,Definition!C$15,Hybrid!D$5:D$14987,Definition!E$3),0)</f>
        <v>0</v>
      </c>
      <c r="N553" s="68">
        <f>IF(compute_ManualOverrideHybrid="No", COUNTIFS(Hybrid!E$5:E$14987, UCDEffortSpread!D29, Hybrid!B$5:B$14987,Definition!C$15,Hybrid!D$5:D$14987,Definition!F$3), 0)</f>
        <v>0</v>
      </c>
      <c r="O553" s="68">
        <f>IF(compute_ManualOverrideHybrid="No", COUNTIFS(Hybrid!E$5:E$14987, UCDEffortSpread!D29, Hybrid!B$5:B$14987,Definition!C$15,Hybrid!D$5:D$14987,Definition!G$3), 0)</f>
        <v>0</v>
      </c>
      <c r="P553" s="68">
        <f>IF(compute_ManualOverrideHybrid="No", COUNTIFS(Hybrid!E$5:E$14987, UCDEffortSpread!D28, Hybrid!B$5:B$14987,Definition!C$15,Hybrid!D$5:D$14987,Definition!H$3),0)</f>
        <v>0</v>
      </c>
      <c r="Q553" s="68">
        <f>IF(compute_ManualOverrideHybrid="No", COUNTIFS(Hybrid!E$5:E$14987, UCDEffortSpread!D29, Hybrid!B$5:B$14987,Definition!C$15,Hybrid!D$5:D$14987,Definition!I$3), 0)</f>
        <v>0</v>
      </c>
      <c r="R553" s="204">
        <f>(Definition!M553*Definition!E$15)</f>
        <v>0</v>
      </c>
      <c r="S553" s="204">
        <f>(Definition!N553*Definition!F$15)</f>
        <v>0</v>
      </c>
      <c r="T553" s="204">
        <f>(Definition!O553*Definition!G$15)</f>
        <v>0</v>
      </c>
      <c r="U553" s="204">
        <f>(Definition!P553*Definition!H$15)</f>
        <v>0</v>
      </c>
      <c r="V553" s="204">
        <f>(Definition!Q553*Definition!I$15)</f>
        <v>0</v>
      </c>
      <c r="W553" s="203">
        <f t="shared" si="47"/>
        <v>0</v>
      </c>
      <c r="X553" s="207">
        <f t="shared" si="45"/>
        <v>0</v>
      </c>
    </row>
    <row r="554" spans="12:24">
      <c r="L554" s="423"/>
      <c r="M554" s="68">
        <f>IF(compute_ManualOverrideHybrid="No", COUNTIFS(Hybrid!E$5:E$14987, UCDEffortSpread!D30, Hybrid!B$5:B$14987,Definition!C$15,Hybrid!D$5:D$14987,Definition!E$3),0)</f>
        <v>0</v>
      </c>
      <c r="N554" s="68">
        <f>IF(compute_ManualOverrideHybrid="No", COUNTIFS(Hybrid!E$5:E$14987, UCDEffortSpread!D30, Hybrid!B$5:B$14987,Definition!C$15,Hybrid!D$5:D$14987,Definition!F$3), 0)</f>
        <v>0</v>
      </c>
      <c r="O554" s="68">
        <f>IF(compute_ManualOverrideHybrid="No", COUNTIFS(Hybrid!E$5:E$14987, UCDEffortSpread!D30, Hybrid!B$5:B$14987,Definition!C$15,Hybrid!D$5:D$14987,Definition!G$3), 0)</f>
        <v>0</v>
      </c>
      <c r="P554" s="68">
        <f>IF(compute_ManualOverrideHybrid="No", COUNTIFS(Hybrid!E$5:E$14987, UCDEffortSpread!D29, Hybrid!B$5:B$14987,Definition!C$15,Hybrid!D$5:D$14987,Definition!H$3),0)</f>
        <v>0</v>
      </c>
      <c r="Q554" s="68">
        <f>IF(compute_ManualOverrideHybrid="No", COUNTIFS(Hybrid!E$5:E$14987, UCDEffortSpread!D30, Hybrid!B$5:B$14987,Definition!C$15,Hybrid!D$5:D$14987,Definition!I$3), 0)</f>
        <v>0</v>
      </c>
      <c r="R554" s="204">
        <f>(Definition!M554*Definition!E$15)</f>
        <v>0</v>
      </c>
      <c r="S554" s="204">
        <f>(Definition!N554*Definition!F$15)</f>
        <v>0</v>
      </c>
      <c r="T554" s="204">
        <f>(Definition!O554*Definition!G$15)</f>
        <v>0</v>
      </c>
      <c r="U554" s="204">
        <f>(Definition!P554*Definition!H$15)</f>
        <v>0</v>
      </c>
      <c r="V554" s="204">
        <f>(Definition!Q554*Definition!I$15)</f>
        <v>0</v>
      </c>
      <c r="W554" s="203">
        <f t="shared" si="47"/>
        <v>0</v>
      </c>
      <c r="X554" s="207">
        <f t="shared" si="45"/>
        <v>0</v>
      </c>
    </row>
    <row r="555" spans="12:24">
      <c r="L555" s="423"/>
      <c r="M555" s="68">
        <f>IF(compute_ManualOverrideHybrid="No", COUNTIFS(Hybrid!E$5:E$14987, UCDEffortSpread!D31, Hybrid!B$5:B$14987,Definition!C$15,Hybrid!D$5:D$14987,Definition!E$3),0)</f>
        <v>0</v>
      </c>
      <c r="N555" s="68">
        <f>IF(compute_ManualOverrideHybrid="No", COUNTIFS(Hybrid!E$5:E$14987, UCDEffortSpread!D31, Hybrid!B$5:B$14987,Definition!C$15,Hybrid!D$5:D$14987,Definition!F$3), 0)</f>
        <v>0</v>
      </c>
      <c r="O555" s="68">
        <f>IF(compute_ManualOverrideHybrid="No", COUNTIFS(Hybrid!E$5:E$14987, UCDEffortSpread!D31, Hybrid!B$5:B$14987,Definition!C$15,Hybrid!D$5:D$14987,Definition!G$3), 0)</f>
        <v>0</v>
      </c>
      <c r="P555" s="68">
        <f>IF(compute_ManualOverrideHybrid="No", COUNTIFS(Hybrid!E$5:E$14987, UCDEffortSpread!D30, Hybrid!B$5:B$14987,Definition!C$15,Hybrid!D$5:D$14987,Definition!H$3),0)</f>
        <v>0</v>
      </c>
      <c r="Q555" s="68">
        <f>IF(compute_ManualOverrideHybrid="No", COUNTIFS(Hybrid!E$5:E$14987, UCDEffortSpread!D31, Hybrid!B$5:B$14987,Definition!C$15,Hybrid!D$5:D$14987,Definition!I$3), 0)</f>
        <v>0</v>
      </c>
      <c r="R555" s="204">
        <f>(Definition!M555*Definition!E$15)</f>
        <v>0</v>
      </c>
      <c r="S555" s="204">
        <f>(Definition!N555*Definition!F$15)</f>
        <v>0</v>
      </c>
      <c r="T555" s="204">
        <f>(Definition!O555*Definition!G$15)</f>
        <v>0</v>
      </c>
      <c r="U555" s="204">
        <f>(Definition!P555*Definition!H$15)</f>
        <v>0</v>
      </c>
      <c r="V555" s="204">
        <f>(Definition!Q555*Definition!I$15)</f>
        <v>0</v>
      </c>
      <c r="W555" s="203">
        <f t="shared" si="47"/>
        <v>0</v>
      </c>
      <c r="X555" s="207">
        <f t="shared" si="45"/>
        <v>0</v>
      </c>
    </row>
    <row r="556" spans="12:24">
      <c r="L556" s="423"/>
      <c r="M556" s="68">
        <f>IF(compute_ManualOverrideHybrid="No", COUNTIFS(Hybrid!E$5:E$14987, UCDEffortSpread!D32, Hybrid!B$5:B$14987,Definition!C$15,Hybrid!D$5:D$14987,Definition!E$3),0)</f>
        <v>0</v>
      </c>
      <c r="N556" s="68">
        <f>IF(compute_ManualOverrideHybrid="No", COUNTIFS(Hybrid!E$5:E$14987, UCDEffortSpread!D32, Hybrid!B$5:B$14987,Definition!C$15,Hybrid!D$5:D$14987,Definition!F$3), 0)</f>
        <v>0</v>
      </c>
      <c r="O556" s="68">
        <f>IF(compute_ManualOverrideHybrid="No", COUNTIFS(Hybrid!E$5:E$14987, UCDEffortSpread!D32, Hybrid!B$5:B$14987,Definition!C$15,Hybrid!D$5:D$14987,Definition!G$3), 0)</f>
        <v>0</v>
      </c>
      <c r="P556" s="68">
        <f>IF(compute_ManualOverrideHybrid="No", COUNTIFS(Hybrid!E$5:E$14987, UCDEffortSpread!D31, Hybrid!B$5:B$14987,Definition!C$15,Hybrid!D$5:D$14987,Definition!H$3),0)</f>
        <v>0</v>
      </c>
      <c r="Q556" s="68">
        <f>IF(compute_ManualOverrideHybrid="No", COUNTIFS(Hybrid!E$5:E$14987, UCDEffortSpread!D32, Hybrid!B$5:B$14987,Definition!C$15,Hybrid!D$5:D$14987,Definition!I$3), 0)</f>
        <v>0</v>
      </c>
      <c r="R556" s="204">
        <f>(Definition!M556*Definition!E$15)</f>
        <v>0</v>
      </c>
      <c r="S556" s="204">
        <f>(Definition!N556*Definition!F$15)</f>
        <v>0</v>
      </c>
      <c r="T556" s="204">
        <f>(Definition!O556*Definition!G$15)</f>
        <v>0</v>
      </c>
      <c r="U556" s="204">
        <f>(Definition!P556*Definition!H$15)</f>
        <v>0</v>
      </c>
      <c r="V556" s="204">
        <f>(Definition!Q556*Definition!I$15)</f>
        <v>0</v>
      </c>
      <c r="W556" s="203">
        <f t="shared" si="47"/>
        <v>0</v>
      </c>
      <c r="X556" s="207">
        <f t="shared" si="45"/>
        <v>0</v>
      </c>
    </row>
    <row r="557" spans="12:24">
      <c r="L557" s="423"/>
      <c r="M557" s="68">
        <f>IF(compute_ManualOverrideHybrid="No", COUNTIFS(Hybrid!E$5:E$14987, UCDEffortSpread!D33, Hybrid!B$5:B$14987,Definition!C$15,Hybrid!D$5:D$14987,Definition!E$3),0)</f>
        <v>0</v>
      </c>
      <c r="N557" s="68">
        <f>IF(compute_ManualOverrideHybrid="No", COUNTIFS(Hybrid!E$5:E$14987, UCDEffortSpread!D33, Hybrid!B$5:B$14987,Definition!C$15,Hybrid!D$5:D$14987,Definition!F$3), 0)</f>
        <v>0</v>
      </c>
      <c r="O557" s="68">
        <f>IF(compute_ManualOverrideHybrid="No", COUNTIFS(Hybrid!E$5:E$14987, UCDEffortSpread!D33, Hybrid!B$5:B$14987,Definition!C$15,Hybrid!D$5:D$14987,Definition!G$3), 0)</f>
        <v>0</v>
      </c>
      <c r="P557" s="68">
        <f>IF(compute_ManualOverrideHybrid="No", COUNTIFS(Hybrid!E$5:E$14987, UCDEffortSpread!D32, Hybrid!B$5:B$14987,Definition!C$15,Hybrid!D$5:D$14987,Definition!H$3),0)</f>
        <v>0</v>
      </c>
      <c r="Q557" s="68">
        <f>IF(compute_ManualOverrideHybrid="No", COUNTIFS(Hybrid!E$5:E$14987, UCDEffortSpread!D33, Hybrid!B$5:B$14987,Definition!C$15,Hybrid!D$5:D$14987,Definition!I$3), 0)</f>
        <v>0</v>
      </c>
      <c r="R557" s="204">
        <f>(Definition!M557*Definition!E$15)</f>
        <v>0</v>
      </c>
      <c r="S557" s="204">
        <f>(Definition!N557*Definition!F$15)</f>
        <v>0</v>
      </c>
      <c r="T557" s="204">
        <f>(Definition!O557*Definition!G$15)</f>
        <v>0</v>
      </c>
      <c r="U557" s="204">
        <f>(Definition!P557*Definition!H$15)</f>
        <v>0</v>
      </c>
      <c r="V557" s="204">
        <f>(Definition!Q557*Definition!I$15)</f>
        <v>0</v>
      </c>
      <c r="W557" s="203">
        <f t="shared" si="47"/>
        <v>0</v>
      </c>
      <c r="X557" s="207">
        <f t="shared" si="45"/>
        <v>0</v>
      </c>
    </row>
    <row r="558" spans="12:24">
      <c r="L558" s="423"/>
      <c r="M558" s="68">
        <f>IF(compute_ManualOverrideHybrid="No", COUNTIFS(Hybrid!E$5:E$14987, UCDEffortSpread!D34, Hybrid!B$5:B$14987,Definition!C$15,Hybrid!D$5:D$14987,Definition!E$3),0)</f>
        <v>0</v>
      </c>
      <c r="N558" s="68">
        <f>IF(compute_ManualOverrideHybrid="No", COUNTIFS(Hybrid!E$5:E$14987, UCDEffortSpread!D34, Hybrid!B$5:B$14987,Definition!C$15,Hybrid!D$5:D$14987,Definition!F$3), 0)</f>
        <v>0</v>
      </c>
      <c r="O558" s="68">
        <f>IF(compute_ManualOverrideHybrid="No", COUNTIFS(Hybrid!E$5:E$14987, UCDEffortSpread!D34, Hybrid!B$5:B$14987,Definition!C$15,Hybrid!D$5:D$14987,Definition!G$3), 0)</f>
        <v>0</v>
      </c>
      <c r="P558" s="68">
        <f>IF(compute_ManualOverrideHybrid="No", COUNTIFS(Hybrid!E$5:E$14987, UCDEffortSpread!D33, Hybrid!B$5:B$14987,Definition!C$15,Hybrid!D$5:D$14987,Definition!H$3),0)</f>
        <v>0</v>
      </c>
      <c r="Q558" s="68">
        <f>IF(compute_ManualOverrideHybrid="No", COUNTIFS(Hybrid!E$5:E$14987, UCDEffortSpread!D34, Hybrid!B$5:B$14987,Definition!C$15,Hybrid!D$5:D$14987,Definition!I$3), 0)</f>
        <v>0</v>
      </c>
      <c r="R558" s="204">
        <f>(Definition!M558*Definition!E$15)</f>
        <v>0</v>
      </c>
      <c r="S558" s="204">
        <f>(Definition!N558*Definition!F$15)</f>
        <v>0</v>
      </c>
      <c r="T558" s="204">
        <f>(Definition!O558*Definition!G$15)</f>
        <v>0</v>
      </c>
      <c r="U558" s="204">
        <f>(Definition!P558*Definition!H$15)</f>
        <v>0</v>
      </c>
      <c r="V558" s="204">
        <f>(Definition!Q558*Definition!I$15)</f>
        <v>0</v>
      </c>
      <c r="W558" s="203">
        <f t="shared" si="47"/>
        <v>0</v>
      </c>
      <c r="X558" s="207">
        <f t="shared" si="45"/>
        <v>0</v>
      </c>
    </row>
    <row r="559" spans="12:24">
      <c r="L559" s="423"/>
      <c r="M559" s="68">
        <f>IF(compute_ManualOverrideHybrid="No", COUNTIFS(Hybrid!E$5:E$14987, UCDEffortSpread!D35, Hybrid!B$5:B$14987,Definition!C$15,Hybrid!D$5:D$14987,Definition!E$3),0)</f>
        <v>0</v>
      </c>
      <c r="N559" s="68">
        <f>IF(compute_ManualOverrideHybrid="No", COUNTIFS(Hybrid!E$5:E$14987, UCDEffortSpread!D35, Hybrid!B$5:B$14987,Definition!C$15,Hybrid!D$5:D$14987,Definition!F$3), 0)</f>
        <v>0</v>
      </c>
      <c r="O559" s="68">
        <f>IF(compute_ManualOverrideHybrid="No", COUNTIFS(Hybrid!E$5:E$14987, UCDEffortSpread!D35, Hybrid!B$5:B$14987,Definition!C$15,Hybrid!D$5:D$14987,Definition!G$3), 0)</f>
        <v>0</v>
      </c>
      <c r="P559" s="68">
        <f>IF(compute_ManualOverrideHybrid="No", COUNTIFS(Hybrid!E$5:E$14987, UCDEffortSpread!D34, Hybrid!B$5:B$14987,Definition!C$15,Hybrid!D$5:D$14987,Definition!H$3),0)</f>
        <v>0</v>
      </c>
      <c r="Q559" s="68">
        <f>IF(compute_ManualOverrideHybrid="No", COUNTIFS(Hybrid!E$5:E$14987, UCDEffortSpread!D35, Hybrid!B$5:B$14987,Definition!C$15,Hybrid!D$5:D$14987,Definition!I$3), 0)</f>
        <v>0</v>
      </c>
      <c r="R559" s="204">
        <f>(Definition!M559*Definition!E$15)</f>
        <v>0</v>
      </c>
      <c r="S559" s="204">
        <f>(Definition!N559*Definition!F$15)</f>
        <v>0</v>
      </c>
      <c r="T559" s="204">
        <f>(Definition!O559*Definition!G$15)</f>
        <v>0</v>
      </c>
      <c r="U559" s="204">
        <f>(Definition!P559*Definition!H$15)</f>
        <v>0</v>
      </c>
      <c r="V559" s="204">
        <f>(Definition!Q559*Definition!I$15)</f>
        <v>0</v>
      </c>
      <c r="W559" s="203">
        <f t="shared" si="47"/>
        <v>0</v>
      </c>
      <c r="X559" s="207">
        <f t="shared" si="45"/>
        <v>0</v>
      </c>
    </row>
    <row r="560" spans="12:24">
      <c r="L560" s="423"/>
      <c r="M560" s="68">
        <f>IF(compute_ManualOverrideHybrid="No", COUNTIFS(Hybrid!E$5:E$14987, UCDEffortSpread!D36, Hybrid!B$5:B$14987,Definition!C$15,Hybrid!D$5:D$14987,Definition!E$3),0)</f>
        <v>0</v>
      </c>
      <c r="N560" s="68">
        <f>IF(compute_ManualOverrideHybrid="No", COUNTIFS(Hybrid!E$5:E$14987, UCDEffortSpread!D36, Hybrid!B$5:B$14987,Definition!C$15,Hybrid!D$5:D$14987,Definition!F$3), 0)</f>
        <v>0</v>
      </c>
      <c r="O560" s="68">
        <f>IF(compute_ManualOverrideHybrid="No", COUNTIFS(Hybrid!E$5:E$14987, UCDEffortSpread!D36, Hybrid!B$5:B$14987,Definition!C$15,Hybrid!D$5:D$14987,Definition!G$3), 0)</f>
        <v>0</v>
      </c>
      <c r="P560" s="68">
        <f>IF(compute_ManualOverrideHybrid="No", COUNTIFS(Hybrid!E$5:E$14987, UCDEffortSpread!D35, Hybrid!B$5:B$14987,Definition!C$15,Hybrid!D$5:D$14987,Definition!H$3),0)</f>
        <v>0</v>
      </c>
      <c r="Q560" s="68">
        <f>IF(compute_ManualOverrideHybrid="No", COUNTIFS(Hybrid!E$5:E$14987, UCDEffortSpread!D36, Hybrid!B$5:B$14987,Definition!C$15,Hybrid!D$5:D$14987,Definition!I$3), 0)</f>
        <v>0</v>
      </c>
      <c r="R560" s="204">
        <f>(Definition!M560*Definition!E$15)</f>
        <v>0</v>
      </c>
      <c r="S560" s="204">
        <f>(Definition!N560*Definition!F$15)</f>
        <v>0</v>
      </c>
      <c r="T560" s="204">
        <f>(Definition!O560*Definition!G$15)</f>
        <v>0</v>
      </c>
      <c r="U560" s="204">
        <f>(Definition!P560*Definition!H$15)</f>
        <v>0</v>
      </c>
      <c r="V560" s="204">
        <f>(Definition!Q560*Definition!I$15)</f>
        <v>0</v>
      </c>
      <c r="W560" s="203">
        <f t="shared" si="47"/>
        <v>0</v>
      </c>
      <c r="X560" s="207">
        <f t="shared" si="45"/>
        <v>0</v>
      </c>
    </row>
    <row r="561" spans="12:24">
      <c r="L561" s="423"/>
      <c r="M561" s="68">
        <f>IF(compute_ManualOverrideHybrid="No", COUNTIFS(Hybrid!E$5:E$14987, UCDEffortSpread!D37, Hybrid!B$5:B$14987,Definition!C$15,Hybrid!D$5:D$14987,Definition!E$3),0)</f>
        <v>0</v>
      </c>
      <c r="N561" s="68">
        <f>IF(compute_ManualOverrideHybrid="No", COUNTIFS(Hybrid!E$5:E$14987, UCDEffortSpread!D37, Hybrid!B$5:B$14987,Definition!C$15,Hybrid!D$5:D$14987,Definition!F$3), 0)</f>
        <v>0</v>
      </c>
      <c r="O561" s="68">
        <f>IF(compute_ManualOverrideHybrid="No", COUNTIFS(Hybrid!E$5:E$14987, UCDEffortSpread!D37, Hybrid!B$5:B$14987,Definition!C$15,Hybrid!D$5:D$14987,Definition!G$3), 0)</f>
        <v>0</v>
      </c>
      <c r="P561" s="68">
        <f>IF(compute_ManualOverrideHybrid="No", COUNTIFS(Hybrid!E$5:E$14987, UCDEffortSpread!D36, Hybrid!B$5:B$14987,Definition!C$15,Hybrid!D$5:D$14987,Definition!H$3),0)</f>
        <v>0</v>
      </c>
      <c r="Q561" s="68">
        <f>IF(compute_ManualOverrideHybrid="No", COUNTIFS(Hybrid!E$5:E$14987, UCDEffortSpread!D37, Hybrid!B$5:B$14987,Definition!C$15,Hybrid!D$5:D$14987,Definition!I$3), 0)</f>
        <v>0</v>
      </c>
      <c r="R561" s="204">
        <f>(Definition!M561*Definition!E$15)</f>
        <v>0</v>
      </c>
      <c r="S561" s="204">
        <f>(Definition!N561*Definition!F$15)</f>
        <v>0</v>
      </c>
      <c r="T561" s="204">
        <f>(Definition!O561*Definition!G$15)</f>
        <v>0</v>
      </c>
      <c r="U561" s="204">
        <f>(Definition!P561*Definition!H$15)</f>
        <v>0</v>
      </c>
      <c r="V561" s="204">
        <f>(Definition!Q561*Definition!I$15)</f>
        <v>0</v>
      </c>
      <c r="W561" s="203">
        <f t="shared" si="47"/>
        <v>0</v>
      </c>
      <c r="X561" s="207">
        <f t="shared" si="45"/>
        <v>0</v>
      </c>
    </row>
    <row r="562" spans="12:24">
      <c r="L562" s="423"/>
      <c r="M562" s="68">
        <f>IF(compute_ManualOverrideHybrid="No", COUNTIFS(Hybrid!E$5:E$14987, UCDEffortSpread!D38, Hybrid!B$5:B$14987,Definition!C$15,Hybrid!D$5:D$14987,Definition!E$3),0)</f>
        <v>0</v>
      </c>
      <c r="N562" s="68">
        <f>IF(compute_ManualOverrideHybrid="No", COUNTIFS(Hybrid!E$5:E$14987, UCDEffortSpread!D38, Hybrid!B$5:B$14987,Definition!C$15,Hybrid!D$5:D$14987,Definition!F$3), 0)</f>
        <v>0</v>
      </c>
      <c r="O562" s="68">
        <f>IF(compute_ManualOverrideHybrid="No", COUNTIFS(Hybrid!E$5:E$14987, UCDEffortSpread!D38, Hybrid!B$5:B$14987,Definition!C$15,Hybrid!D$5:D$14987,Definition!G$3), 0)</f>
        <v>0</v>
      </c>
      <c r="P562" s="68">
        <f>IF(compute_ManualOverrideHybrid="No", COUNTIFS(Hybrid!E$5:E$14987, UCDEffortSpread!D37, Hybrid!B$5:B$14987,Definition!C$15,Hybrid!D$5:D$14987,Definition!H$3),0)</f>
        <v>0</v>
      </c>
      <c r="Q562" s="68">
        <f>IF(compute_ManualOverrideHybrid="No", COUNTIFS(Hybrid!E$5:E$14987, UCDEffortSpread!D38, Hybrid!B$5:B$14987,Definition!C$15,Hybrid!D$5:D$14987,Definition!I$3), 0)</f>
        <v>0</v>
      </c>
      <c r="R562" s="204">
        <f>(Definition!M562*Definition!E$15)</f>
        <v>0</v>
      </c>
      <c r="S562" s="204">
        <f>(Definition!N562*Definition!F$15)</f>
        <v>0</v>
      </c>
      <c r="T562" s="204">
        <f>(Definition!O562*Definition!G$15)</f>
        <v>0</v>
      </c>
      <c r="U562" s="204">
        <f>(Definition!P562*Definition!H$15)</f>
        <v>0</v>
      </c>
      <c r="V562" s="204">
        <f>(Definition!Q562*Definition!I$15)</f>
        <v>0</v>
      </c>
      <c r="W562" s="203">
        <f t="shared" si="47"/>
        <v>0</v>
      </c>
      <c r="X562" s="207">
        <f t="shared" si="45"/>
        <v>0</v>
      </c>
    </row>
    <row r="563" spans="12:24">
      <c r="L563" s="423"/>
      <c r="M563" s="68">
        <f>IF(compute_ManualOverrideHybrid="No", COUNTIFS(Hybrid!E$5:E$14987, UCDEffortSpread!D39, Hybrid!B$5:B$14987,Definition!C$15,Hybrid!D$5:D$14987,Definition!E$3),0)</f>
        <v>0</v>
      </c>
      <c r="N563" s="68">
        <f>IF(compute_ManualOverrideHybrid="No", COUNTIFS(Hybrid!E$5:E$14987, UCDEffortSpread!D39, Hybrid!B$5:B$14987,Definition!C$15,Hybrid!D$5:D$14987,Definition!F$3), 0)</f>
        <v>0</v>
      </c>
      <c r="O563" s="68">
        <f>IF(compute_ManualOverrideHybrid="No", COUNTIFS(Hybrid!E$5:E$14987, UCDEffortSpread!D39, Hybrid!B$5:B$14987,Definition!C$15,Hybrid!D$5:D$14987,Definition!G$3), 0)</f>
        <v>0</v>
      </c>
      <c r="P563" s="68">
        <f>IF(compute_ManualOverrideHybrid="No", COUNTIFS(Hybrid!E$5:E$14987, UCDEffortSpread!D38, Hybrid!B$5:B$14987,Definition!C$15,Hybrid!D$5:D$14987,Definition!H$3),0)</f>
        <v>0</v>
      </c>
      <c r="Q563" s="68">
        <f>IF(compute_ManualOverrideHybrid="No", COUNTIFS(Hybrid!E$5:E$14987, UCDEffortSpread!D39, Hybrid!B$5:B$14987,Definition!C$15,Hybrid!D$5:D$14987,Definition!I$3), 0)</f>
        <v>0</v>
      </c>
      <c r="R563" s="204">
        <f>(Definition!M563*Definition!E$15)</f>
        <v>0</v>
      </c>
      <c r="S563" s="204">
        <f>(Definition!N563*Definition!F$15)</f>
        <v>0</v>
      </c>
      <c r="T563" s="204">
        <f>(Definition!O563*Definition!G$15)</f>
        <v>0</v>
      </c>
      <c r="U563" s="204">
        <f>(Definition!P563*Definition!H$15)</f>
        <v>0</v>
      </c>
      <c r="V563" s="204">
        <f>(Definition!Q563*Definition!I$15)</f>
        <v>0</v>
      </c>
      <c r="W563" s="203">
        <f t="shared" si="47"/>
        <v>0</v>
      </c>
      <c r="X563" s="207">
        <f t="shared" si="45"/>
        <v>0</v>
      </c>
    </row>
    <row r="564" spans="12:24">
      <c r="L564" s="423"/>
      <c r="M564" s="68">
        <f>IF(compute_ManualOverrideHybrid="No", COUNTIFS(Hybrid!E$5:E$14987, UCDEffortSpread!D40, Hybrid!B$5:B$14987,Definition!C$15,Hybrid!D$5:D$14987,Definition!E$3),0)</f>
        <v>0</v>
      </c>
      <c r="N564" s="68">
        <f>IF(compute_ManualOverrideHybrid="No", COUNTIFS(Hybrid!E$5:E$14987, UCDEffortSpread!D40, Hybrid!B$5:B$14987,Definition!C$15,Hybrid!D$5:D$14987,Definition!F$3), 0)</f>
        <v>0</v>
      </c>
      <c r="O564" s="68">
        <f>IF(compute_ManualOverrideHybrid="No", COUNTIFS(Hybrid!E$5:E$14987, UCDEffortSpread!D40, Hybrid!B$5:B$14987,Definition!C$15,Hybrid!D$5:D$14987,Definition!G$3), 0)</f>
        <v>0</v>
      </c>
      <c r="P564" s="68">
        <f>IF(compute_ManualOverrideHybrid="No", COUNTIFS(Hybrid!E$5:E$14987, UCDEffortSpread!D39, Hybrid!B$5:B$14987,Definition!C$15,Hybrid!D$5:D$14987,Definition!H$3),0)</f>
        <v>0</v>
      </c>
      <c r="Q564" s="68">
        <f>IF(compute_ManualOverrideHybrid="No", COUNTIFS(Hybrid!E$5:E$14987, UCDEffortSpread!D40, Hybrid!B$5:B$14987,Definition!C$15,Hybrid!D$5:D$14987,Definition!I$3), 0)</f>
        <v>0</v>
      </c>
      <c r="R564" s="204">
        <f>(Definition!M564*Definition!E$15)</f>
        <v>0</v>
      </c>
      <c r="S564" s="204">
        <f>(Definition!N564*Definition!F$15)</f>
        <v>0</v>
      </c>
      <c r="T564" s="204">
        <f>(Definition!O564*Definition!G$15)</f>
        <v>0</v>
      </c>
      <c r="U564" s="204">
        <f>(Definition!P564*Definition!H$15)</f>
        <v>0</v>
      </c>
      <c r="V564" s="204">
        <f>(Definition!Q564*Definition!I$15)</f>
        <v>0</v>
      </c>
      <c r="W564" s="203">
        <f t="shared" si="47"/>
        <v>0</v>
      </c>
      <c r="X564" s="207">
        <f t="shared" si="45"/>
        <v>0</v>
      </c>
    </row>
    <row r="565" spans="12:24">
      <c r="L565" s="423"/>
      <c r="M565" s="68">
        <f>IF(compute_ManualOverrideHybrid="No", COUNTIFS(Hybrid!E$5:E$14987, UCDEffortSpread!D41, Hybrid!B$5:B$14987,Definition!C$15,Hybrid!D$5:D$14987,Definition!E$3),0)</f>
        <v>0</v>
      </c>
      <c r="N565" s="68">
        <f>IF(compute_ManualOverrideHybrid="No", COUNTIFS(Hybrid!E$5:E$14987, UCDEffortSpread!D41, Hybrid!B$5:B$14987,Definition!C$15,Hybrid!D$5:D$14987,Definition!F$3), 0)</f>
        <v>0</v>
      </c>
      <c r="O565" s="68">
        <f>IF(compute_ManualOverrideHybrid="No", COUNTIFS(Hybrid!E$5:E$14987, UCDEffortSpread!D41, Hybrid!B$5:B$14987,Definition!C$15,Hybrid!D$5:D$14987,Definition!G$3), 0)</f>
        <v>0</v>
      </c>
      <c r="P565" s="68">
        <f>IF(compute_ManualOverrideHybrid="No", COUNTIFS(Hybrid!E$5:E$14987, UCDEffortSpread!D40, Hybrid!B$5:B$14987,Definition!C$15,Hybrid!D$5:D$14987,Definition!H$3),0)</f>
        <v>0</v>
      </c>
      <c r="Q565" s="68">
        <f>IF(compute_ManualOverrideHybrid="No", COUNTIFS(Hybrid!E$5:E$14987, UCDEffortSpread!D41, Hybrid!B$5:B$14987,Definition!C$15,Hybrid!D$5:D$14987,Definition!I$3), 0)</f>
        <v>0</v>
      </c>
      <c r="R565" s="204">
        <f>(Definition!M565*Definition!E$15)</f>
        <v>0</v>
      </c>
      <c r="S565" s="204">
        <f>(Definition!N565*Definition!F$15)</f>
        <v>0</v>
      </c>
      <c r="T565" s="204">
        <f>(Definition!O565*Definition!G$15)</f>
        <v>0</v>
      </c>
      <c r="U565" s="204">
        <f>(Definition!P565*Definition!H$15)</f>
        <v>0</v>
      </c>
      <c r="V565" s="204">
        <f>(Definition!Q565*Definition!I$15)</f>
        <v>0</v>
      </c>
      <c r="W565" s="203">
        <f t="shared" si="47"/>
        <v>0</v>
      </c>
      <c r="X565" s="207">
        <f t="shared" si="45"/>
        <v>0</v>
      </c>
    </row>
    <row r="566" spans="12:24">
      <c r="L566" s="423"/>
      <c r="M566" s="68">
        <f>IF(compute_ManualOverrideHybrid="No", COUNTIFS(Hybrid!E$5:E$14987, UCDEffortSpread!D42, Hybrid!B$5:B$14987,Definition!C$15,Hybrid!D$5:D$14987,Definition!E$3),0)</f>
        <v>0</v>
      </c>
      <c r="N566" s="68">
        <f>IF(compute_ManualOverrideHybrid="No", COUNTIFS(Hybrid!E$5:E$14987, UCDEffortSpread!D42, Hybrid!B$5:B$14987,Definition!C$15,Hybrid!D$5:D$14987,Definition!F$3), 0)</f>
        <v>0</v>
      </c>
      <c r="O566" s="68">
        <f>IF(compute_ManualOverrideHybrid="No", COUNTIFS(Hybrid!E$5:E$14987, UCDEffortSpread!D42, Hybrid!B$5:B$14987,Definition!C$15,Hybrid!D$5:D$14987,Definition!G$3), 0)</f>
        <v>0</v>
      </c>
      <c r="P566" s="68">
        <f>IF(compute_ManualOverrideHybrid="No", COUNTIFS(Hybrid!E$5:E$14987, UCDEffortSpread!D41, Hybrid!B$5:B$14987,Definition!C$15,Hybrid!D$5:D$14987,Definition!H$3),0)</f>
        <v>0</v>
      </c>
      <c r="Q566" s="68">
        <f>IF(compute_ManualOverrideHybrid="No", COUNTIFS(Hybrid!E$5:E$14987, UCDEffortSpread!D42, Hybrid!B$5:B$14987,Definition!C$15,Hybrid!D$5:D$14987,Definition!I$3), 0)</f>
        <v>0</v>
      </c>
      <c r="R566" s="204">
        <f>(Definition!M566*Definition!E$15)</f>
        <v>0</v>
      </c>
      <c r="S566" s="204">
        <f>(Definition!N566*Definition!F$15)</f>
        <v>0</v>
      </c>
      <c r="T566" s="204">
        <f>(Definition!O566*Definition!G$15)</f>
        <v>0</v>
      </c>
      <c r="U566" s="204">
        <f>(Definition!P566*Definition!H$15)</f>
        <v>0</v>
      </c>
      <c r="V566" s="204">
        <f>(Definition!Q566*Definition!I$15)</f>
        <v>0</v>
      </c>
      <c r="W566" s="203">
        <f t="shared" si="47"/>
        <v>0</v>
      </c>
      <c r="X566" s="207">
        <f t="shared" si="45"/>
        <v>0</v>
      </c>
    </row>
    <row r="567" spans="12:24">
      <c r="L567" s="423"/>
      <c r="M567" s="68">
        <f>IF(compute_ManualOverrideHybrid="No", COUNTIFS(Hybrid!E$5:E$14987, UCDEffortSpread!D43, Hybrid!B$5:B$14987,Definition!C$15,Hybrid!D$5:D$14987,Definition!E$3),0)</f>
        <v>0</v>
      </c>
      <c r="N567" s="68">
        <f>IF(compute_ManualOverrideHybrid="No", COUNTIFS(Hybrid!E$5:E$14987, UCDEffortSpread!D43, Hybrid!B$5:B$14987,Definition!C$15,Hybrid!D$5:D$14987,Definition!F$3), 0)</f>
        <v>0</v>
      </c>
      <c r="O567" s="68">
        <f>IF(compute_ManualOverrideHybrid="No", COUNTIFS(Hybrid!E$5:E$14987, UCDEffortSpread!D43, Hybrid!B$5:B$14987,Definition!C$15,Hybrid!D$5:D$14987,Definition!G$3), 0)</f>
        <v>0</v>
      </c>
      <c r="P567" s="68">
        <f>IF(compute_ManualOverrideHybrid="No", COUNTIFS(Hybrid!E$5:E$14987, UCDEffortSpread!D42, Hybrid!B$5:B$14987,Definition!C$15,Hybrid!D$5:D$14987,Definition!H$3),0)</f>
        <v>0</v>
      </c>
      <c r="Q567" s="68">
        <f>IF(compute_ManualOverrideHybrid="No", COUNTIFS(Hybrid!E$5:E$14987, UCDEffortSpread!D43, Hybrid!B$5:B$14987,Definition!C$15,Hybrid!D$5:D$14987,Definition!I$3), 0)</f>
        <v>0</v>
      </c>
      <c r="R567" s="204">
        <f>(Definition!M567*Definition!E$15)</f>
        <v>0</v>
      </c>
      <c r="S567" s="204">
        <f>(Definition!N567*Definition!F$15)</f>
        <v>0</v>
      </c>
      <c r="T567" s="204">
        <f>(Definition!O567*Definition!G$15)</f>
        <v>0</v>
      </c>
      <c r="U567" s="204">
        <f>(Definition!P567*Definition!H$15)</f>
        <v>0</v>
      </c>
      <c r="V567" s="204">
        <f>(Definition!Q567*Definition!I$15)</f>
        <v>0</v>
      </c>
      <c r="W567" s="203">
        <f t="shared" si="47"/>
        <v>0</v>
      </c>
      <c r="X567" s="207">
        <f t="shared" si="45"/>
        <v>0</v>
      </c>
    </row>
    <row r="568" spans="12:24">
      <c r="L568" s="423"/>
      <c r="M568" s="68">
        <f>IF(compute_ManualOverrideHybrid="No", COUNTIFS(Hybrid!E$5:E$14987, UCDEffortSpread!D44, Hybrid!B$5:B$14987,Definition!C$15,Hybrid!D$5:D$14987,Definition!E$3),0)</f>
        <v>0</v>
      </c>
      <c r="N568" s="68">
        <f>IF(compute_ManualOverrideHybrid="No", COUNTIFS(Hybrid!E$5:E$14987, UCDEffortSpread!D44, Hybrid!B$5:B$14987,Definition!C$15,Hybrid!D$5:D$14987,Definition!F$3), 0)</f>
        <v>0</v>
      </c>
      <c r="O568" s="68">
        <f>IF(compute_ManualOverrideHybrid="No", COUNTIFS(Hybrid!E$5:E$14987, UCDEffortSpread!D44, Hybrid!B$5:B$14987,Definition!C$15,Hybrid!D$5:D$14987,Definition!G$3), 0)</f>
        <v>0</v>
      </c>
      <c r="P568" s="68">
        <f>IF(compute_ManualOverrideHybrid="No", COUNTIFS(Hybrid!E$5:E$14987, UCDEffortSpread!D43, Hybrid!B$5:B$14987,Definition!C$15,Hybrid!D$5:D$14987,Definition!H$3),0)</f>
        <v>0</v>
      </c>
      <c r="Q568" s="68">
        <f>IF(compute_ManualOverrideHybrid="No", COUNTIFS(Hybrid!E$5:E$14987, UCDEffortSpread!D44, Hybrid!B$5:B$14987,Definition!C$15,Hybrid!D$5:D$14987,Definition!I$3), 0)</f>
        <v>0</v>
      </c>
      <c r="R568" s="204">
        <f>(Definition!M568*Definition!E$15)</f>
        <v>0</v>
      </c>
      <c r="S568" s="204">
        <f>(Definition!N568*Definition!F$15)</f>
        <v>0</v>
      </c>
      <c r="T568" s="204">
        <f>(Definition!O568*Definition!G$15)</f>
        <v>0</v>
      </c>
      <c r="U568" s="204">
        <f>(Definition!P568*Definition!H$15)</f>
        <v>0</v>
      </c>
      <c r="V568" s="204">
        <f>(Definition!Q568*Definition!I$15)</f>
        <v>0</v>
      </c>
      <c r="W568" s="203">
        <f t="shared" si="47"/>
        <v>0</v>
      </c>
      <c r="X568" s="207">
        <f t="shared" si="45"/>
        <v>0</v>
      </c>
    </row>
    <row r="569" spans="12:24">
      <c r="L569" s="423"/>
      <c r="M569" s="68">
        <f>IF(compute_ManualOverrideHybrid="No", COUNTIFS(Hybrid!E$5:E$14987, UCDEffortSpread!D45, Hybrid!B$5:B$14987,Definition!C$15,Hybrid!D$5:D$14987,Definition!E$3),0)</f>
        <v>0</v>
      </c>
      <c r="N569" s="68">
        <f>IF(compute_ManualOverrideHybrid="No", COUNTIFS(Hybrid!E$5:E$14987, UCDEffortSpread!D45, Hybrid!B$5:B$14987,Definition!C$15,Hybrid!D$5:D$14987,Definition!F$3), 0)</f>
        <v>0</v>
      </c>
      <c r="O569" s="68">
        <f>IF(compute_ManualOverrideHybrid="No", COUNTIFS(Hybrid!E$5:E$14987, UCDEffortSpread!D45, Hybrid!B$5:B$14987,Definition!C$15,Hybrid!D$5:D$14987,Definition!G$3), 0)</f>
        <v>0</v>
      </c>
      <c r="P569" s="68">
        <f>IF(compute_ManualOverrideHybrid="No", COUNTIFS(Hybrid!E$5:E$14987, UCDEffortSpread!D44, Hybrid!B$5:B$14987,Definition!C$15,Hybrid!D$5:D$14987,Definition!H$3),0)</f>
        <v>0</v>
      </c>
      <c r="Q569" s="68">
        <f>IF(compute_ManualOverrideHybrid="No", COUNTIFS(Hybrid!E$5:E$14987, UCDEffortSpread!D45, Hybrid!B$5:B$14987,Definition!C$15,Hybrid!D$5:D$14987,Definition!I$3), 0)</f>
        <v>0</v>
      </c>
      <c r="R569" s="204">
        <f>(Definition!M569*Definition!E$15)</f>
        <v>0</v>
      </c>
      <c r="S569" s="204">
        <f>(Definition!N569*Definition!F$15)</f>
        <v>0</v>
      </c>
      <c r="T569" s="204">
        <f>(Definition!O569*Definition!G$15)</f>
        <v>0</v>
      </c>
      <c r="U569" s="204">
        <f>(Definition!P569*Definition!H$15)</f>
        <v>0</v>
      </c>
      <c r="V569" s="204">
        <f>(Definition!Q569*Definition!I$15)</f>
        <v>0</v>
      </c>
      <c r="W569" s="203">
        <f t="shared" si="47"/>
        <v>0</v>
      </c>
      <c r="X569" s="207">
        <f t="shared" si="45"/>
        <v>0</v>
      </c>
    </row>
    <row r="570" spans="12:24">
      <c r="L570" s="423"/>
      <c r="M570" s="68">
        <f>IF(compute_ManualOverrideHybrid="No", COUNTIFS(Hybrid!E$5:E$14987, UCDEffortSpread!D46, Hybrid!B$5:B$14987,Definition!C$15,Hybrid!D$5:D$14987,Definition!E$3),0)</f>
        <v>0</v>
      </c>
      <c r="N570" s="68">
        <f>IF(compute_ManualOverrideHybrid="No", COUNTIFS(Hybrid!E$5:E$14987, UCDEffortSpread!D46, Hybrid!B$5:B$14987,Definition!C$15,Hybrid!D$5:D$14987,Definition!F$3), 0)</f>
        <v>0</v>
      </c>
      <c r="O570" s="68">
        <f>IF(compute_ManualOverrideHybrid="No", COUNTIFS(Hybrid!E$5:E$14987, UCDEffortSpread!D46, Hybrid!B$5:B$14987,Definition!C$15,Hybrid!D$5:D$14987,Definition!G$3), 0)</f>
        <v>0</v>
      </c>
      <c r="P570" s="68">
        <f>IF(compute_ManualOverrideHybrid="No", COUNTIFS(Hybrid!E$5:E$14987, UCDEffortSpread!D45, Hybrid!B$5:B$14987,Definition!C$15,Hybrid!D$5:D$14987,Definition!H$3),0)</f>
        <v>0</v>
      </c>
      <c r="Q570" s="68">
        <f>IF(compute_ManualOverrideHybrid="No", COUNTIFS(Hybrid!E$5:E$14987, UCDEffortSpread!D46, Hybrid!B$5:B$14987,Definition!C$15,Hybrid!D$5:D$14987,Definition!I$3), 0)</f>
        <v>0</v>
      </c>
      <c r="R570" s="204">
        <f>(Definition!M570*Definition!E$15)</f>
        <v>0</v>
      </c>
      <c r="S570" s="204">
        <f>(Definition!N570*Definition!F$15)</f>
        <v>0</v>
      </c>
      <c r="T570" s="204">
        <f>(Definition!O570*Definition!G$15)</f>
        <v>0</v>
      </c>
      <c r="U570" s="204">
        <f>(Definition!P570*Definition!H$15)</f>
        <v>0</v>
      </c>
      <c r="V570" s="204">
        <f>(Definition!Q570*Definition!I$15)</f>
        <v>0</v>
      </c>
      <c r="W570" s="203">
        <f t="shared" si="47"/>
        <v>0</v>
      </c>
      <c r="X570" s="207">
        <f t="shared" si="45"/>
        <v>0</v>
      </c>
    </row>
    <row r="571" spans="12:24">
      <c r="L571" s="423"/>
      <c r="M571" s="68">
        <f>IF(compute_ManualOverrideHybrid="No", COUNTIFS(Hybrid!E$5:E$14987, UCDEffortSpread!D47, Hybrid!B$5:B$14987,Definition!C$15,Hybrid!D$5:D$14987,Definition!E$3),0)</f>
        <v>0</v>
      </c>
      <c r="N571" s="68">
        <f>IF(compute_ManualOverrideHybrid="No", COUNTIFS(Hybrid!E$5:E$14987, UCDEffortSpread!D47, Hybrid!B$5:B$14987,Definition!C$15,Hybrid!D$5:D$14987,Definition!F$3), 0)</f>
        <v>0</v>
      </c>
      <c r="O571" s="68">
        <f>IF(compute_ManualOverrideHybrid="No", COUNTIFS(Hybrid!E$5:E$14987, UCDEffortSpread!D47, Hybrid!B$5:B$14987,Definition!C$15,Hybrid!D$5:D$14987,Definition!G$3), 0)</f>
        <v>0</v>
      </c>
      <c r="P571" s="68">
        <f>IF(compute_ManualOverrideHybrid="No", COUNTIFS(Hybrid!E$5:E$14987, UCDEffortSpread!D46, Hybrid!B$5:B$14987,Definition!C$15,Hybrid!D$5:D$14987,Definition!H$3),0)</f>
        <v>0</v>
      </c>
      <c r="Q571" s="68">
        <f>IF(compute_ManualOverrideHybrid="No", COUNTIFS(Hybrid!E$5:E$14987, UCDEffortSpread!D47, Hybrid!B$5:B$14987,Definition!C$15,Hybrid!D$5:D$14987,Definition!I$3), 0)</f>
        <v>0</v>
      </c>
      <c r="R571" s="204">
        <f>(Definition!M571*Definition!E$15)</f>
        <v>0</v>
      </c>
      <c r="S571" s="204">
        <f>(Definition!N571*Definition!F$15)</f>
        <v>0</v>
      </c>
      <c r="T571" s="204">
        <f>(Definition!O571*Definition!G$15)</f>
        <v>0</v>
      </c>
      <c r="U571" s="204">
        <f>(Definition!P571*Definition!H$15)</f>
        <v>0</v>
      </c>
      <c r="V571" s="204">
        <f>(Definition!Q571*Definition!I$15)</f>
        <v>0</v>
      </c>
      <c r="W571" s="203">
        <f t="shared" si="47"/>
        <v>0</v>
      </c>
      <c r="X571" s="207">
        <f t="shared" si="45"/>
        <v>0</v>
      </c>
    </row>
    <row r="572" spans="12:24">
      <c r="L572" s="423"/>
      <c r="M572" s="68">
        <f>IF(compute_ManualOverrideHybrid="No", COUNTIFS(Hybrid!E$5:E$14987, UCDEffortSpread!D48, Hybrid!B$5:B$14987,Definition!C$15,Hybrid!D$5:D$14987,Definition!E$3),0)</f>
        <v>0</v>
      </c>
      <c r="N572" s="68">
        <f>IF(compute_ManualOverrideHybrid="No", COUNTIFS(Hybrid!E$5:E$14987, UCDEffortSpread!D48, Hybrid!B$5:B$14987,Definition!C$15,Hybrid!D$5:D$14987,Definition!F$3), 0)</f>
        <v>0</v>
      </c>
      <c r="O572" s="68">
        <f>IF(compute_ManualOverrideHybrid="No", COUNTIFS(Hybrid!E$5:E$14987, UCDEffortSpread!D48, Hybrid!B$5:B$14987,Definition!C$15,Hybrid!D$5:D$14987,Definition!G$3), 0)</f>
        <v>0</v>
      </c>
      <c r="P572" s="68">
        <f>IF(compute_ManualOverrideHybrid="No", COUNTIFS(Hybrid!E$5:E$14987, UCDEffortSpread!D47, Hybrid!B$5:B$14987,Definition!C$15,Hybrid!D$5:D$14987,Definition!H$3),0)</f>
        <v>0</v>
      </c>
      <c r="Q572" s="68">
        <f>IF(compute_ManualOverrideHybrid="No", COUNTIFS(Hybrid!E$5:E$14987, UCDEffortSpread!D48, Hybrid!B$5:B$14987,Definition!C$15,Hybrid!D$5:D$14987,Definition!I$3), 0)</f>
        <v>0</v>
      </c>
      <c r="R572" s="204">
        <f>(Definition!M572*Definition!E$15)</f>
        <v>0</v>
      </c>
      <c r="S572" s="204">
        <f>(Definition!N572*Definition!F$15)</f>
        <v>0</v>
      </c>
      <c r="T572" s="204">
        <f>(Definition!O572*Definition!G$15)</f>
        <v>0</v>
      </c>
      <c r="U572" s="204">
        <f>(Definition!P572*Definition!H$15)</f>
        <v>0</v>
      </c>
      <c r="V572" s="204">
        <f>(Definition!Q572*Definition!I$15)</f>
        <v>0</v>
      </c>
      <c r="W572" s="203">
        <f t="shared" si="47"/>
        <v>0</v>
      </c>
      <c r="X572" s="207">
        <f t="shared" si="45"/>
        <v>0</v>
      </c>
    </row>
    <row r="573" spans="12:24">
      <c r="L573" s="423"/>
      <c r="M573" s="68">
        <f>IF(compute_ManualOverrideHybrid="No", COUNTIFS(Hybrid!E$5:E$14987, UCDEffortSpread!D49, Hybrid!B$5:B$14987,Definition!C$15,Hybrid!D$5:D$14987,Definition!E$3),0)</f>
        <v>0</v>
      </c>
      <c r="N573" s="68">
        <f>IF(compute_ManualOverrideHybrid="No", COUNTIFS(Hybrid!E$5:E$14987, UCDEffortSpread!D49, Hybrid!B$5:B$14987,Definition!C$15,Hybrid!D$5:D$14987,Definition!F$3), 0)</f>
        <v>0</v>
      </c>
      <c r="O573" s="68">
        <f>IF(compute_ManualOverrideHybrid="No", COUNTIFS(Hybrid!E$5:E$14987, UCDEffortSpread!D49, Hybrid!B$5:B$14987,Definition!C$15,Hybrid!D$5:D$14987,Definition!G$3), 0)</f>
        <v>0</v>
      </c>
      <c r="P573" s="68">
        <f>IF(compute_ManualOverrideHybrid="No", COUNTIFS(Hybrid!E$5:E$14987, UCDEffortSpread!D48, Hybrid!B$5:B$14987,Definition!C$15,Hybrid!D$5:D$14987,Definition!H$3),0)</f>
        <v>0</v>
      </c>
      <c r="Q573" s="68">
        <f>IF(compute_ManualOverrideHybrid="No", COUNTIFS(Hybrid!E$5:E$14987, UCDEffortSpread!D49, Hybrid!B$5:B$14987,Definition!C$15,Hybrid!D$5:D$14987,Definition!I$3), 0)</f>
        <v>0</v>
      </c>
      <c r="R573" s="204">
        <f>(Definition!M573*Definition!E$15)</f>
        <v>0</v>
      </c>
      <c r="S573" s="204">
        <f>(Definition!N573*Definition!F$15)</f>
        <v>0</v>
      </c>
      <c r="T573" s="204">
        <f>(Definition!O573*Definition!G$15)</f>
        <v>0</v>
      </c>
      <c r="U573" s="204">
        <f>(Definition!P573*Definition!H$15)</f>
        <v>0</v>
      </c>
      <c r="V573" s="204">
        <f>(Definition!Q573*Definition!I$15)</f>
        <v>0</v>
      </c>
      <c r="W573" s="203">
        <f t="shared" si="47"/>
        <v>0</v>
      </c>
      <c r="X573" s="207">
        <f t="shared" si="45"/>
        <v>0</v>
      </c>
    </row>
    <row r="574" spans="12:24">
      <c r="L574" s="423"/>
      <c r="M574" s="68">
        <f>IF(compute_ManualOverrideHybrid="No", COUNTIFS(Hybrid!E$5:E$14987, UCDEffortSpread!D50, Hybrid!B$5:B$14987,Definition!C$15,Hybrid!D$5:D$14987,Definition!E$3),0)</f>
        <v>0</v>
      </c>
      <c r="N574" s="68">
        <f>IF(compute_ManualOverrideHybrid="No", COUNTIFS(Hybrid!E$5:E$14987, UCDEffortSpread!D50, Hybrid!B$5:B$14987,Definition!C$15,Hybrid!D$5:D$14987,Definition!F$3), 0)</f>
        <v>0</v>
      </c>
      <c r="O574" s="68">
        <f>IF(compute_ManualOverrideHybrid="No", COUNTIFS(Hybrid!E$5:E$14987, UCDEffortSpread!D50, Hybrid!B$5:B$14987,Definition!C$15,Hybrid!D$5:D$14987,Definition!G$3), 0)</f>
        <v>0</v>
      </c>
      <c r="P574" s="68">
        <f>IF(compute_ManualOverrideHybrid="No", COUNTIFS(Hybrid!E$5:E$14987, UCDEffortSpread!D49, Hybrid!B$5:B$14987,Definition!C$15,Hybrid!D$5:D$14987,Definition!H$3),0)</f>
        <v>0</v>
      </c>
      <c r="Q574" s="68">
        <f>IF(compute_ManualOverrideHybrid="No", COUNTIFS(Hybrid!E$5:E$14987, UCDEffortSpread!D50, Hybrid!B$5:B$14987,Definition!C$15,Hybrid!D$5:D$14987,Definition!I$3), 0)</f>
        <v>0</v>
      </c>
      <c r="R574" s="204">
        <f>(Definition!M574*Definition!E$15)</f>
        <v>0</v>
      </c>
      <c r="S574" s="204">
        <f>(Definition!N574*Definition!F$15)</f>
        <v>0</v>
      </c>
      <c r="T574" s="204">
        <f>(Definition!O574*Definition!G$15)</f>
        <v>0</v>
      </c>
      <c r="U574" s="204">
        <f>(Definition!P574*Definition!H$15)</f>
        <v>0</v>
      </c>
      <c r="V574" s="204">
        <f>(Definition!Q574*Definition!I$15)</f>
        <v>0</v>
      </c>
      <c r="W574" s="203">
        <f t="shared" si="47"/>
        <v>0</v>
      </c>
      <c r="X574" s="207">
        <f t="shared" si="45"/>
        <v>0</v>
      </c>
    </row>
    <row r="575" spans="12:24">
      <c r="L575" s="423"/>
      <c r="M575" s="68">
        <f>IF(compute_ManualOverrideHybrid="No", COUNTIFS(Hybrid!E$5:E$14987, UCDEffortSpread!D51, Hybrid!B$5:B$14987,Definition!C$15,Hybrid!D$5:D$14987,Definition!E$3),0)</f>
        <v>0</v>
      </c>
      <c r="N575" s="68">
        <f>IF(compute_ManualOverrideHybrid="No", COUNTIFS(Hybrid!E$5:E$14987, UCDEffortSpread!D51, Hybrid!B$5:B$14987,Definition!C$15,Hybrid!D$5:D$14987,Definition!F$3), 0)</f>
        <v>0</v>
      </c>
      <c r="O575" s="68">
        <f>IF(compute_ManualOverrideHybrid="No", COUNTIFS(Hybrid!E$5:E$14987, UCDEffortSpread!D51, Hybrid!B$5:B$14987,Definition!C$15,Hybrid!D$5:D$14987,Definition!G$3), 0)</f>
        <v>0</v>
      </c>
      <c r="P575" s="68">
        <f>IF(compute_ManualOverrideHybrid="No", COUNTIFS(Hybrid!E$5:E$14987, UCDEffortSpread!D50, Hybrid!B$5:B$14987,Definition!C$15,Hybrid!D$5:D$14987,Definition!H$3),0)</f>
        <v>0</v>
      </c>
      <c r="Q575" s="68">
        <f>IF(compute_ManualOverrideHybrid="No", COUNTIFS(Hybrid!E$5:E$14987, UCDEffortSpread!D51, Hybrid!B$5:B$14987,Definition!C$15,Hybrid!D$5:D$14987,Definition!I$3), 0)</f>
        <v>0</v>
      </c>
      <c r="R575" s="204">
        <f>(Definition!M575*Definition!E$15)</f>
        <v>0</v>
      </c>
      <c r="S575" s="204">
        <f>(Definition!N575*Definition!F$15)</f>
        <v>0</v>
      </c>
      <c r="T575" s="204">
        <f>(Definition!O575*Definition!G$15)</f>
        <v>0</v>
      </c>
      <c r="U575" s="204">
        <f>(Definition!P575*Definition!H$15)</f>
        <v>0</v>
      </c>
      <c r="V575" s="204">
        <f>(Definition!Q575*Definition!I$15)</f>
        <v>0</v>
      </c>
      <c r="W575" s="203">
        <f t="shared" si="47"/>
        <v>0</v>
      </c>
      <c r="X575" s="207">
        <f t="shared" ref="X575:X628" si="48">IF(W575&lt;&gt;0,SUM(R575:V575)+((effort_Hybrid_Android+effort_Hybrid_iOS)/AA$30),0)</f>
        <v>0</v>
      </c>
    </row>
    <row r="576" spans="12:24">
      <c r="L576" s="423"/>
      <c r="M576" s="68">
        <f>IF(compute_ManualOverrideHybrid="No", COUNTIFS(Hybrid!E$5:E$14987, UCDEffortSpread!D52, Hybrid!B$5:B$14987,Definition!C$15,Hybrid!D$5:D$14987,Definition!E$3),0)</f>
        <v>0</v>
      </c>
      <c r="N576" s="68">
        <f>IF(compute_ManualOverrideHybrid="No", COUNTIFS(Hybrid!E$5:E$14987, UCDEffortSpread!D52, Hybrid!B$5:B$14987,Definition!C$15,Hybrid!D$5:D$14987,Definition!F$3), 0)</f>
        <v>0</v>
      </c>
      <c r="O576" s="68">
        <f>IF(compute_ManualOverrideHybrid="No", COUNTIFS(Hybrid!E$5:E$14987, UCDEffortSpread!D52, Hybrid!B$5:B$14987,Definition!C$15,Hybrid!D$5:D$14987,Definition!G$3), 0)</f>
        <v>0</v>
      </c>
      <c r="P576" s="68">
        <f>IF(compute_ManualOverrideHybrid="No", COUNTIFS(Hybrid!E$5:E$14987, UCDEffortSpread!D51, Hybrid!B$5:B$14987,Definition!C$15,Hybrid!D$5:D$14987,Definition!H$3),0)</f>
        <v>0</v>
      </c>
      <c r="Q576" s="68">
        <f>IF(compute_ManualOverrideHybrid="No", COUNTIFS(Hybrid!E$5:E$14987, UCDEffortSpread!D52, Hybrid!B$5:B$14987,Definition!C$15,Hybrid!D$5:D$14987,Definition!I$3), 0)</f>
        <v>0</v>
      </c>
      <c r="R576" s="204">
        <f>(Definition!M576*Definition!E$15)</f>
        <v>0</v>
      </c>
      <c r="S576" s="204">
        <f>(Definition!N576*Definition!F$15)</f>
        <v>0</v>
      </c>
      <c r="T576" s="204">
        <f>(Definition!O576*Definition!G$15)</f>
        <v>0</v>
      </c>
      <c r="U576" s="204">
        <f>(Definition!P576*Definition!H$15)</f>
        <v>0</v>
      </c>
      <c r="V576" s="204">
        <f>(Definition!Q576*Definition!I$15)</f>
        <v>0</v>
      </c>
      <c r="W576" s="203">
        <f t="shared" si="47"/>
        <v>0</v>
      </c>
      <c r="X576" s="207">
        <f t="shared" si="48"/>
        <v>0</v>
      </c>
    </row>
    <row r="577" spans="12:24">
      <c r="L577" s="423"/>
      <c r="M577" s="68">
        <f>IF(compute_ManualOverrideHybrid="No", COUNTIFS(Hybrid!E$5:E$14987, UCDEffortSpread!D53, Hybrid!B$5:B$14987,Definition!C$15,Hybrid!D$5:D$14987,Definition!E$3),0)</f>
        <v>0</v>
      </c>
      <c r="N577" s="68">
        <f>IF(compute_ManualOverrideHybrid="No", COUNTIFS(Hybrid!E$5:E$14987, UCDEffortSpread!D53, Hybrid!B$5:B$14987,Definition!C$15,Hybrid!D$5:D$14987,Definition!F$3), 0)</f>
        <v>0</v>
      </c>
      <c r="O577" s="68">
        <f>IF(compute_ManualOverrideHybrid="No", COUNTIFS(Hybrid!E$5:E$14987, UCDEffortSpread!D53, Hybrid!B$5:B$14987,Definition!C$15,Hybrid!D$5:D$14987,Definition!G$3), 0)</f>
        <v>0</v>
      </c>
      <c r="P577" s="68">
        <f>IF(compute_ManualOverrideHybrid="No", COUNTIFS(Hybrid!E$5:E$14987, UCDEffortSpread!D52, Hybrid!B$5:B$14987,Definition!C$15,Hybrid!D$5:D$14987,Definition!H$3),0)</f>
        <v>0</v>
      </c>
      <c r="Q577" s="68">
        <f>IF(compute_ManualOverrideHybrid="No", COUNTIFS(Hybrid!E$5:E$14987, UCDEffortSpread!D53, Hybrid!B$5:B$14987,Definition!C$15,Hybrid!D$5:D$14987,Definition!I$3), 0)</f>
        <v>0</v>
      </c>
      <c r="R577" s="204">
        <f>(Definition!M577*Definition!E$15)</f>
        <v>0</v>
      </c>
      <c r="S577" s="204">
        <f>(Definition!N577*Definition!F$15)</f>
        <v>0</v>
      </c>
      <c r="T577" s="204">
        <f>(Definition!O577*Definition!G$15)</f>
        <v>0</v>
      </c>
      <c r="U577" s="204">
        <f>(Definition!P577*Definition!H$15)</f>
        <v>0</v>
      </c>
      <c r="V577" s="204">
        <f>(Definition!Q577*Definition!I$15)</f>
        <v>0</v>
      </c>
      <c r="W577" s="203">
        <f t="shared" si="47"/>
        <v>0</v>
      </c>
      <c r="X577" s="207">
        <f t="shared" si="48"/>
        <v>0</v>
      </c>
    </row>
    <row r="578" spans="12:24">
      <c r="L578" s="424"/>
      <c r="M578" s="68">
        <f>IF(compute_ManualOverrideHybrid="No", COUNTIFS(Hybrid!E$5:E$14987, UCDEffortSpread!D54, Hybrid!B$5:B$14987,Definition!C$15,Hybrid!D$5:D$14987,Definition!E$3),0)</f>
        <v>0</v>
      </c>
      <c r="N578" s="68">
        <f>IF(compute_ManualOverrideHybrid="No", COUNTIFS(Hybrid!E$5:E$14987, UCDEffortSpread!D54, Hybrid!B$5:B$14987,Definition!C$15,Hybrid!D$5:D$14987,Definition!F$3), 0)</f>
        <v>0</v>
      </c>
      <c r="O578" s="68">
        <f>IF(compute_ManualOverrideHybrid="No", COUNTIFS(Hybrid!E$5:E$14987, UCDEffortSpread!D54, Hybrid!B$5:B$14987,Definition!C$15,Hybrid!D$5:D$14987,Definition!G$3), 0)</f>
        <v>0</v>
      </c>
      <c r="P578" s="68">
        <f>IF(compute_ManualOverrideHybrid="No", COUNTIFS(Hybrid!E$5:E$14987, UCDEffortSpread!D53, Hybrid!B$5:B$14987,Definition!C$15,Hybrid!D$5:D$14987,Definition!H$3),0)</f>
        <v>0</v>
      </c>
      <c r="Q578" s="68">
        <f>IF(compute_ManualOverrideHybrid="No", COUNTIFS(Hybrid!E$5:E$14987, UCDEffortSpread!D54, Hybrid!B$5:B$14987,Definition!C$15,Hybrid!D$5:D$14987,Definition!I$3), 0)</f>
        <v>0</v>
      </c>
      <c r="R578" s="204">
        <f>(Definition!M578*Definition!E$15)</f>
        <v>0</v>
      </c>
      <c r="S578" s="204">
        <f>(Definition!N578*Definition!F$15)</f>
        <v>0</v>
      </c>
      <c r="T578" s="204">
        <f>(Definition!O578*Definition!G$15)</f>
        <v>0</v>
      </c>
      <c r="U578" s="204">
        <f>(Definition!P578*Definition!H$15)</f>
        <v>0</v>
      </c>
      <c r="V578" s="204">
        <f>(Definition!Q578*Definition!I$15)</f>
        <v>0</v>
      </c>
      <c r="W578" s="203">
        <f t="shared" si="47"/>
        <v>0</v>
      </c>
      <c r="X578" s="207">
        <f t="shared" si="48"/>
        <v>0</v>
      </c>
    </row>
    <row r="579" spans="12:24">
      <c r="L579" s="422" t="str">
        <f>C16</f>
        <v>Test Cases</v>
      </c>
      <c r="M579" s="68">
        <f>IF(compute_ManualOverrideHybrid="No", COUNTIFS(Hybrid!E$5:E$14987, UCDEffortSpread!D5, Hybrid!B$5:B$14987,Definition!C$16,Hybrid!D$5:D$14987,Definition!E$3), Hybrid!H$19)</f>
        <v>0</v>
      </c>
      <c r="N579" s="68">
        <f>IF(compute_ManualOverrideHybrid="No", COUNTIFS(Hybrid!E$5:E$14987, UCDEffortSpread!D5, Hybrid!B$5:B$14987,Definition!C$16,Hybrid!D$5:D$14987,Definition!F$3), Hybrid!I$19)</f>
        <v>0</v>
      </c>
      <c r="O579" s="68">
        <f>IF(compute_ManualOverrideHybrid="No", COUNTIFS(Hybrid!E$5:E$14987, UCDEffortSpread!D5, Hybrid!B$5:B$14987,Definition!C$16,Hybrid!D$5:D$14987,Definition!G$3), Hybrid!J$19)</f>
        <v>0</v>
      </c>
      <c r="P579" s="68">
        <f>IF(compute_ManualOverrideHybrid="No", COUNTIFS(Hybrid!E$5:E$14987, UCDEffortSpread!D5, Hybrid!B$5:B$14987,Definition!C$16,Hybrid!D$5:D$14987,Definition!H$3), Hybrid!K$19)</f>
        <v>0</v>
      </c>
      <c r="Q579" s="68">
        <f>IF(compute_ManualOverrideHybrid="No", COUNTIFS(Hybrid!E$5:E$14987, UCDEffortSpread!D5, Hybrid!B$5:B$14987,Definition!C$16,Hybrid!D$5:D$14987,Definition!I$3), Hybrid!L$19)</f>
        <v>0</v>
      </c>
      <c r="R579" s="203">
        <f>(Definition!M579*Definition!E$16)</f>
        <v>0</v>
      </c>
      <c r="S579" s="203">
        <f>(Definition!N579*Definition!F$16)</f>
        <v>0</v>
      </c>
      <c r="T579" s="203">
        <f>(Definition!O579*Definition!G$16)</f>
        <v>0</v>
      </c>
      <c r="U579" s="203">
        <f>(Definition!P579*Definition!H$16)</f>
        <v>0</v>
      </c>
      <c r="V579" s="203">
        <f>(Definition!Q579*Definition!I$16)</f>
        <v>0</v>
      </c>
      <c r="W579" s="204">
        <f>SUM(R579:V579)</f>
        <v>0</v>
      </c>
      <c r="X579" s="207">
        <f>IF(W579&lt;&gt;0,SUM(R579:V579)+((effort_Hybrid_Android+effort_Hybrid_iOS)/AA$30),0)</f>
        <v>0</v>
      </c>
    </row>
    <row r="580" spans="12:24">
      <c r="L580" s="423"/>
      <c r="M580" s="68">
        <f>IF(compute_ManualOverrideHybrid="No", COUNTIFS(Hybrid!E$5:E$14987, UCDEffortSpread!D6, Hybrid!B$5:B$14987,Definition!C$16,Hybrid!D$5:D$14987,Definition!E$3), 0)</f>
        <v>0</v>
      </c>
      <c r="N580" s="68">
        <f>IF(compute_ManualOverrideHybrid="No", COUNTIFS(Hybrid!E$5:E$14987, UCDEffortSpread!D6, Hybrid!B$5:B$14987,Definition!C$16,Hybrid!D$5:D$14987,Definition!F$3), 0)</f>
        <v>0</v>
      </c>
      <c r="O580" s="68">
        <f>IF(compute_ManualOverrideHybrid="No", COUNTIFS(Hybrid!E$5:E$14987, UCDEffortSpread!D6, Hybrid!B$5:B$14987,Definition!C$16,Hybrid!D$5:D$14987,Definition!G$3), 0)</f>
        <v>0</v>
      </c>
      <c r="P580" s="68">
        <f>IF(compute_ManualOverrideHybrid="No", COUNTIFS(Hybrid!E$5:E$14987, UCDEffortSpread!D6, Hybrid!B$5:B$14987,Definition!C$16,Hybrid!D$5:D$14987,Definition!H$3), 0)</f>
        <v>0</v>
      </c>
      <c r="Q580" s="68">
        <f>IF(compute_ManualOverrideHybrid="No", COUNTIFS(Hybrid!E$5:E$14987, UCDEffortSpread!D6, Hybrid!B$5:B$14987,Definition!C$16,Hybrid!D$5:D$14987,Definition!I$3), 0)</f>
        <v>0</v>
      </c>
      <c r="R580" s="203">
        <f>(Definition!M580*Definition!E$16)</f>
        <v>0</v>
      </c>
      <c r="S580" s="203">
        <f>(Definition!N580*Definition!F$16)</f>
        <v>0</v>
      </c>
      <c r="T580" s="203">
        <f>(Definition!O580*Definition!G$16)</f>
        <v>0</v>
      </c>
      <c r="U580" s="203">
        <f>(Definition!P580*Definition!H$16)</f>
        <v>0</v>
      </c>
      <c r="V580" s="203">
        <f>(Definition!Q580*Definition!I$16)</f>
        <v>0</v>
      </c>
      <c r="W580" s="204">
        <f t="shared" ref="W580:W593" si="49">SUM(R580:V580)</f>
        <v>0</v>
      </c>
      <c r="X580" s="207">
        <f t="shared" si="48"/>
        <v>0</v>
      </c>
    </row>
    <row r="581" spans="12:24">
      <c r="L581" s="423"/>
      <c r="M581" s="68">
        <f>IF(compute_ManualOverrideHybrid="No", COUNTIFS(Hybrid!E$5:E$14987, UCDEffortSpread!D7, Hybrid!B$5:B$14987,Definition!C$16,Hybrid!D$5:D$14987,Definition!E$3), 0)</f>
        <v>0</v>
      </c>
      <c r="N581" s="68">
        <f>IF(compute_ManualOverrideHybrid="No", COUNTIFS(Hybrid!E$5:E$14987, UCDEffortSpread!D7, Hybrid!B$5:B$14987,Definition!C$16,Hybrid!D$5:D$14987,Definition!F$3), 0)</f>
        <v>0</v>
      </c>
      <c r="O581" s="68">
        <f>IF(compute_ManualOverrideHybrid="No", COUNTIFS(Hybrid!E$5:E$14987, UCDEffortSpread!D7, Hybrid!B$5:B$14987,Definition!C$16,Hybrid!D$5:D$14987,Definition!G$3), 0)</f>
        <v>0</v>
      </c>
      <c r="P581" s="68">
        <f>IF(compute_ManualOverrideHybrid="No", COUNTIFS(Hybrid!E$5:E$14987, UCDEffortSpread!D7, Hybrid!B$5:B$14987,Definition!C$16,Hybrid!D$5:D$14987,Definition!H$3), 0)</f>
        <v>0</v>
      </c>
      <c r="Q581" s="68">
        <f>IF(compute_ManualOverrideHybrid="No", COUNTIFS(Hybrid!E$5:E$14987, UCDEffortSpread!D7, Hybrid!B$5:B$14987,Definition!C$16,Hybrid!D$5:D$14987,Definition!I$3), 0)</f>
        <v>0</v>
      </c>
      <c r="R581" s="203">
        <f>(Definition!M581*Definition!E$16)</f>
        <v>0</v>
      </c>
      <c r="S581" s="203">
        <f>(Definition!N581*Definition!F$16)</f>
        <v>0</v>
      </c>
      <c r="T581" s="203">
        <f>(Definition!O581*Definition!G$16)</f>
        <v>0</v>
      </c>
      <c r="U581" s="203">
        <f>(Definition!P581*Definition!H$16)</f>
        <v>0</v>
      </c>
      <c r="V581" s="203">
        <f>(Definition!Q581*Definition!I$16)</f>
        <v>0</v>
      </c>
      <c r="W581" s="204">
        <f t="shared" si="49"/>
        <v>0</v>
      </c>
      <c r="X581" s="207">
        <f t="shared" si="48"/>
        <v>0</v>
      </c>
    </row>
    <row r="582" spans="12:24">
      <c r="L582" s="423"/>
      <c r="M582" s="68">
        <f>IF(compute_ManualOverrideHybrid="No", COUNTIFS(Hybrid!E$5:E$14987, UCDEffortSpread!D8, Hybrid!B$5:B$14987,Definition!C$16,Hybrid!D$5:D$14987,Definition!E$3), 0)</f>
        <v>0</v>
      </c>
      <c r="N582" s="68">
        <f>IF(compute_ManualOverrideHybrid="No", COUNTIFS(Hybrid!E$5:E$14987, UCDEffortSpread!D8, Hybrid!B$5:B$14987,Definition!C$16,Hybrid!D$5:D$14987,Definition!F$3), 0)</f>
        <v>0</v>
      </c>
      <c r="O582" s="68">
        <f>IF(compute_ManualOverrideHybrid="No", COUNTIFS(Hybrid!E$5:E$14987, UCDEffortSpread!D8, Hybrid!B$5:B$14987,Definition!C$16,Hybrid!D$5:D$14987,Definition!G$3), 0)</f>
        <v>0</v>
      </c>
      <c r="P582" s="68">
        <f>IF(compute_ManualOverrideHybrid="No", COUNTIFS(Hybrid!E$5:E$14987, UCDEffortSpread!D8, Hybrid!B$5:B$14987,Definition!C$16,Hybrid!D$5:D$14987,Definition!H$3), 0)</f>
        <v>0</v>
      </c>
      <c r="Q582" s="68">
        <f>IF(compute_ManualOverrideHybrid="No", COUNTIFS(Hybrid!E$5:E$14987, UCDEffortSpread!D8, Hybrid!B$5:B$14987,Definition!C$16,Hybrid!D$5:D$14987,Definition!I$3), 0)</f>
        <v>0</v>
      </c>
      <c r="R582" s="203">
        <f>(Definition!M582*Definition!E$16)</f>
        <v>0</v>
      </c>
      <c r="S582" s="203">
        <f>(Definition!N582*Definition!F$16)</f>
        <v>0</v>
      </c>
      <c r="T582" s="203">
        <f>(Definition!O582*Definition!G$16)</f>
        <v>0</v>
      </c>
      <c r="U582" s="203">
        <f>(Definition!P582*Definition!H$16)</f>
        <v>0</v>
      </c>
      <c r="V582" s="203">
        <f>(Definition!Q582*Definition!I$16)</f>
        <v>0</v>
      </c>
      <c r="W582" s="204">
        <f t="shared" si="49"/>
        <v>0</v>
      </c>
      <c r="X582" s="207">
        <f t="shared" si="48"/>
        <v>0</v>
      </c>
    </row>
    <row r="583" spans="12:24">
      <c r="L583" s="423"/>
      <c r="M583" s="68">
        <f>IF(compute_ManualOverrideHybrid="No", COUNTIFS(Hybrid!E$5:E$14987, UCDEffortSpread!D9, Hybrid!B$5:B$14987,Definition!C$16,Hybrid!D$5:D$14987,Definition!E$3), 0)</f>
        <v>0</v>
      </c>
      <c r="N583" s="68">
        <f>IF(compute_ManualOverrideHybrid="No", COUNTIFS(Hybrid!E$5:E$14987, UCDEffortSpread!D9, Hybrid!B$5:B$14987,Definition!C$16,Hybrid!D$5:D$14987,Definition!F$3), 0)</f>
        <v>0</v>
      </c>
      <c r="O583" s="68">
        <f>IF(compute_ManualOverrideHybrid="No", COUNTIFS(Hybrid!E$5:E$14987, UCDEffortSpread!D9, Hybrid!B$5:B$14987,Definition!C$16,Hybrid!D$5:D$14987,Definition!G$3), 0)</f>
        <v>0</v>
      </c>
      <c r="P583" s="68">
        <f>IF(compute_ManualOverrideHybrid="No", COUNTIFS(Hybrid!E$5:E$14987, UCDEffortSpread!D9, Hybrid!B$5:B$14987,Definition!C$16,Hybrid!D$5:D$14987,Definition!H$3), 0)</f>
        <v>0</v>
      </c>
      <c r="Q583" s="68">
        <f>IF(compute_ManualOverrideHybrid="No", COUNTIFS(Hybrid!E$5:E$14987, UCDEffortSpread!D9, Hybrid!B$5:B$14987,Definition!C$16,Hybrid!D$5:D$14987,Definition!I$3), 0)</f>
        <v>0</v>
      </c>
      <c r="R583" s="203">
        <f>(Definition!M583*Definition!E$16)</f>
        <v>0</v>
      </c>
      <c r="S583" s="203">
        <f>(Definition!N583*Definition!F$16)</f>
        <v>0</v>
      </c>
      <c r="T583" s="203">
        <f>(Definition!O583*Definition!G$16)</f>
        <v>0</v>
      </c>
      <c r="U583" s="203">
        <f>(Definition!P583*Definition!H$16)</f>
        <v>0</v>
      </c>
      <c r="V583" s="203">
        <f>(Definition!Q583*Definition!I$16)</f>
        <v>0</v>
      </c>
      <c r="W583" s="204">
        <f t="shared" si="49"/>
        <v>0</v>
      </c>
      <c r="X583" s="207">
        <f t="shared" si="48"/>
        <v>0</v>
      </c>
    </row>
    <row r="584" spans="12:24">
      <c r="L584" s="423"/>
      <c r="M584" s="68">
        <f>IF(compute_ManualOverrideHybrid="No", COUNTIFS(Hybrid!E$5:E$14987, UCDEffortSpread!D10, Hybrid!B$5:B$14987,Definition!C$16,Hybrid!D$5:D$14987,Definition!E$3), 0)</f>
        <v>0</v>
      </c>
      <c r="N584" s="68">
        <f>IF(compute_ManualOverrideHybrid="No", COUNTIFS(Hybrid!E$5:E$14987, UCDEffortSpread!D10, Hybrid!B$5:B$14987,Definition!C$16,Hybrid!D$5:D$14987,Definition!F$3), 0)</f>
        <v>0</v>
      </c>
      <c r="O584" s="68">
        <f>IF(compute_ManualOverrideHybrid="No", COUNTIFS(Hybrid!E$5:E$14987, UCDEffortSpread!D10, Hybrid!B$5:B$14987,Definition!C$16,Hybrid!D$5:D$14987,Definition!G$3), 0)</f>
        <v>0</v>
      </c>
      <c r="P584" s="68">
        <f>IF(compute_ManualOverrideHybrid="No", COUNTIFS(Hybrid!E$5:E$14987, UCDEffortSpread!D10, Hybrid!B$5:B$14987,Definition!C$16,Hybrid!D$5:D$14987,Definition!H$3), 0)</f>
        <v>0</v>
      </c>
      <c r="Q584" s="68">
        <f>IF(compute_ManualOverrideHybrid="No", COUNTIFS(Hybrid!E$5:E$14987, UCDEffortSpread!D10, Hybrid!B$5:B$14987,Definition!C$16,Hybrid!D$5:D$14987,Definition!I$3), 0)</f>
        <v>0</v>
      </c>
      <c r="R584" s="203">
        <f>(Definition!M584*Definition!E$16)</f>
        <v>0</v>
      </c>
      <c r="S584" s="203">
        <f>(Definition!N584*Definition!F$16)</f>
        <v>0</v>
      </c>
      <c r="T584" s="203">
        <f>(Definition!O584*Definition!G$16)</f>
        <v>0</v>
      </c>
      <c r="U584" s="203">
        <f>(Definition!P584*Definition!H$16)</f>
        <v>0</v>
      </c>
      <c r="V584" s="203">
        <f>(Definition!Q584*Definition!I$16)</f>
        <v>0</v>
      </c>
      <c r="W584" s="204">
        <f t="shared" si="49"/>
        <v>0</v>
      </c>
      <c r="X584" s="207">
        <f t="shared" si="48"/>
        <v>0</v>
      </c>
    </row>
    <row r="585" spans="12:24">
      <c r="L585" s="423"/>
      <c r="M585" s="68">
        <f>IF(compute_ManualOverrideHybrid="No", COUNTIFS(Hybrid!E$5:E$14987, UCDEffortSpread!D11, Hybrid!B$5:B$14987,Definition!C$16,Hybrid!D$5:D$14987,Definition!E$3), 0)</f>
        <v>0</v>
      </c>
      <c r="N585" s="68">
        <f>IF(compute_ManualOverrideHybrid="No", COUNTIFS(Hybrid!E$5:E$14987, UCDEffortSpread!D11, Hybrid!B$5:B$14987,Definition!C$16,Hybrid!D$5:D$14987,Definition!F$3), 0)</f>
        <v>0</v>
      </c>
      <c r="O585" s="68">
        <f>IF(compute_ManualOverrideHybrid="No", COUNTIFS(Hybrid!E$5:E$14987, UCDEffortSpread!D11, Hybrid!B$5:B$14987,Definition!C$16,Hybrid!D$5:D$14987,Definition!G$3), 0)</f>
        <v>0</v>
      </c>
      <c r="P585" s="68">
        <f>IF(compute_ManualOverrideHybrid="No", COUNTIFS(Hybrid!E$5:E$14987, UCDEffortSpread!D11, Hybrid!B$5:B$14987,Definition!C$16,Hybrid!D$5:D$14987,Definition!H$3), 0)</f>
        <v>0</v>
      </c>
      <c r="Q585" s="68">
        <f>IF(compute_ManualOverrideHybrid="No", COUNTIFS(Hybrid!E$5:E$14987, UCDEffortSpread!D11, Hybrid!B$5:B$14987,Definition!C$16,Hybrid!D$5:D$14987,Definition!I$3), 0)</f>
        <v>0</v>
      </c>
      <c r="R585" s="203">
        <f>(Definition!M585*Definition!E$16)</f>
        <v>0</v>
      </c>
      <c r="S585" s="203">
        <f>(Definition!N585*Definition!F$16)</f>
        <v>0</v>
      </c>
      <c r="T585" s="203">
        <f>(Definition!O585*Definition!G$16)</f>
        <v>0</v>
      </c>
      <c r="U585" s="203">
        <f>(Definition!P585*Definition!H$16)</f>
        <v>0</v>
      </c>
      <c r="V585" s="203">
        <f>(Definition!Q585*Definition!I$16)</f>
        <v>0</v>
      </c>
      <c r="W585" s="204">
        <f t="shared" si="49"/>
        <v>0</v>
      </c>
      <c r="X585" s="207">
        <f t="shared" si="48"/>
        <v>0</v>
      </c>
    </row>
    <row r="586" spans="12:24">
      <c r="L586" s="423"/>
      <c r="M586" s="68">
        <f>IF(compute_ManualOverrideHybrid="No", COUNTIFS(Hybrid!E$5:E$14987, UCDEffortSpread!D12, Hybrid!B$5:B$14987,Definition!C$16,Hybrid!D$5:D$14987,Definition!E$3), 0)</f>
        <v>0</v>
      </c>
      <c r="N586" s="68">
        <f>IF(compute_ManualOverrideHybrid="No", COUNTIFS(Hybrid!E$5:E$14987, UCDEffortSpread!D12, Hybrid!B$5:B$14987,Definition!C$16,Hybrid!D$5:D$14987,Definition!F$3), 0)</f>
        <v>0</v>
      </c>
      <c r="O586" s="68">
        <f>IF(compute_ManualOverrideHybrid="No", COUNTIFS(Hybrid!E$5:E$14987, UCDEffortSpread!D12, Hybrid!B$5:B$14987,Definition!C$16,Hybrid!D$5:D$14987,Definition!G$3), 0)</f>
        <v>0</v>
      </c>
      <c r="P586" s="68">
        <f>IF(compute_ManualOverrideHybrid="No", COUNTIFS(Hybrid!E$5:E$14987, UCDEffortSpread!D12, Hybrid!B$5:B$14987,Definition!C$16,Hybrid!D$5:D$14987,Definition!H$3), 0)</f>
        <v>0</v>
      </c>
      <c r="Q586" s="68">
        <f>IF(compute_ManualOverrideHybrid="No", COUNTIFS(Hybrid!E$5:E$14987, UCDEffortSpread!D12, Hybrid!B$5:B$14987,Definition!C$16,Hybrid!D$5:D$14987,Definition!I$3), 0)</f>
        <v>0</v>
      </c>
      <c r="R586" s="203">
        <f>(Definition!M586*Definition!E$16)</f>
        <v>0</v>
      </c>
      <c r="S586" s="203">
        <f>(Definition!N586*Definition!F$16)</f>
        <v>0</v>
      </c>
      <c r="T586" s="203">
        <f>(Definition!O586*Definition!G$16)</f>
        <v>0</v>
      </c>
      <c r="U586" s="203">
        <f>(Definition!P586*Definition!H$16)</f>
        <v>0</v>
      </c>
      <c r="V586" s="203">
        <f>(Definition!Q586*Definition!I$16)</f>
        <v>0</v>
      </c>
      <c r="W586" s="204">
        <f t="shared" si="49"/>
        <v>0</v>
      </c>
      <c r="X586" s="207">
        <f t="shared" si="48"/>
        <v>0</v>
      </c>
    </row>
    <row r="587" spans="12:24">
      <c r="L587" s="423"/>
      <c r="M587" s="68">
        <f>IF(compute_ManualOverrideHybrid="No", COUNTIFS(Hybrid!E$5:E$14987, UCDEffortSpread!D13, Hybrid!B$5:B$14987,Definition!C$16,Hybrid!D$5:D$14987,Definition!E$3), 0)</f>
        <v>0</v>
      </c>
      <c r="N587" s="68">
        <f>IF(compute_ManualOverrideHybrid="No", COUNTIFS(Hybrid!E$5:E$14987, UCDEffortSpread!D13, Hybrid!B$5:B$14987,Definition!C$16,Hybrid!D$5:D$14987,Definition!F$3), 0)</f>
        <v>0</v>
      </c>
      <c r="O587" s="68">
        <f>IF(compute_ManualOverrideHybrid="No", COUNTIFS(Hybrid!E$5:E$14987, UCDEffortSpread!D13, Hybrid!B$5:B$14987,Definition!C$16,Hybrid!D$5:D$14987,Definition!G$3), 0)</f>
        <v>0</v>
      </c>
      <c r="P587" s="68">
        <f>IF(compute_ManualOverrideHybrid="No", COUNTIFS(Hybrid!E$5:E$14987, UCDEffortSpread!D13, Hybrid!B$5:B$14987,Definition!C$16,Hybrid!D$5:D$14987,Definition!H$3), 0)</f>
        <v>0</v>
      </c>
      <c r="Q587" s="68">
        <f>IF(compute_ManualOverrideHybrid="No", COUNTIFS(Hybrid!E$5:E$14987, UCDEffortSpread!D13, Hybrid!B$5:B$14987,Definition!C$16,Hybrid!D$5:D$14987,Definition!I$3), 0)</f>
        <v>0</v>
      </c>
      <c r="R587" s="203">
        <f>(Definition!M587*Definition!E$16)</f>
        <v>0</v>
      </c>
      <c r="S587" s="203">
        <f>(Definition!N587*Definition!F$16)</f>
        <v>0</v>
      </c>
      <c r="T587" s="203">
        <f>(Definition!O587*Definition!G$16)</f>
        <v>0</v>
      </c>
      <c r="U587" s="203">
        <f>(Definition!P587*Definition!H$16)</f>
        <v>0</v>
      </c>
      <c r="V587" s="203">
        <f>(Definition!Q587*Definition!I$16)</f>
        <v>0</v>
      </c>
      <c r="W587" s="204">
        <f t="shared" si="49"/>
        <v>0</v>
      </c>
      <c r="X587" s="207">
        <f t="shared" si="48"/>
        <v>0</v>
      </c>
    </row>
    <row r="588" spans="12:24">
      <c r="L588" s="423"/>
      <c r="M588" s="68">
        <f>IF(compute_ManualOverrideHybrid="No", COUNTIFS(Hybrid!E$5:E$14987, UCDEffortSpread!D14, Hybrid!B$5:B$14987,Definition!C$16,Hybrid!D$5:D$14987,Definition!E$3), 0)</f>
        <v>0</v>
      </c>
      <c r="N588" s="68">
        <f>IF(compute_ManualOverrideHybrid="No", COUNTIFS(Hybrid!E$5:E$14987, UCDEffortSpread!D14, Hybrid!B$5:B$14987,Definition!C$16,Hybrid!D$5:D$14987,Definition!F$3), 0)</f>
        <v>0</v>
      </c>
      <c r="O588" s="68">
        <f>IF(compute_ManualOverrideHybrid="No", COUNTIFS(Hybrid!E$5:E$14987, UCDEffortSpread!D14, Hybrid!B$5:B$14987,Definition!C$16,Hybrid!D$5:D$14987,Definition!G$3), 0)</f>
        <v>0</v>
      </c>
      <c r="P588" s="68">
        <f>IF(compute_ManualOverrideHybrid="No", COUNTIFS(Hybrid!E$5:E$14987, UCDEffortSpread!D14, Hybrid!B$5:B$14987,Definition!C$16,Hybrid!D$5:D$14987,Definition!H$3), 0)</f>
        <v>0</v>
      </c>
      <c r="Q588" s="68">
        <f>IF(compute_ManualOverrideHybrid="No", COUNTIFS(Hybrid!E$5:E$14987, UCDEffortSpread!D14, Hybrid!B$5:B$14987,Definition!C$16,Hybrid!D$5:D$14987,Definition!I$3), 0)</f>
        <v>0</v>
      </c>
      <c r="R588" s="203">
        <f>(Definition!M588*Definition!E$16)</f>
        <v>0</v>
      </c>
      <c r="S588" s="203">
        <f>(Definition!N588*Definition!F$16)</f>
        <v>0</v>
      </c>
      <c r="T588" s="203">
        <f>(Definition!O588*Definition!G$16)</f>
        <v>0</v>
      </c>
      <c r="U588" s="203">
        <f>(Definition!P588*Definition!H$16)</f>
        <v>0</v>
      </c>
      <c r="V588" s="203">
        <f>(Definition!Q588*Definition!I$16)</f>
        <v>0</v>
      </c>
      <c r="W588" s="204">
        <f t="shared" si="49"/>
        <v>0</v>
      </c>
      <c r="X588" s="207">
        <f t="shared" si="48"/>
        <v>0</v>
      </c>
    </row>
    <row r="589" spans="12:24">
      <c r="L589" s="423"/>
      <c r="M589" s="68">
        <f>IF(compute_ManualOverrideHybrid="No", COUNTIFS(Hybrid!E$5:E$14987, UCDEffortSpread!D15, Hybrid!B$5:B$14987,Definition!C$16,Hybrid!D$5:D$14987,Definition!E$3), 0)</f>
        <v>0</v>
      </c>
      <c r="N589" s="68">
        <f>IF(compute_ManualOverrideHybrid="No", COUNTIFS(Hybrid!E$5:E$14987, UCDEffortSpread!D15, Hybrid!B$5:B$14987,Definition!C$16,Hybrid!D$5:D$14987,Definition!F$3), 0)</f>
        <v>0</v>
      </c>
      <c r="O589" s="68">
        <f>IF(compute_ManualOverrideHybrid="No", COUNTIFS(Hybrid!E$5:E$14987, UCDEffortSpread!D15, Hybrid!B$5:B$14987,Definition!C$16,Hybrid!D$5:D$14987,Definition!G$3), 0)</f>
        <v>0</v>
      </c>
      <c r="P589" s="68">
        <f>IF(compute_ManualOverrideHybrid="No", COUNTIFS(Hybrid!E$5:E$14987, UCDEffortSpread!D15, Hybrid!B$5:B$14987,Definition!C$16,Hybrid!D$5:D$14987,Definition!H$3), 0)</f>
        <v>0</v>
      </c>
      <c r="Q589" s="68">
        <f>IF(compute_ManualOverrideHybrid="No", COUNTIFS(Hybrid!E$5:E$14987, UCDEffortSpread!D15, Hybrid!B$5:B$14987,Definition!C$16,Hybrid!D$5:D$14987,Definition!I$3), 0)</f>
        <v>0</v>
      </c>
      <c r="R589" s="203">
        <f>(Definition!M589*Definition!E$16)</f>
        <v>0</v>
      </c>
      <c r="S589" s="203">
        <f>(Definition!N589*Definition!F$16)</f>
        <v>0</v>
      </c>
      <c r="T589" s="203">
        <f>(Definition!O589*Definition!G$16)</f>
        <v>0</v>
      </c>
      <c r="U589" s="203">
        <f>(Definition!P589*Definition!H$16)</f>
        <v>0</v>
      </c>
      <c r="V589" s="203">
        <f>(Definition!Q589*Definition!I$16)</f>
        <v>0</v>
      </c>
      <c r="W589" s="204">
        <f t="shared" si="49"/>
        <v>0</v>
      </c>
      <c r="X589" s="207">
        <f t="shared" si="48"/>
        <v>0</v>
      </c>
    </row>
    <row r="590" spans="12:24">
      <c r="L590" s="423"/>
      <c r="M590" s="68">
        <f>IF(compute_ManualOverrideHybrid="No", COUNTIFS(Hybrid!E$5:E$14987, UCDEffortSpread!D16, Hybrid!B$5:B$14987,Definition!C$16,Hybrid!D$5:D$14987,Definition!E$3), 0)</f>
        <v>0</v>
      </c>
      <c r="N590" s="68">
        <f>IF(compute_ManualOverrideHybrid="No", COUNTIFS(Hybrid!E$5:E$14987, UCDEffortSpread!D16, Hybrid!B$5:B$14987,Definition!C$16,Hybrid!D$5:D$14987,Definition!F$3), 0)</f>
        <v>0</v>
      </c>
      <c r="O590" s="68">
        <f>IF(compute_ManualOverrideHybrid="No", COUNTIFS(Hybrid!E$5:E$14987, UCDEffortSpread!D16, Hybrid!B$5:B$14987,Definition!C$16,Hybrid!D$5:D$14987,Definition!G$3), 0)</f>
        <v>0</v>
      </c>
      <c r="P590" s="68">
        <f>IF(compute_ManualOverrideHybrid="No", COUNTIFS(Hybrid!E$5:E$14987, UCDEffortSpread!D16, Hybrid!B$5:B$14987,Definition!C$16,Hybrid!D$5:D$14987,Definition!H$3), 0)</f>
        <v>0</v>
      </c>
      <c r="Q590" s="68">
        <f>IF(compute_ManualOverrideHybrid="No", COUNTIFS(Hybrid!E$5:E$14987, UCDEffortSpread!D16, Hybrid!B$5:B$14987,Definition!C$16,Hybrid!D$5:D$14987,Definition!I$3), 0)</f>
        <v>0</v>
      </c>
      <c r="R590" s="203">
        <f>(Definition!M590*Definition!E$16)</f>
        <v>0</v>
      </c>
      <c r="S590" s="203">
        <f>(Definition!N590*Definition!F$16)</f>
        <v>0</v>
      </c>
      <c r="T590" s="203">
        <f>(Definition!O590*Definition!G$16)</f>
        <v>0</v>
      </c>
      <c r="U590" s="203">
        <f>(Definition!P590*Definition!H$16)</f>
        <v>0</v>
      </c>
      <c r="V590" s="203">
        <f>(Definition!Q590*Definition!I$16)</f>
        <v>0</v>
      </c>
      <c r="W590" s="204">
        <f t="shared" si="49"/>
        <v>0</v>
      </c>
      <c r="X590" s="207">
        <f t="shared" si="48"/>
        <v>0</v>
      </c>
    </row>
    <row r="591" spans="12:24">
      <c r="L591" s="423"/>
      <c r="M591" s="68">
        <f>IF(compute_ManualOverrideHybrid="No", COUNTIFS(Hybrid!E$5:E$14987, UCDEffortSpread!D17, Hybrid!B$5:B$14987,Definition!C$16,Hybrid!D$5:D$14987,Definition!E$3), 0)</f>
        <v>0</v>
      </c>
      <c r="N591" s="68">
        <f>IF(compute_ManualOverrideHybrid="No", COUNTIFS(Hybrid!E$5:E$14987, UCDEffortSpread!D17, Hybrid!B$5:B$14987,Definition!C$16,Hybrid!D$5:D$14987,Definition!F$3), 0)</f>
        <v>0</v>
      </c>
      <c r="O591" s="68">
        <f>IF(compute_ManualOverrideHybrid="No", COUNTIFS(Hybrid!E$5:E$14987, UCDEffortSpread!D17, Hybrid!B$5:B$14987,Definition!C$16,Hybrid!D$5:D$14987,Definition!G$3), 0)</f>
        <v>0</v>
      </c>
      <c r="P591" s="68">
        <f>IF(compute_ManualOverrideHybrid="No", COUNTIFS(Hybrid!E$5:E$14987, UCDEffortSpread!D17, Hybrid!B$5:B$14987,Definition!C$16,Hybrid!D$5:D$14987,Definition!H$3), 0)</f>
        <v>0</v>
      </c>
      <c r="Q591" s="68">
        <f>IF(compute_ManualOverrideHybrid="No", COUNTIFS(Hybrid!E$5:E$14987, UCDEffortSpread!D17, Hybrid!B$5:B$14987,Definition!C$16,Hybrid!D$5:D$14987,Definition!I$3), 0)</f>
        <v>0</v>
      </c>
      <c r="R591" s="203">
        <f>(Definition!M591*Definition!E$16)</f>
        <v>0</v>
      </c>
      <c r="S591" s="203">
        <f>(Definition!N591*Definition!F$16)</f>
        <v>0</v>
      </c>
      <c r="T591" s="203">
        <f>(Definition!O591*Definition!G$16)</f>
        <v>0</v>
      </c>
      <c r="U591" s="203">
        <f>(Definition!P591*Definition!H$16)</f>
        <v>0</v>
      </c>
      <c r="V591" s="203">
        <f>(Definition!Q591*Definition!I$16)</f>
        <v>0</v>
      </c>
      <c r="W591" s="204">
        <f t="shared" si="49"/>
        <v>0</v>
      </c>
      <c r="X591" s="207">
        <f t="shared" si="48"/>
        <v>0</v>
      </c>
    </row>
    <row r="592" spans="12:24">
      <c r="L592" s="423"/>
      <c r="M592" s="68">
        <f>IF(compute_ManualOverrideHybrid="No", COUNTIFS(Hybrid!E$5:E$14987, UCDEffortSpread!D18, Hybrid!B$5:B$14987,Definition!C$16,Hybrid!D$5:D$14987,Definition!E$3), 0)</f>
        <v>0</v>
      </c>
      <c r="N592" s="68">
        <f>IF(compute_ManualOverrideHybrid="No", COUNTIFS(Hybrid!E$5:E$14987, UCDEffortSpread!D18, Hybrid!B$5:B$14987,Definition!C$16,Hybrid!D$5:D$14987,Definition!F$3), 0)</f>
        <v>0</v>
      </c>
      <c r="O592" s="68">
        <f>IF(compute_ManualOverrideHybrid="No", COUNTIFS(Hybrid!E$5:E$14987, UCDEffortSpread!D18, Hybrid!B$5:B$14987,Definition!C$16,Hybrid!D$5:D$14987,Definition!G$3), 0)</f>
        <v>0</v>
      </c>
      <c r="P592" s="68">
        <f>IF(compute_ManualOverrideHybrid="No", COUNTIFS(Hybrid!E$5:E$14987, UCDEffortSpread!D18, Hybrid!B$5:B$14987,Definition!C$16,Hybrid!D$5:D$14987,Definition!H$3), 0)</f>
        <v>0</v>
      </c>
      <c r="Q592" s="68">
        <f>IF(compute_ManualOverrideHybrid="No", COUNTIFS(Hybrid!E$5:E$14987, UCDEffortSpread!D18, Hybrid!B$5:B$14987,Definition!C$16,Hybrid!D$5:D$14987,Definition!I$3), 0)</f>
        <v>0</v>
      </c>
      <c r="R592" s="203">
        <f>(Definition!M592*Definition!E$16)</f>
        <v>0</v>
      </c>
      <c r="S592" s="203">
        <f>(Definition!N592*Definition!F$16)</f>
        <v>0</v>
      </c>
      <c r="T592" s="203">
        <f>(Definition!O592*Definition!G$16)</f>
        <v>0</v>
      </c>
      <c r="U592" s="203">
        <f>(Definition!P592*Definition!H$16)</f>
        <v>0</v>
      </c>
      <c r="V592" s="203">
        <f>(Definition!Q592*Definition!I$16)</f>
        <v>0</v>
      </c>
      <c r="W592" s="204">
        <f t="shared" si="49"/>
        <v>0</v>
      </c>
      <c r="X592" s="207">
        <f t="shared" si="48"/>
        <v>0</v>
      </c>
    </row>
    <row r="593" spans="12:24">
      <c r="L593" s="423"/>
      <c r="M593" s="68">
        <f>IF(compute_ManualOverrideHybrid="No", COUNTIFS(Hybrid!E$5:E$14987, UCDEffortSpread!D19, Hybrid!B$5:B$14987,Definition!C$16,Hybrid!D$5:D$14987,Definition!E$3), 0)</f>
        <v>0</v>
      </c>
      <c r="N593" s="68">
        <f>IF(compute_ManualOverrideHybrid="No", COUNTIFS(Hybrid!E$5:E$14987, UCDEffortSpread!D19, Hybrid!B$5:B$14987,Definition!C$16,Hybrid!D$5:D$14987,Definition!F$3), 0)</f>
        <v>0</v>
      </c>
      <c r="O593" s="68">
        <f>IF(compute_ManualOverrideHybrid="No", COUNTIFS(Hybrid!E$5:E$14987, UCDEffortSpread!D19, Hybrid!B$5:B$14987,Definition!C$16,Hybrid!D$5:D$14987,Definition!G$3), 0)</f>
        <v>0</v>
      </c>
      <c r="P593" s="68">
        <f>IF(compute_ManualOverrideHybrid="No", COUNTIFS(Hybrid!E$5:E$14987, UCDEffortSpread!D19, Hybrid!B$5:B$14987,Definition!C$16,Hybrid!D$5:D$14987,Definition!H$3), 0)</f>
        <v>0</v>
      </c>
      <c r="Q593" s="68">
        <f>IF(compute_ManualOverrideHybrid="No", COUNTIFS(Hybrid!E$5:E$14987, UCDEffortSpread!D19, Hybrid!B$5:B$14987,Definition!C$16,Hybrid!D$5:D$14987,Definition!I$3), 0)</f>
        <v>0</v>
      </c>
      <c r="R593" s="203">
        <f>(Definition!M593*Definition!E$16)</f>
        <v>0</v>
      </c>
      <c r="S593" s="203">
        <f>(Definition!N593*Definition!F$16)</f>
        <v>0</v>
      </c>
      <c r="T593" s="203">
        <f>(Definition!O593*Definition!G$16)</f>
        <v>0</v>
      </c>
      <c r="U593" s="203">
        <f>(Definition!P593*Definition!H$16)</f>
        <v>0</v>
      </c>
      <c r="V593" s="203">
        <f>(Definition!Q593*Definition!I$16)</f>
        <v>0</v>
      </c>
      <c r="W593" s="204">
        <f t="shared" si="49"/>
        <v>0</v>
      </c>
      <c r="X593" s="207">
        <f t="shared" si="48"/>
        <v>0</v>
      </c>
    </row>
    <row r="594" spans="12:24">
      <c r="L594" s="423"/>
      <c r="M594" s="68">
        <f>IF(compute_ManualOverrideHybrid="No", COUNTIFS(Hybrid!E$5:E$14987, UCDEffortSpread!D20, Hybrid!B$5:B$14987,Definition!C$16,Hybrid!D$5:D$14987,Definition!E$3), 0)</f>
        <v>0</v>
      </c>
      <c r="N594" s="68">
        <f>IF(compute_ManualOverrideHybrid="No", COUNTIFS(Hybrid!E$5:E$14987, UCDEffortSpread!D20, Hybrid!B$5:B$14987,Definition!C$16,Hybrid!D$5:D$14987,Definition!F$3), 0)</f>
        <v>0</v>
      </c>
      <c r="O594" s="68">
        <f>IF(compute_ManualOverrideHybrid="No", COUNTIFS(Hybrid!E$5:E$14987, UCDEffortSpread!D20, Hybrid!B$5:B$14987,Definition!C$16,Hybrid!D$5:D$14987,Definition!G$3), 0)</f>
        <v>0</v>
      </c>
      <c r="P594" s="68">
        <f>IF(compute_ManualOverrideHybrid="No", COUNTIFS(Hybrid!E$5:E$14987, UCDEffortSpread!D20, Hybrid!B$5:B$14987,Definition!C$16,Hybrid!D$5:D$14987,Definition!H$3), 0)</f>
        <v>0</v>
      </c>
      <c r="Q594" s="68">
        <f>IF(compute_ManualOverrideHybrid="No", COUNTIFS(Hybrid!E$5:E$14987, UCDEffortSpread!D20, Hybrid!B$5:B$14987,Definition!C$16,Hybrid!D$5:D$14987,Definition!I$3), 0)</f>
        <v>0</v>
      </c>
      <c r="R594" s="203">
        <f>(Definition!M594*Definition!E$16)</f>
        <v>0</v>
      </c>
      <c r="S594" s="203">
        <f>(Definition!N594*Definition!F$16)</f>
        <v>0</v>
      </c>
      <c r="T594" s="203">
        <f>(Definition!O594*Definition!G$16)</f>
        <v>0</v>
      </c>
      <c r="U594" s="203">
        <f>(Definition!P594*Definition!H$16)</f>
        <v>0</v>
      </c>
      <c r="V594" s="203">
        <f>(Definition!Q594*Definition!I$16)</f>
        <v>0</v>
      </c>
      <c r="W594" s="204">
        <f t="shared" ref="W594:W628" si="50">SUM(R594:V594)</f>
        <v>0</v>
      </c>
      <c r="X594" s="207">
        <f t="shared" si="48"/>
        <v>0</v>
      </c>
    </row>
    <row r="595" spans="12:24">
      <c r="L595" s="423"/>
      <c r="M595" s="68">
        <f>IF(compute_ManualOverrideHybrid="No", COUNTIFS(Hybrid!E$5:E$14987, UCDEffortSpread!D21, Hybrid!B$5:B$14987,Definition!C$16,Hybrid!D$5:D$14987,Definition!E$3), 0)</f>
        <v>0</v>
      </c>
      <c r="N595" s="68">
        <f>IF(compute_ManualOverrideHybrid="No", COUNTIFS(Hybrid!E$5:E$14987, UCDEffortSpread!D21, Hybrid!B$5:B$14987,Definition!C$16,Hybrid!D$5:D$14987,Definition!F$3), 0)</f>
        <v>0</v>
      </c>
      <c r="O595" s="68">
        <f>IF(compute_ManualOverrideHybrid="No", COUNTIFS(Hybrid!E$5:E$14987, UCDEffortSpread!D21, Hybrid!B$5:B$14987,Definition!C$16,Hybrid!D$5:D$14987,Definition!G$3), 0)</f>
        <v>0</v>
      </c>
      <c r="P595" s="68">
        <f>IF(compute_ManualOverrideHybrid="No", COUNTIFS(Hybrid!E$5:E$14987, UCDEffortSpread!D21, Hybrid!B$5:B$14987,Definition!C$16,Hybrid!D$5:D$14987,Definition!H$3), 0)</f>
        <v>0</v>
      </c>
      <c r="Q595" s="68">
        <f>IF(compute_ManualOverrideHybrid="No", COUNTIFS(Hybrid!E$5:E$14987, UCDEffortSpread!D21, Hybrid!B$5:B$14987,Definition!C$16,Hybrid!D$5:D$14987,Definition!I$3), 0)</f>
        <v>0</v>
      </c>
      <c r="R595" s="203">
        <f>(Definition!M595*Definition!E$16)</f>
        <v>0</v>
      </c>
      <c r="S595" s="203">
        <f>(Definition!N595*Definition!F$16)</f>
        <v>0</v>
      </c>
      <c r="T595" s="203">
        <f>(Definition!O595*Definition!G$16)</f>
        <v>0</v>
      </c>
      <c r="U595" s="203">
        <f>(Definition!P595*Definition!H$16)</f>
        <v>0</v>
      </c>
      <c r="V595" s="203">
        <f>(Definition!Q595*Definition!I$16)</f>
        <v>0</v>
      </c>
      <c r="W595" s="204">
        <f t="shared" si="50"/>
        <v>0</v>
      </c>
      <c r="X595" s="207">
        <f t="shared" si="48"/>
        <v>0</v>
      </c>
    </row>
    <row r="596" spans="12:24">
      <c r="L596" s="423"/>
      <c r="M596" s="68">
        <f>IF(compute_ManualOverrideHybrid="No", COUNTIFS(Hybrid!E$5:E$14987, UCDEffortSpread!D22, Hybrid!B$5:B$14987,Definition!C$16,Hybrid!D$5:D$14987,Definition!E$3), 0)</f>
        <v>0</v>
      </c>
      <c r="N596" s="68">
        <f>IF(compute_ManualOverrideHybrid="No", COUNTIFS(Hybrid!E$5:E$14987, UCDEffortSpread!D22, Hybrid!B$5:B$14987,Definition!C$16,Hybrid!D$5:D$14987,Definition!F$3), 0)</f>
        <v>0</v>
      </c>
      <c r="O596" s="68">
        <f>IF(compute_ManualOverrideHybrid="No", COUNTIFS(Hybrid!E$5:E$14987, UCDEffortSpread!D22, Hybrid!B$5:B$14987,Definition!C$16,Hybrid!D$5:D$14987,Definition!G$3), 0)</f>
        <v>0</v>
      </c>
      <c r="P596" s="68">
        <f>IF(compute_ManualOverrideHybrid="No", COUNTIFS(Hybrid!E$5:E$14987, UCDEffortSpread!D22, Hybrid!B$5:B$14987,Definition!C$16,Hybrid!D$5:D$14987,Definition!H$3), 0)</f>
        <v>0</v>
      </c>
      <c r="Q596" s="68">
        <f>IF(compute_ManualOverrideHybrid="No", COUNTIFS(Hybrid!E$5:E$14987, UCDEffortSpread!D22, Hybrid!B$5:B$14987,Definition!C$16,Hybrid!D$5:D$14987,Definition!I$3), 0)</f>
        <v>0</v>
      </c>
      <c r="R596" s="203">
        <f>(Definition!M596*Definition!E$16)</f>
        <v>0</v>
      </c>
      <c r="S596" s="203">
        <f>(Definition!N596*Definition!F$16)</f>
        <v>0</v>
      </c>
      <c r="T596" s="203">
        <f>(Definition!O596*Definition!G$16)</f>
        <v>0</v>
      </c>
      <c r="U596" s="203">
        <f>(Definition!P596*Definition!H$16)</f>
        <v>0</v>
      </c>
      <c r="V596" s="203">
        <f>(Definition!Q596*Definition!I$16)</f>
        <v>0</v>
      </c>
      <c r="W596" s="204">
        <f t="shared" si="50"/>
        <v>0</v>
      </c>
      <c r="X596" s="207">
        <f t="shared" si="48"/>
        <v>0</v>
      </c>
    </row>
    <row r="597" spans="12:24">
      <c r="L597" s="423"/>
      <c r="M597" s="68">
        <f>IF(compute_ManualOverrideHybrid="No", COUNTIFS(Hybrid!E$5:E$14987, UCDEffortSpread!D23, Hybrid!B$5:B$14987,Definition!C$16,Hybrid!D$5:D$14987,Definition!E$3), 0)</f>
        <v>0</v>
      </c>
      <c r="N597" s="68">
        <f>IF(compute_ManualOverrideHybrid="No", COUNTIFS(Hybrid!E$5:E$14987, UCDEffortSpread!D23, Hybrid!B$5:B$14987,Definition!C$16,Hybrid!D$5:D$14987,Definition!F$3), 0)</f>
        <v>0</v>
      </c>
      <c r="O597" s="68">
        <f>IF(compute_ManualOverrideHybrid="No", COUNTIFS(Hybrid!E$5:E$14987, UCDEffortSpread!D23, Hybrid!B$5:B$14987,Definition!C$16,Hybrid!D$5:D$14987,Definition!G$3), 0)</f>
        <v>0</v>
      </c>
      <c r="P597" s="68">
        <f>IF(compute_ManualOverrideHybrid="No", COUNTIFS(Hybrid!E$5:E$14987, UCDEffortSpread!D23, Hybrid!B$5:B$14987,Definition!C$16,Hybrid!D$5:D$14987,Definition!H$3), 0)</f>
        <v>0</v>
      </c>
      <c r="Q597" s="68">
        <f>IF(compute_ManualOverrideHybrid="No", COUNTIFS(Hybrid!E$5:E$14987, UCDEffortSpread!D23, Hybrid!B$5:B$14987,Definition!C$16,Hybrid!D$5:D$14987,Definition!I$3), 0)</f>
        <v>0</v>
      </c>
      <c r="R597" s="203">
        <f>(Definition!M597*Definition!E$16)</f>
        <v>0</v>
      </c>
      <c r="S597" s="203">
        <f>(Definition!N597*Definition!F$16)</f>
        <v>0</v>
      </c>
      <c r="T597" s="203">
        <f>(Definition!O597*Definition!G$16)</f>
        <v>0</v>
      </c>
      <c r="U597" s="203">
        <f>(Definition!P597*Definition!H$16)</f>
        <v>0</v>
      </c>
      <c r="V597" s="203">
        <f>(Definition!Q597*Definition!I$16)</f>
        <v>0</v>
      </c>
      <c r="W597" s="204">
        <f t="shared" si="50"/>
        <v>0</v>
      </c>
      <c r="X597" s="207">
        <f t="shared" si="48"/>
        <v>0</v>
      </c>
    </row>
    <row r="598" spans="12:24">
      <c r="L598" s="423"/>
      <c r="M598" s="68">
        <f>IF(compute_ManualOverrideHybrid="No", COUNTIFS(Hybrid!E$5:E$14987, UCDEffortSpread!D24, Hybrid!B$5:B$14987,Definition!C$16,Hybrid!D$5:D$14987,Definition!E$3), 0)</f>
        <v>0</v>
      </c>
      <c r="N598" s="68">
        <f>IF(compute_ManualOverrideHybrid="No", COUNTIFS(Hybrid!E$5:E$14987, UCDEffortSpread!D24, Hybrid!B$5:B$14987,Definition!C$16,Hybrid!D$5:D$14987,Definition!F$3), 0)</f>
        <v>0</v>
      </c>
      <c r="O598" s="68">
        <f>IF(compute_ManualOverrideHybrid="No", COUNTIFS(Hybrid!E$5:E$14987, UCDEffortSpread!D24, Hybrid!B$5:B$14987,Definition!C$16,Hybrid!D$5:D$14987,Definition!G$3), 0)</f>
        <v>0</v>
      </c>
      <c r="P598" s="68">
        <f>IF(compute_ManualOverrideHybrid="No", COUNTIFS(Hybrid!E$5:E$14987, UCDEffortSpread!D24, Hybrid!B$5:B$14987,Definition!C$16,Hybrid!D$5:D$14987,Definition!H$3), 0)</f>
        <v>0</v>
      </c>
      <c r="Q598" s="68">
        <f>IF(compute_ManualOverrideHybrid="No", COUNTIFS(Hybrid!E$5:E$14987, UCDEffortSpread!D24, Hybrid!B$5:B$14987,Definition!C$16,Hybrid!D$5:D$14987,Definition!I$3), 0)</f>
        <v>0</v>
      </c>
      <c r="R598" s="203">
        <f>(Definition!M598*Definition!E$16)</f>
        <v>0</v>
      </c>
      <c r="S598" s="203">
        <f>(Definition!N598*Definition!F$16)</f>
        <v>0</v>
      </c>
      <c r="T598" s="203">
        <f>(Definition!O598*Definition!G$16)</f>
        <v>0</v>
      </c>
      <c r="U598" s="203">
        <f>(Definition!P598*Definition!H$16)</f>
        <v>0</v>
      </c>
      <c r="V598" s="203">
        <f>(Definition!Q598*Definition!I$16)</f>
        <v>0</v>
      </c>
      <c r="W598" s="204">
        <f t="shared" si="50"/>
        <v>0</v>
      </c>
      <c r="X598" s="207">
        <f t="shared" si="48"/>
        <v>0</v>
      </c>
    </row>
    <row r="599" spans="12:24">
      <c r="L599" s="423"/>
      <c r="M599" s="68">
        <f>IF(compute_ManualOverrideHybrid="No", COUNTIFS(Hybrid!E$5:E$14987, UCDEffortSpread!D25, Hybrid!B$5:B$14987,Definition!C$16,Hybrid!D$5:D$14987,Definition!E$3), 0)</f>
        <v>0</v>
      </c>
      <c r="N599" s="68">
        <f>IF(compute_ManualOverrideHybrid="No", COUNTIFS(Hybrid!E$5:E$14987, UCDEffortSpread!D25, Hybrid!B$5:B$14987,Definition!C$16,Hybrid!D$5:D$14987,Definition!F$3), 0)</f>
        <v>0</v>
      </c>
      <c r="O599" s="68">
        <f>IF(compute_ManualOverrideHybrid="No", COUNTIFS(Hybrid!E$5:E$14987, UCDEffortSpread!D25, Hybrid!B$5:B$14987,Definition!C$16,Hybrid!D$5:D$14987,Definition!G$3), 0)</f>
        <v>0</v>
      </c>
      <c r="P599" s="68">
        <f>IF(compute_ManualOverrideHybrid="No", COUNTIFS(Hybrid!E$5:E$14987, UCDEffortSpread!D25, Hybrid!B$5:B$14987,Definition!C$16,Hybrid!D$5:D$14987,Definition!H$3), 0)</f>
        <v>0</v>
      </c>
      <c r="Q599" s="68">
        <f>IF(compute_ManualOverrideHybrid="No", COUNTIFS(Hybrid!E$5:E$14987, UCDEffortSpread!D25, Hybrid!B$5:B$14987,Definition!C$16,Hybrid!D$5:D$14987,Definition!I$3), 0)</f>
        <v>0</v>
      </c>
      <c r="R599" s="203">
        <f>(Definition!M599*Definition!E$16)</f>
        <v>0</v>
      </c>
      <c r="S599" s="203">
        <f>(Definition!N599*Definition!F$16)</f>
        <v>0</v>
      </c>
      <c r="T599" s="203">
        <f>(Definition!O599*Definition!G$16)</f>
        <v>0</v>
      </c>
      <c r="U599" s="203">
        <f>(Definition!P599*Definition!H$16)</f>
        <v>0</v>
      </c>
      <c r="V599" s="203">
        <f>(Definition!Q599*Definition!I$16)</f>
        <v>0</v>
      </c>
      <c r="W599" s="204">
        <f t="shared" si="50"/>
        <v>0</v>
      </c>
      <c r="X599" s="207">
        <f t="shared" si="48"/>
        <v>0</v>
      </c>
    </row>
    <row r="600" spans="12:24">
      <c r="L600" s="423"/>
      <c r="M600" s="68">
        <f>IF(compute_ManualOverrideHybrid="No", COUNTIFS(Hybrid!E$5:E$14987, UCDEffortSpread!D26, Hybrid!B$5:B$14987,Definition!C$16,Hybrid!D$5:D$14987,Definition!E$3), 0)</f>
        <v>0</v>
      </c>
      <c r="N600" s="68">
        <f>IF(compute_ManualOverrideHybrid="No", COUNTIFS(Hybrid!E$5:E$14987, UCDEffortSpread!D26, Hybrid!B$5:B$14987,Definition!C$16,Hybrid!D$5:D$14987,Definition!F$3), 0)</f>
        <v>0</v>
      </c>
      <c r="O600" s="68">
        <f>IF(compute_ManualOverrideHybrid="No", COUNTIFS(Hybrid!E$5:E$14987, UCDEffortSpread!D26, Hybrid!B$5:B$14987,Definition!C$16,Hybrid!D$5:D$14987,Definition!G$3), 0)</f>
        <v>0</v>
      </c>
      <c r="P600" s="68">
        <f>IF(compute_ManualOverrideHybrid="No", COUNTIFS(Hybrid!E$5:E$14987, UCDEffortSpread!D26, Hybrid!B$5:B$14987,Definition!C$16,Hybrid!D$5:D$14987,Definition!H$3), 0)</f>
        <v>0</v>
      </c>
      <c r="Q600" s="68">
        <f>IF(compute_ManualOverrideHybrid="No", COUNTIFS(Hybrid!E$5:E$14987, UCDEffortSpread!D26, Hybrid!B$5:B$14987,Definition!C$16,Hybrid!D$5:D$14987,Definition!I$3), 0)</f>
        <v>0</v>
      </c>
      <c r="R600" s="203">
        <f>(Definition!M600*Definition!E$16)</f>
        <v>0</v>
      </c>
      <c r="S600" s="203">
        <f>(Definition!N600*Definition!F$16)</f>
        <v>0</v>
      </c>
      <c r="T600" s="203">
        <f>(Definition!O600*Definition!G$16)</f>
        <v>0</v>
      </c>
      <c r="U600" s="203">
        <f>(Definition!P600*Definition!H$16)</f>
        <v>0</v>
      </c>
      <c r="V600" s="203">
        <f>(Definition!Q600*Definition!I$16)</f>
        <v>0</v>
      </c>
      <c r="W600" s="204">
        <f t="shared" si="50"/>
        <v>0</v>
      </c>
      <c r="X600" s="207">
        <f t="shared" si="48"/>
        <v>0</v>
      </c>
    </row>
    <row r="601" spans="12:24">
      <c r="L601" s="423"/>
      <c r="M601" s="68">
        <f>IF(compute_ManualOverrideHybrid="No", COUNTIFS(Hybrid!E$5:E$14987, UCDEffortSpread!D27, Hybrid!B$5:B$14987,Definition!C$16,Hybrid!D$5:D$14987,Definition!E$3), 0)</f>
        <v>0</v>
      </c>
      <c r="N601" s="68">
        <f>IF(compute_ManualOverrideHybrid="No", COUNTIFS(Hybrid!E$5:E$14987, UCDEffortSpread!D27, Hybrid!B$5:B$14987,Definition!C$16,Hybrid!D$5:D$14987,Definition!F$3), 0)</f>
        <v>0</v>
      </c>
      <c r="O601" s="68">
        <f>IF(compute_ManualOverrideHybrid="No", COUNTIFS(Hybrid!E$5:E$14987, UCDEffortSpread!D27, Hybrid!B$5:B$14987,Definition!C$16,Hybrid!D$5:D$14987,Definition!G$3), 0)</f>
        <v>0</v>
      </c>
      <c r="P601" s="68">
        <f>IF(compute_ManualOverrideHybrid="No", COUNTIFS(Hybrid!E$5:E$14987, UCDEffortSpread!D27, Hybrid!B$5:B$14987,Definition!C$16,Hybrid!D$5:D$14987,Definition!H$3), 0)</f>
        <v>0</v>
      </c>
      <c r="Q601" s="68">
        <f>IF(compute_ManualOverrideHybrid="No", COUNTIFS(Hybrid!E$5:E$14987, UCDEffortSpread!D27, Hybrid!B$5:B$14987,Definition!C$16,Hybrid!D$5:D$14987,Definition!I$3), 0)</f>
        <v>0</v>
      </c>
      <c r="R601" s="203">
        <f>(Definition!M601*Definition!E$16)</f>
        <v>0</v>
      </c>
      <c r="S601" s="203">
        <f>(Definition!N601*Definition!F$16)</f>
        <v>0</v>
      </c>
      <c r="T601" s="203">
        <f>(Definition!O601*Definition!G$16)</f>
        <v>0</v>
      </c>
      <c r="U601" s="203">
        <f>(Definition!P601*Definition!H$16)</f>
        <v>0</v>
      </c>
      <c r="V601" s="203">
        <f>(Definition!Q601*Definition!I$16)</f>
        <v>0</v>
      </c>
      <c r="W601" s="204">
        <f t="shared" si="50"/>
        <v>0</v>
      </c>
      <c r="X601" s="207">
        <f t="shared" si="48"/>
        <v>0</v>
      </c>
    </row>
    <row r="602" spans="12:24">
      <c r="L602" s="423"/>
      <c r="M602" s="68">
        <f>IF(compute_ManualOverrideHybrid="No", COUNTIFS(Hybrid!E$5:E$14987, UCDEffortSpread!D28, Hybrid!B$5:B$14987,Definition!C$16,Hybrid!D$5:D$14987,Definition!E$3), 0)</f>
        <v>0</v>
      </c>
      <c r="N602" s="68">
        <f>IF(compute_ManualOverrideHybrid="No", COUNTIFS(Hybrid!E$5:E$14987, UCDEffortSpread!D28, Hybrid!B$5:B$14987,Definition!C$16,Hybrid!D$5:D$14987,Definition!F$3), 0)</f>
        <v>0</v>
      </c>
      <c r="O602" s="68">
        <f>IF(compute_ManualOverrideHybrid="No", COUNTIFS(Hybrid!E$5:E$14987, UCDEffortSpread!D28, Hybrid!B$5:B$14987,Definition!C$16,Hybrid!D$5:D$14987,Definition!G$3), 0)</f>
        <v>0</v>
      </c>
      <c r="P602" s="68">
        <f>IF(compute_ManualOverrideHybrid="No", COUNTIFS(Hybrid!E$5:E$14987, UCDEffortSpread!D28, Hybrid!B$5:B$14987,Definition!C$16,Hybrid!D$5:D$14987,Definition!H$3), 0)</f>
        <v>0</v>
      </c>
      <c r="Q602" s="68">
        <f>IF(compute_ManualOverrideHybrid="No", COUNTIFS(Hybrid!E$5:E$14987, UCDEffortSpread!D28, Hybrid!B$5:B$14987,Definition!C$16,Hybrid!D$5:D$14987,Definition!I$3), 0)</f>
        <v>0</v>
      </c>
      <c r="R602" s="203">
        <f>(Definition!M602*Definition!E$16)</f>
        <v>0</v>
      </c>
      <c r="S602" s="203">
        <f>(Definition!N602*Definition!F$16)</f>
        <v>0</v>
      </c>
      <c r="T602" s="203">
        <f>(Definition!O602*Definition!G$16)</f>
        <v>0</v>
      </c>
      <c r="U602" s="203">
        <f>(Definition!P602*Definition!H$16)</f>
        <v>0</v>
      </c>
      <c r="V602" s="203">
        <f>(Definition!Q602*Definition!I$16)</f>
        <v>0</v>
      </c>
      <c r="W602" s="204">
        <f t="shared" si="50"/>
        <v>0</v>
      </c>
      <c r="X602" s="207">
        <f t="shared" si="48"/>
        <v>0</v>
      </c>
    </row>
    <row r="603" spans="12:24">
      <c r="L603" s="423"/>
      <c r="M603" s="68">
        <f>IF(compute_ManualOverrideHybrid="No", COUNTIFS(Hybrid!E$5:E$14987, UCDEffortSpread!D29, Hybrid!B$5:B$14987,Definition!C$16,Hybrid!D$5:D$14987,Definition!E$3), 0)</f>
        <v>0</v>
      </c>
      <c r="N603" s="68">
        <f>IF(compute_ManualOverrideHybrid="No", COUNTIFS(Hybrid!E$5:E$14987, UCDEffortSpread!D29, Hybrid!B$5:B$14987,Definition!C$16,Hybrid!D$5:D$14987,Definition!F$3), 0)</f>
        <v>0</v>
      </c>
      <c r="O603" s="68">
        <f>IF(compute_ManualOverrideHybrid="No", COUNTIFS(Hybrid!E$5:E$14987, UCDEffortSpread!D29, Hybrid!B$5:B$14987,Definition!C$16,Hybrid!D$5:D$14987,Definition!G$3), 0)</f>
        <v>0</v>
      </c>
      <c r="P603" s="68">
        <f>IF(compute_ManualOverrideHybrid="No", COUNTIFS(Hybrid!E$5:E$14987, UCDEffortSpread!D29, Hybrid!B$5:B$14987,Definition!C$16,Hybrid!D$5:D$14987,Definition!H$3), 0)</f>
        <v>0</v>
      </c>
      <c r="Q603" s="68">
        <f>IF(compute_ManualOverrideHybrid="No", COUNTIFS(Hybrid!E$5:E$14987, UCDEffortSpread!D29, Hybrid!B$5:B$14987,Definition!C$16,Hybrid!D$5:D$14987,Definition!I$3), 0)</f>
        <v>0</v>
      </c>
      <c r="R603" s="203">
        <f>(Definition!M603*Definition!E$16)</f>
        <v>0</v>
      </c>
      <c r="S603" s="203">
        <f>(Definition!N603*Definition!F$16)</f>
        <v>0</v>
      </c>
      <c r="T603" s="203">
        <f>(Definition!O603*Definition!G$16)</f>
        <v>0</v>
      </c>
      <c r="U603" s="203">
        <f>(Definition!P603*Definition!H$16)</f>
        <v>0</v>
      </c>
      <c r="V603" s="203">
        <f>(Definition!Q603*Definition!I$16)</f>
        <v>0</v>
      </c>
      <c r="W603" s="204">
        <f t="shared" si="50"/>
        <v>0</v>
      </c>
      <c r="X603" s="207">
        <f t="shared" si="48"/>
        <v>0</v>
      </c>
    </row>
    <row r="604" spans="12:24">
      <c r="L604" s="423"/>
      <c r="M604" s="68">
        <f>IF(compute_ManualOverrideHybrid="No", COUNTIFS(Hybrid!E$5:E$14987, UCDEffortSpread!D30, Hybrid!B$5:B$14987,Definition!C$16,Hybrid!D$5:D$14987,Definition!E$3), 0)</f>
        <v>0</v>
      </c>
      <c r="N604" s="68">
        <f>IF(compute_ManualOverrideHybrid="No", COUNTIFS(Hybrid!E$5:E$14987, UCDEffortSpread!D30, Hybrid!B$5:B$14987,Definition!C$16,Hybrid!D$5:D$14987,Definition!F$3), 0)</f>
        <v>0</v>
      </c>
      <c r="O604" s="68">
        <f>IF(compute_ManualOverrideHybrid="No", COUNTIFS(Hybrid!E$5:E$14987, UCDEffortSpread!D30, Hybrid!B$5:B$14987,Definition!C$16,Hybrid!D$5:D$14987,Definition!G$3), 0)</f>
        <v>0</v>
      </c>
      <c r="P604" s="68">
        <f>IF(compute_ManualOverrideHybrid="No", COUNTIFS(Hybrid!E$5:E$14987, UCDEffortSpread!D30, Hybrid!B$5:B$14987,Definition!C$16,Hybrid!D$5:D$14987,Definition!H$3), 0)</f>
        <v>0</v>
      </c>
      <c r="Q604" s="68">
        <f>IF(compute_ManualOverrideHybrid="No", COUNTIFS(Hybrid!E$5:E$14987, UCDEffortSpread!D30, Hybrid!B$5:B$14987,Definition!C$16,Hybrid!D$5:D$14987,Definition!I$3), 0)</f>
        <v>0</v>
      </c>
      <c r="R604" s="203">
        <f>(Definition!M604*Definition!E$16)</f>
        <v>0</v>
      </c>
      <c r="S604" s="203">
        <f>(Definition!N604*Definition!F$16)</f>
        <v>0</v>
      </c>
      <c r="T604" s="203">
        <f>(Definition!O604*Definition!G$16)</f>
        <v>0</v>
      </c>
      <c r="U604" s="203">
        <f>(Definition!P604*Definition!H$16)</f>
        <v>0</v>
      </c>
      <c r="V604" s="203">
        <f>(Definition!Q604*Definition!I$16)</f>
        <v>0</v>
      </c>
      <c r="W604" s="204">
        <f t="shared" si="50"/>
        <v>0</v>
      </c>
      <c r="X604" s="207">
        <f t="shared" si="48"/>
        <v>0</v>
      </c>
    </row>
    <row r="605" spans="12:24">
      <c r="L605" s="423"/>
      <c r="M605" s="68">
        <f>IF(compute_ManualOverrideHybrid="No", COUNTIFS(Hybrid!E$5:E$14987, UCDEffortSpread!D31, Hybrid!B$5:B$14987,Definition!C$16,Hybrid!D$5:D$14987,Definition!E$3), 0)</f>
        <v>0</v>
      </c>
      <c r="N605" s="68">
        <f>IF(compute_ManualOverrideHybrid="No", COUNTIFS(Hybrid!E$5:E$14987, UCDEffortSpread!D31, Hybrid!B$5:B$14987,Definition!C$16,Hybrid!D$5:D$14987,Definition!F$3), 0)</f>
        <v>0</v>
      </c>
      <c r="O605" s="68">
        <f>IF(compute_ManualOverrideHybrid="No", COUNTIFS(Hybrid!E$5:E$14987, UCDEffortSpread!D31, Hybrid!B$5:B$14987,Definition!C$16,Hybrid!D$5:D$14987,Definition!G$3), 0)</f>
        <v>0</v>
      </c>
      <c r="P605" s="68">
        <f>IF(compute_ManualOverrideHybrid="No", COUNTIFS(Hybrid!E$5:E$14987, UCDEffortSpread!D31, Hybrid!B$5:B$14987,Definition!C$16,Hybrid!D$5:D$14987,Definition!H$3), 0)</f>
        <v>0</v>
      </c>
      <c r="Q605" s="68">
        <f>IF(compute_ManualOverrideHybrid="No", COUNTIFS(Hybrid!E$5:E$14987, UCDEffortSpread!D31, Hybrid!B$5:B$14987,Definition!C$16,Hybrid!D$5:D$14987,Definition!I$3), 0)</f>
        <v>0</v>
      </c>
      <c r="R605" s="203">
        <f>(Definition!M605*Definition!E$16)</f>
        <v>0</v>
      </c>
      <c r="S605" s="203">
        <f>(Definition!N605*Definition!F$16)</f>
        <v>0</v>
      </c>
      <c r="T605" s="203">
        <f>(Definition!O605*Definition!G$16)</f>
        <v>0</v>
      </c>
      <c r="U605" s="203">
        <f>(Definition!P605*Definition!H$16)</f>
        <v>0</v>
      </c>
      <c r="V605" s="203">
        <f>(Definition!Q605*Definition!I$16)</f>
        <v>0</v>
      </c>
      <c r="W605" s="204">
        <f t="shared" si="50"/>
        <v>0</v>
      </c>
      <c r="X605" s="207">
        <f t="shared" si="48"/>
        <v>0</v>
      </c>
    </row>
    <row r="606" spans="12:24">
      <c r="L606" s="423"/>
      <c r="M606" s="68">
        <f>IF(compute_ManualOverrideHybrid="No", COUNTIFS(Hybrid!E$5:E$14987, UCDEffortSpread!D32, Hybrid!B$5:B$14987,Definition!C$16,Hybrid!D$5:D$14987,Definition!E$3), 0)</f>
        <v>0</v>
      </c>
      <c r="N606" s="68">
        <f>IF(compute_ManualOverrideHybrid="No", COUNTIFS(Hybrid!E$5:E$14987, UCDEffortSpread!D32, Hybrid!B$5:B$14987,Definition!C$16,Hybrid!D$5:D$14987,Definition!F$3), 0)</f>
        <v>0</v>
      </c>
      <c r="O606" s="68">
        <f>IF(compute_ManualOverrideHybrid="No", COUNTIFS(Hybrid!E$5:E$14987, UCDEffortSpread!D32, Hybrid!B$5:B$14987,Definition!C$16,Hybrid!D$5:D$14987,Definition!G$3), 0)</f>
        <v>0</v>
      </c>
      <c r="P606" s="68">
        <f>IF(compute_ManualOverrideHybrid="No", COUNTIFS(Hybrid!E$5:E$14987, UCDEffortSpread!D32, Hybrid!B$5:B$14987,Definition!C$16,Hybrid!D$5:D$14987,Definition!H$3), 0)</f>
        <v>0</v>
      </c>
      <c r="Q606" s="68">
        <f>IF(compute_ManualOverrideHybrid="No", COUNTIFS(Hybrid!E$5:E$14987, UCDEffortSpread!D32, Hybrid!B$5:B$14987,Definition!C$16,Hybrid!D$5:D$14987,Definition!I$3), 0)</f>
        <v>0</v>
      </c>
      <c r="R606" s="203">
        <f>(Definition!M606*Definition!E$16)</f>
        <v>0</v>
      </c>
      <c r="S606" s="203">
        <f>(Definition!N606*Definition!F$16)</f>
        <v>0</v>
      </c>
      <c r="T606" s="203">
        <f>(Definition!O606*Definition!G$16)</f>
        <v>0</v>
      </c>
      <c r="U606" s="203">
        <f>(Definition!P606*Definition!H$16)</f>
        <v>0</v>
      </c>
      <c r="V606" s="203">
        <f>(Definition!Q606*Definition!I$16)</f>
        <v>0</v>
      </c>
      <c r="W606" s="204">
        <f t="shared" si="50"/>
        <v>0</v>
      </c>
      <c r="X606" s="207">
        <f t="shared" si="48"/>
        <v>0</v>
      </c>
    </row>
    <row r="607" spans="12:24">
      <c r="L607" s="423"/>
      <c r="M607" s="68">
        <f>IF(compute_ManualOverrideHybrid="No", COUNTIFS(Hybrid!E$5:E$14987, UCDEffortSpread!D33, Hybrid!B$5:B$14987,Definition!C$16,Hybrid!D$5:D$14987,Definition!E$3), 0)</f>
        <v>0</v>
      </c>
      <c r="N607" s="68">
        <f>IF(compute_ManualOverrideHybrid="No", COUNTIFS(Hybrid!E$5:E$14987, UCDEffortSpread!D33, Hybrid!B$5:B$14987,Definition!C$16,Hybrid!D$5:D$14987,Definition!F$3), 0)</f>
        <v>0</v>
      </c>
      <c r="O607" s="68">
        <f>IF(compute_ManualOverrideHybrid="No", COUNTIFS(Hybrid!E$5:E$14987, UCDEffortSpread!D33, Hybrid!B$5:B$14987,Definition!C$16,Hybrid!D$5:D$14987,Definition!G$3), 0)</f>
        <v>0</v>
      </c>
      <c r="P607" s="68">
        <f>IF(compute_ManualOverrideHybrid="No", COUNTIFS(Hybrid!E$5:E$14987, UCDEffortSpread!D33, Hybrid!B$5:B$14987,Definition!C$16,Hybrid!D$5:D$14987,Definition!H$3), 0)</f>
        <v>0</v>
      </c>
      <c r="Q607" s="68">
        <f>IF(compute_ManualOverrideHybrid="No", COUNTIFS(Hybrid!E$5:E$14987, UCDEffortSpread!D33, Hybrid!B$5:B$14987,Definition!C$16,Hybrid!D$5:D$14987,Definition!I$3), 0)</f>
        <v>0</v>
      </c>
      <c r="R607" s="203">
        <f>(Definition!M607*Definition!E$16)</f>
        <v>0</v>
      </c>
      <c r="S607" s="203">
        <f>(Definition!N607*Definition!F$16)</f>
        <v>0</v>
      </c>
      <c r="T607" s="203">
        <f>(Definition!O607*Definition!G$16)</f>
        <v>0</v>
      </c>
      <c r="U607" s="203">
        <f>(Definition!P607*Definition!H$16)</f>
        <v>0</v>
      </c>
      <c r="V607" s="203">
        <f>(Definition!Q607*Definition!I$16)</f>
        <v>0</v>
      </c>
      <c r="W607" s="204">
        <f t="shared" si="50"/>
        <v>0</v>
      </c>
      <c r="X607" s="207">
        <f t="shared" si="48"/>
        <v>0</v>
      </c>
    </row>
    <row r="608" spans="12:24">
      <c r="L608" s="423"/>
      <c r="M608" s="68">
        <f>IF(compute_ManualOverrideHybrid="No", COUNTIFS(Hybrid!E$5:E$14987, UCDEffortSpread!D34, Hybrid!B$5:B$14987,Definition!C$16,Hybrid!D$5:D$14987,Definition!E$3), 0)</f>
        <v>0</v>
      </c>
      <c r="N608" s="68">
        <f>IF(compute_ManualOverrideHybrid="No", COUNTIFS(Hybrid!E$5:E$14987, UCDEffortSpread!D34, Hybrid!B$5:B$14987,Definition!C$16,Hybrid!D$5:D$14987,Definition!F$3), 0)</f>
        <v>0</v>
      </c>
      <c r="O608" s="68">
        <f>IF(compute_ManualOverrideHybrid="No", COUNTIFS(Hybrid!E$5:E$14987, UCDEffortSpread!D34, Hybrid!B$5:B$14987,Definition!C$16,Hybrid!D$5:D$14987,Definition!G$3), 0)</f>
        <v>0</v>
      </c>
      <c r="P608" s="68">
        <f>IF(compute_ManualOverrideHybrid="No", COUNTIFS(Hybrid!E$5:E$14987, UCDEffortSpread!D34, Hybrid!B$5:B$14987,Definition!C$16,Hybrid!D$5:D$14987,Definition!H$3), 0)</f>
        <v>0</v>
      </c>
      <c r="Q608" s="68">
        <f>IF(compute_ManualOverrideHybrid="No", COUNTIFS(Hybrid!E$5:E$14987, UCDEffortSpread!D34, Hybrid!B$5:B$14987,Definition!C$16,Hybrid!D$5:D$14987,Definition!I$3), 0)</f>
        <v>0</v>
      </c>
      <c r="R608" s="203">
        <f>(Definition!M608*Definition!E$16)</f>
        <v>0</v>
      </c>
      <c r="S608" s="203">
        <f>(Definition!N608*Definition!F$16)</f>
        <v>0</v>
      </c>
      <c r="T608" s="203">
        <f>(Definition!O608*Definition!G$16)</f>
        <v>0</v>
      </c>
      <c r="U608" s="203">
        <f>(Definition!P608*Definition!H$16)</f>
        <v>0</v>
      </c>
      <c r="V608" s="203">
        <f>(Definition!Q608*Definition!I$16)</f>
        <v>0</v>
      </c>
      <c r="W608" s="204">
        <f t="shared" si="50"/>
        <v>0</v>
      </c>
      <c r="X608" s="207">
        <f t="shared" si="48"/>
        <v>0</v>
      </c>
    </row>
    <row r="609" spans="12:24">
      <c r="L609" s="423"/>
      <c r="M609" s="68">
        <f>IF(compute_ManualOverrideHybrid="No", COUNTIFS(Hybrid!E$5:E$14987, UCDEffortSpread!D35, Hybrid!B$5:B$14987,Definition!C$16,Hybrid!D$5:D$14987,Definition!E$3), 0)</f>
        <v>0</v>
      </c>
      <c r="N609" s="68">
        <f>IF(compute_ManualOverrideHybrid="No", COUNTIFS(Hybrid!E$5:E$14987, UCDEffortSpread!D35, Hybrid!B$5:B$14987,Definition!C$16,Hybrid!D$5:D$14987,Definition!F$3), 0)</f>
        <v>0</v>
      </c>
      <c r="O609" s="68">
        <f>IF(compute_ManualOverrideHybrid="No", COUNTIFS(Hybrid!E$5:E$14987, UCDEffortSpread!D35, Hybrid!B$5:B$14987,Definition!C$16,Hybrid!D$5:D$14987,Definition!G$3), 0)</f>
        <v>0</v>
      </c>
      <c r="P609" s="68">
        <f>IF(compute_ManualOverrideHybrid="No", COUNTIFS(Hybrid!E$5:E$14987, UCDEffortSpread!D35, Hybrid!B$5:B$14987,Definition!C$16,Hybrid!D$5:D$14987,Definition!H$3), 0)</f>
        <v>0</v>
      </c>
      <c r="Q609" s="68">
        <f>IF(compute_ManualOverrideHybrid="No", COUNTIFS(Hybrid!E$5:E$14987, UCDEffortSpread!D35, Hybrid!B$5:B$14987,Definition!C$16,Hybrid!D$5:D$14987,Definition!I$3), 0)</f>
        <v>0</v>
      </c>
      <c r="R609" s="203">
        <f>(Definition!M609*Definition!E$16)</f>
        <v>0</v>
      </c>
      <c r="S609" s="203">
        <f>(Definition!N609*Definition!F$16)</f>
        <v>0</v>
      </c>
      <c r="T609" s="203">
        <f>(Definition!O609*Definition!G$16)</f>
        <v>0</v>
      </c>
      <c r="U609" s="203">
        <f>(Definition!P609*Definition!H$16)</f>
        <v>0</v>
      </c>
      <c r="V609" s="203">
        <f>(Definition!Q609*Definition!I$16)</f>
        <v>0</v>
      </c>
      <c r="W609" s="204">
        <f t="shared" si="50"/>
        <v>0</v>
      </c>
      <c r="X609" s="207">
        <f t="shared" si="48"/>
        <v>0</v>
      </c>
    </row>
    <row r="610" spans="12:24">
      <c r="L610" s="423"/>
      <c r="M610" s="68">
        <f>IF(compute_ManualOverrideHybrid="No", COUNTIFS(Hybrid!E$5:E$14987, UCDEffortSpread!D36, Hybrid!B$5:B$14987,Definition!C$16,Hybrid!D$5:D$14987,Definition!E$3), 0)</f>
        <v>0</v>
      </c>
      <c r="N610" s="68">
        <f>IF(compute_ManualOverrideHybrid="No", COUNTIFS(Hybrid!E$5:E$14987, UCDEffortSpread!D36, Hybrid!B$5:B$14987,Definition!C$16,Hybrid!D$5:D$14987,Definition!F$3), 0)</f>
        <v>0</v>
      </c>
      <c r="O610" s="68">
        <f>IF(compute_ManualOverrideHybrid="No", COUNTIFS(Hybrid!E$5:E$14987, UCDEffortSpread!D36, Hybrid!B$5:B$14987,Definition!C$16,Hybrid!D$5:D$14987,Definition!G$3), 0)</f>
        <v>0</v>
      </c>
      <c r="P610" s="68">
        <f>IF(compute_ManualOverrideHybrid="No", COUNTIFS(Hybrid!E$5:E$14987, UCDEffortSpread!D36, Hybrid!B$5:B$14987,Definition!C$16,Hybrid!D$5:D$14987,Definition!H$3), 0)</f>
        <v>0</v>
      </c>
      <c r="Q610" s="68">
        <f>IF(compute_ManualOverrideHybrid="No", COUNTIFS(Hybrid!E$5:E$14987, UCDEffortSpread!D36, Hybrid!B$5:B$14987,Definition!C$16,Hybrid!D$5:D$14987,Definition!I$3), 0)</f>
        <v>0</v>
      </c>
      <c r="R610" s="203">
        <f>(Definition!M610*Definition!E$16)</f>
        <v>0</v>
      </c>
      <c r="S610" s="203">
        <f>(Definition!N610*Definition!F$16)</f>
        <v>0</v>
      </c>
      <c r="T610" s="203">
        <f>(Definition!O610*Definition!G$16)</f>
        <v>0</v>
      </c>
      <c r="U610" s="203">
        <f>(Definition!P610*Definition!H$16)</f>
        <v>0</v>
      </c>
      <c r="V610" s="203">
        <f>(Definition!Q610*Definition!I$16)</f>
        <v>0</v>
      </c>
      <c r="W610" s="204">
        <f t="shared" si="50"/>
        <v>0</v>
      </c>
      <c r="X610" s="207">
        <f t="shared" si="48"/>
        <v>0</v>
      </c>
    </row>
    <row r="611" spans="12:24">
      <c r="L611" s="423"/>
      <c r="M611" s="68">
        <f>IF(compute_ManualOverrideHybrid="No", COUNTIFS(Hybrid!E$5:E$14987, UCDEffortSpread!D37, Hybrid!B$5:B$14987,Definition!C$16,Hybrid!D$5:D$14987,Definition!E$3), 0)</f>
        <v>0</v>
      </c>
      <c r="N611" s="68">
        <f>IF(compute_ManualOverrideHybrid="No", COUNTIFS(Hybrid!E$5:E$14987, UCDEffortSpread!D37, Hybrid!B$5:B$14987,Definition!C$16,Hybrid!D$5:D$14987,Definition!F$3), 0)</f>
        <v>0</v>
      </c>
      <c r="O611" s="68">
        <f>IF(compute_ManualOverrideHybrid="No", COUNTIFS(Hybrid!E$5:E$14987, UCDEffortSpread!D37, Hybrid!B$5:B$14987,Definition!C$16,Hybrid!D$5:D$14987,Definition!G$3), 0)</f>
        <v>0</v>
      </c>
      <c r="P611" s="68">
        <f>IF(compute_ManualOverrideHybrid="No", COUNTIFS(Hybrid!E$5:E$14987, UCDEffortSpread!D37, Hybrid!B$5:B$14987,Definition!C$16,Hybrid!D$5:D$14987,Definition!H$3), 0)</f>
        <v>0</v>
      </c>
      <c r="Q611" s="68">
        <f>IF(compute_ManualOverrideHybrid="No", COUNTIFS(Hybrid!E$5:E$14987, UCDEffortSpread!D37, Hybrid!B$5:B$14987,Definition!C$16,Hybrid!D$5:D$14987,Definition!I$3), 0)</f>
        <v>0</v>
      </c>
      <c r="R611" s="203">
        <f>(Definition!M611*Definition!E$16)</f>
        <v>0</v>
      </c>
      <c r="S611" s="203">
        <f>(Definition!N611*Definition!F$16)</f>
        <v>0</v>
      </c>
      <c r="T611" s="203">
        <f>(Definition!O611*Definition!G$16)</f>
        <v>0</v>
      </c>
      <c r="U611" s="203">
        <f>(Definition!P611*Definition!H$16)</f>
        <v>0</v>
      </c>
      <c r="V611" s="203">
        <f>(Definition!Q611*Definition!I$16)</f>
        <v>0</v>
      </c>
      <c r="W611" s="204">
        <f t="shared" si="50"/>
        <v>0</v>
      </c>
      <c r="X611" s="207">
        <f t="shared" si="48"/>
        <v>0</v>
      </c>
    </row>
    <row r="612" spans="12:24">
      <c r="L612" s="423"/>
      <c r="M612" s="68">
        <f>IF(compute_ManualOverrideHybrid="No", COUNTIFS(Hybrid!E$5:E$14987, UCDEffortSpread!D38, Hybrid!B$5:B$14987,Definition!C$16,Hybrid!D$5:D$14987,Definition!E$3), 0)</f>
        <v>0</v>
      </c>
      <c r="N612" s="68">
        <f>IF(compute_ManualOverrideHybrid="No", COUNTIFS(Hybrid!E$5:E$14987, UCDEffortSpread!D38, Hybrid!B$5:B$14987,Definition!C$16,Hybrid!D$5:D$14987,Definition!F$3), 0)</f>
        <v>0</v>
      </c>
      <c r="O612" s="68">
        <f>IF(compute_ManualOverrideHybrid="No", COUNTIFS(Hybrid!E$5:E$14987, UCDEffortSpread!D38, Hybrid!B$5:B$14987,Definition!C$16,Hybrid!D$5:D$14987,Definition!G$3), 0)</f>
        <v>0</v>
      </c>
      <c r="P612" s="68">
        <f>IF(compute_ManualOverrideHybrid="No", COUNTIFS(Hybrid!E$5:E$14987, UCDEffortSpread!D38, Hybrid!B$5:B$14987,Definition!C$16,Hybrid!D$5:D$14987,Definition!H$3), 0)</f>
        <v>0</v>
      </c>
      <c r="Q612" s="68">
        <f>IF(compute_ManualOverrideHybrid="No", COUNTIFS(Hybrid!E$5:E$14987, UCDEffortSpread!D38, Hybrid!B$5:B$14987,Definition!C$16,Hybrid!D$5:D$14987,Definition!I$3), 0)</f>
        <v>0</v>
      </c>
      <c r="R612" s="203">
        <f>(Definition!M612*Definition!E$16)</f>
        <v>0</v>
      </c>
      <c r="S612" s="203">
        <f>(Definition!N612*Definition!F$16)</f>
        <v>0</v>
      </c>
      <c r="T612" s="203">
        <f>(Definition!O612*Definition!G$16)</f>
        <v>0</v>
      </c>
      <c r="U612" s="203">
        <f>(Definition!P612*Definition!H$16)</f>
        <v>0</v>
      </c>
      <c r="V612" s="203">
        <f>(Definition!Q612*Definition!I$16)</f>
        <v>0</v>
      </c>
      <c r="W612" s="204">
        <f t="shared" si="50"/>
        <v>0</v>
      </c>
      <c r="X612" s="207">
        <f t="shared" si="48"/>
        <v>0</v>
      </c>
    </row>
    <row r="613" spans="12:24">
      <c r="L613" s="423"/>
      <c r="M613" s="68">
        <f>IF(compute_ManualOverrideHybrid="No", COUNTIFS(Hybrid!E$5:E$14987, UCDEffortSpread!D39, Hybrid!B$5:B$14987,Definition!C$16,Hybrid!D$5:D$14987,Definition!E$3), 0)</f>
        <v>0</v>
      </c>
      <c r="N613" s="68">
        <f>IF(compute_ManualOverrideHybrid="No", COUNTIFS(Hybrid!E$5:E$14987, UCDEffortSpread!D39, Hybrid!B$5:B$14987,Definition!C$16,Hybrid!D$5:D$14987,Definition!F$3), 0)</f>
        <v>0</v>
      </c>
      <c r="O613" s="68">
        <f>IF(compute_ManualOverrideHybrid="No", COUNTIFS(Hybrid!E$5:E$14987, UCDEffortSpread!D39, Hybrid!B$5:B$14987,Definition!C$16,Hybrid!D$5:D$14987,Definition!G$3), 0)</f>
        <v>0</v>
      </c>
      <c r="P613" s="68">
        <f>IF(compute_ManualOverrideHybrid="No", COUNTIFS(Hybrid!E$5:E$14987, UCDEffortSpread!D39, Hybrid!B$5:B$14987,Definition!C$16,Hybrid!D$5:D$14987,Definition!H$3), 0)</f>
        <v>0</v>
      </c>
      <c r="Q613" s="68">
        <f>IF(compute_ManualOverrideHybrid="No", COUNTIFS(Hybrid!E$5:E$14987, UCDEffortSpread!D39, Hybrid!B$5:B$14987,Definition!C$16,Hybrid!D$5:D$14987,Definition!I$3), 0)</f>
        <v>0</v>
      </c>
      <c r="R613" s="203">
        <f>(Definition!M613*Definition!E$16)</f>
        <v>0</v>
      </c>
      <c r="S613" s="203">
        <f>(Definition!N613*Definition!F$16)</f>
        <v>0</v>
      </c>
      <c r="T613" s="203">
        <f>(Definition!O613*Definition!G$16)</f>
        <v>0</v>
      </c>
      <c r="U613" s="203">
        <f>(Definition!P613*Definition!H$16)</f>
        <v>0</v>
      </c>
      <c r="V613" s="203">
        <f>(Definition!Q613*Definition!I$16)</f>
        <v>0</v>
      </c>
      <c r="W613" s="204">
        <f t="shared" si="50"/>
        <v>0</v>
      </c>
      <c r="X613" s="207">
        <f t="shared" si="48"/>
        <v>0</v>
      </c>
    </row>
    <row r="614" spans="12:24">
      <c r="L614" s="423"/>
      <c r="M614" s="68">
        <f>IF(compute_ManualOverrideHybrid="No", COUNTIFS(Hybrid!E$5:E$14987, UCDEffortSpread!D40, Hybrid!B$5:B$14987,Definition!C$16,Hybrid!D$5:D$14987,Definition!E$3), 0)</f>
        <v>0</v>
      </c>
      <c r="N614" s="68">
        <f>IF(compute_ManualOverrideHybrid="No", COUNTIFS(Hybrid!E$5:E$14987, UCDEffortSpread!D40, Hybrid!B$5:B$14987,Definition!C$16,Hybrid!D$5:D$14987,Definition!F$3), 0)</f>
        <v>0</v>
      </c>
      <c r="O614" s="68">
        <f>IF(compute_ManualOverrideHybrid="No", COUNTIFS(Hybrid!E$5:E$14987, UCDEffortSpread!D40, Hybrid!B$5:B$14987,Definition!C$16,Hybrid!D$5:D$14987,Definition!G$3), 0)</f>
        <v>0</v>
      </c>
      <c r="P614" s="68">
        <f>IF(compute_ManualOverrideHybrid="No", COUNTIFS(Hybrid!E$5:E$14987, UCDEffortSpread!D40, Hybrid!B$5:B$14987,Definition!C$16,Hybrid!D$5:D$14987,Definition!H$3), 0)</f>
        <v>0</v>
      </c>
      <c r="Q614" s="68">
        <f>IF(compute_ManualOverrideHybrid="No", COUNTIFS(Hybrid!E$5:E$14987, UCDEffortSpread!D40, Hybrid!B$5:B$14987,Definition!C$16,Hybrid!D$5:D$14987,Definition!I$3), 0)</f>
        <v>0</v>
      </c>
      <c r="R614" s="203">
        <f>(Definition!M614*Definition!E$16)</f>
        <v>0</v>
      </c>
      <c r="S614" s="203">
        <f>(Definition!N614*Definition!F$16)</f>
        <v>0</v>
      </c>
      <c r="T614" s="203">
        <f>(Definition!O614*Definition!G$16)</f>
        <v>0</v>
      </c>
      <c r="U614" s="203">
        <f>(Definition!P614*Definition!H$16)</f>
        <v>0</v>
      </c>
      <c r="V614" s="203">
        <f>(Definition!Q614*Definition!I$16)</f>
        <v>0</v>
      </c>
      <c r="W614" s="204">
        <f t="shared" si="50"/>
        <v>0</v>
      </c>
      <c r="X614" s="207">
        <f t="shared" si="48"/>
        <v>0</v>
      </c>
    </row>
    <row r="615" spans="12:24">
      <c r="L615" s="423"/>
      <c r="M615" s="68">
        <f>IF(compute_ManualOverrideHybrid="No", COUNTIFS(Hybrid!E$5:E$14987, UCDEffortSpread!D41, Hybrid!B$5:B$14987,Definition!C$16,Hybrid!D$5:D$14987,Definition!E$3), 0)</f>
        <v>0</v>
      </c>
      <c r="N615" s="68">
        <f>IF(compute_ManualOverrideHybrid="No", COUNTIFS(Hybrid!E$5:E$14987, UCDEffortSpread!D41, Hybrid!B$5:B$14987,Definition!C$16,Hybrid!D$5:D$14987,Definition!F$3), 0)</f>
        <v>0</v>
      </c>
      <c r="O615" s="68">
        <f>IF(compute_ManualOverrideHybrid="No", COUNTIFS(Hybrid!E$5:E$14987, UCDEffortSpread!D41, Hybrid!B$5:B$14987,Definition!C$16,Hybrid!D$5:D$14987,Definition!G$3), 0)</f>
        <v>0</v>
      </c>
      <c r="P615" s="68">
        <f>IF(compute_ManualOverrideHybrid="No", COUNTIFS(Hybrid!E$5:E$14987, UCDEffortSpread!D41, Hybrid!B$5:B$14987,Definition!C$16,Hybrid!D$5:D$14987,Definition!H$3), 0)</f>
        <v>0</v>
      </c>
      <c r="Q615" s="68">
        <f>IF(compute_ManualOverrideHybrid="No", COUNTIFS(Hybrid!E$5:E$14987, UCDEffortSpread!D41, Hybrid!B$5:B$14987,Definition!C$16,Hybrid!D$5:D$14987,Definition!I$3), 0)</f>
        <v>0</v>
      </c>
      <c r="R615" s="203">
        <f>(Definition!M615*Definition!E$16)</f>
        <v>0</v>
      </c>
      <c r="S615" s="203">
        <f>(Definition!N615*Definition!F$16)</f>
        <v>0</v>
      </c>
      <c r="T615" s="203">
        <f>(Definition!O615*Definition!G$16)</f>
        <v>0</v>
      </c>
      <c r="U615" s="203">
        <f>(Definition!P615*Definition!H$16)</f>
        <v>0</v>
      </c>
      <c r="V615" s="203">
        <f>(Definition!Q615*Definition!I$16)</f>
        <v>0</v>
      </c>
      <c r="W615" s="204">
        <f t="shared" si="50"/>
        <v>0</v>
      </c>
      <c r="X615" s="207">
        <f t="shared" si="48"/>
        <v>0</v>
      </c>
    </row>
    <row r="616" spans="12:24">
      <c r="L616" s="423"/>
      <c r="M616" s="68">
        <f>IF(compute_ManualOverrideHybrid="No", COUNTIFS(Hybrid!E$5:E$14987, UCDEffortSpread!D42, Hybrid!B$5:B$14987,Definition!C$16,Hybrid!D$5:D$14987,Definition!E$3), 0)</f>
        <v>0</v>
      </c>
      <c r="N616" s="68">
        <f>IF(compute_ManualOverrideHybrid="No", COUNTIFS(Hybrid!E$5:E$14987, UCDEffortSpread!D42, Hybrid!B$5:B$14987,Definition!C$16,Hybrid!D$5:D$14987,Definition!F$3), 0)</f>
        <v>0</v>
      </c>
      <c r="O616" s="68">
        <f>IF(compute_ManualOverrideHybrid="No", COUNTIFS(Hybrid!E$5:E$14987, UCDEffortSpread!D42, Hybrid!B$5:B$14987,Definition!C$16,Hybrid!D$5:D$14987,Definition!G$3), 0)</f>
        <v>0</v>
      </c>
      <c r="P616" s="68">
        <f>IF(compute_ManualOverrideHybrid="No", COUNTIFS(Hybrid!E$5:E$14987, UCDEffortSpread!D42, Hybrid!B$5:B$14987,Definition!C$16,Hybrid!D$5:D$14987,Definition!H$3), 0)</f>
        <v>0</v>
      </c>
      <c r="Q616" s="68">
        <f>IF(compute_ManualOverrideHybrid="No", COUNTIFS(Hybrid!E$5:E$14987, UCDEffortSpread!D42, Hybrid!B$5:B$14987,Definition!C$16,Hybrid!D$5:D$14987,Definition!I$3), 0)</f>
        <v>0</v>
      </c>
      <c r="R616" s="203">
        <f>(Definition!M616*Definition!E$16)</f>
        <v>0</v>
      </c>
      <c r="S616" s="203">
        <f>(Definition!N616*Definition!F$16)</f>
        <v>0</v>
      </c>
      <c r="T616" s="203">
        <f>(Definition!O616*Definition!G$16)</f>
        <v>0</v>
      </c>
      <c r="U616" s="203">
        <f>(Definition!P616*Definition!H$16)</f>
        <v>0</v>
      </c>
      <c r="V616" s="203">
        <f>(Definition!Q616*Definition!I$16)</f>
        <v>0</v>
      </c>
      <c r="W616" s="204">
        <f t="shared" si="50"/>
        <v>0</v>
      </c>
      <c r="X616" s="207">
        <f t="shared" si="48"/>
        <v>0</v>
      </c>
    </row>
    <row r="617" spans="12:24">
      <c r="L617" s="423"/>
      <c r="M617" s="68">
        <f>IF(compute_ManualOverrideHybrid="No", COUNTIFS(Hybrid!E$5:E$14987, UCDEffortSpread!D43, Hybrid!B$5:B$14987,Definition!C$16,Hybrid!D$5:D$14987,Definition!E$3), 0)</f>
        <v>0</v>
      </c>
      <c r="N617" s="68">
        <f>IF(compute_ManualOverrideHybrid="No", COUNTIFS(Hybrid!E$5:E$14987, UCDEffortSpread!D43, Hybrid!B$5:B$14987,Definition!C$16,Hybrid!D$5:D$14987,Definition!F$3), 0)</f>
        <v>0</v>
      </c>
      <c r="O617" s="68">
        <f>IF(compute_ManualOverrideHybrid="No", COUNTIFS(Hybrid!E$5:E$14987, UCDEffortSpread!D43, Hybrid!B$5:B$14987,Definition!C$16,Hybrid!D$5:D$14987,Definition!G$3), 0)</f>
        <v>0</v>
      </c>
      <c r="P617" s="68">
        <f>IF(compute_ManualOverrideHybrid="No", COUNTIFS(Hybrid!E$5:E$14987, UCDEffortSpread!D43, Hybrid!B$5:B$14987,Definition!C$16,Hybrid!D$5:D$14987,Definition!H$3), 0)</f>
        <v>0</v>
      </c>
      <c r="Q617" s="68">
        <f>IF(compute_ManualOverrideHybrid="No", COUNTIFS(Hybrid!E$5:E$14987, UCDEffortSpread!D43, Hybrid!B$5:B$14987,Definition!C$16,Hybrid!D$5:D$14987,Definition!I$3), 0)</f>
        <v>0</v>
      </c>
      <c r="R617" s="203">
        <f>(Definition!M617*Definition!E$16)</f>
        <v>0</v>
      </c>
      <c r="S617" s="203">
        <f>(Definition!N617*Definition!F$16)</f>
        <v>0</v>
      </c>
      <c r="T617" s="203">
        <f>(Definition!O617*Definition!G$16)</f>
        <v>0</v>
      </c>
      <c r="U617" s="203">
        <f>(Definition!P617*Definition!H$16)</f>
        <v>0</v>
      </c>
      <c r="V617" s="203">
        <f>(Definition!Q617*Definition!I$16)</f>
        <v>0</v>
      </c>
      <c r="W617" s="204">
        <f t="shared" si="50"/>
        <v>0</v>
      </c>
      <c r="X617" s="207">
        <f t="shared" si="48"/>
        <v>0</v>
      </c>
    </row>
    <row r="618" spans="12:24">
      <c r="L618" s="423"/>
      <c r="M618" s="68">
        <f>IF(compute_ManualOverrideHybrid="No", COUNTIFS(Hybrid!E$5:E$14987, UCDEffortSpread!D44, Hybrid!B$5:B$14987,Definition!C$16,Hybrid!D$5:D$14987,Definition!E$3), 0)</f>
        <v>0</v>
      </c>
      <c r="N618" s="68">
        <f>IF(compute_ManualOverrideHybrid="No", COUNTIFS(Hybrid!E$5:E$14987, UCDEffortSpread!D44, Hybrid!B$5:B$14987,Definition!C$16,Hybrid!D$5:D$14987,Definition!F$3), 0)</f>
        <v>0</v>
      </c>
      <c r="O618" s="68">
        <f>IF(compute_ManualOverrideHybrid="No", COUNTIFS(Hybrid!E$5:E$14987, UCDEffortSpread!D44, Hybrid!B$5:B$14987,Definition!C$16,Hybrid!D$5:D$14987,Definition!G$3), 0)</f>
        <v>0</v>
      </c>
      <c r="P618" s="68">
        <f>IF(compute_ManualOverrideHybrid="No", COUNTIFS(Hybrid!E$5:E$14987, UCDEffortSpread!D44, Hybrid!B$5:B$14987,Definition!C$16,Hybrid!D$5:D$14987,Definition!H$3), 0)</f>
        <v>0</v>
      </c>
      <c r="Q618" s="68">
        <f>IF(compute_ManualOverrideHybrid="No", COUNTIFS(Hybrid!E$5:E$14987, UCDEffortSpread!D44, Hybrid!B$5:B$14987,Definition!C$16,Hybrid!D$5:D$14987,Definition!I$3), 0)</f>
        <v>0</v>
      </c>
      <c r="R618" s="203">
        <f>(Definition!M618*Definition!E$16)</f>
        <v>0</v>
      </c>
      <c r="S618" s="203">
        <f>(Definition!N618*Definition!F$16)</f>
        <v>0</v>
      </c>
      <c r="T618" s="203">
        <f>(Definition!O618*Definition!G$16)</f>
        <v>0</v>
      </c>
      <c r="U618" s="203">
        <f>(Definition!P618*Definition!H$16)</f>
        <v>0</v>
      </c>
      <c r="V618" s="203">
        <f>(Definition!Q618*Definition!I$16)</f>
        <v>0</v>
      </c>
      <c r="W618" s="204">
        <f t="shared" si="50"/>
        <v>0</v>
      </c>
      <c r="X618" s="207">
        <f t="shared" si="48"/>
        <v>0</v>
      </c>
    </row>
    <row r="619" spans="12:24">
      <c r="L619" s="423"/>
      <c r="M619" s="68">
        <f>IF(compute_ManualOverrideHybrid="No", COUNTIFS(Hybrid!E$5:E$14987, UCDEffortSpread!D45, Hybrid!B$5:B$14987,Definition!C$16,Hybrid!D$5:D$14987,Definition!E$3), 0)</f>
        <v>0</v>
      </c>
      <c r="N619" s="68">
        <f>IF(compute_ManualOverrideHybrid="No", COUNTIFS(Hybrid!E$5:E$14987, UCDEffortSpread!D45, Hybrid!B$5:B$14987,Definition!C$16,Hybrid!D$5:D$14987,Definition!F$3), 0)</f>
        <v>0</v>
      </c>
      <c r="O619" s="68">
        <f>IF(compute_ManualOverrideHybrid="No", COUNTIFS(Hybrid!E$5:E$14987, UCDEffortSpread!D45, Hybrid!B$5:B$14987,Definition!C$16,Hybrid!D$5:D$14987,Definition!G$3), 0)</f>
        <v>0</v>
      </c>
      <c r="P619" s="68">
        <f>IF(compute_ManualOverrideHybrid="No", COUNTIFS(Hybrid!E$5:E$14987, UCDEffortSpread!D45, Hybrid!B$5:B$14987,Definition!C$16,Hybrid!D$5:D$14987,Definition!H$3), 0)</f>
        <v>0</v>
      </c>
      <c r="Q619" s="68">
        <f>IF(compute_ManualOverrideHybrid="No", COUNTIFS(Hybrid!E$5:E$14987, UCDEffortSpread!D45, Hybrid!B$5:B$14987,Definition!C$16,Hybrid!D$5:D$14987,Definition!I$3), 0)</f>
        <v>0</v>
      </c>
      <c r="R619" s="203">
        <f>(Definition!M619*Definition!E$16)</f>
        <v>0</v>
      </c>
      <c r="S619" s="203">
        <f>(Definition!N619*Definition!F$16)</f>
        <v>0</v>
      </c>
      <c r="T619" s="203">
        <f>(Definition!O619*Definition!G$16)</f>
        <v>0</v>
      </c>
      <c r="U619" s="203">
        <f>(Definition!P619*Definition!H$16)</f>
        <v>0</v>
      </c>
      <c r="V619" s="203">
        <f>(Definition!Q619*Definition!I$16)</f>
        <v>0</v>
      </c>
      <c r="W619" s="204">
        <f t="shared" si="50"/>
        <v>0</v>
      </c>
      <c r="X619" s="207">
        <f t="shared" si="48"/>
        <v>0</v>
      </c>
    </row>
    <row r="620" spans="12:24">
      <c r="L620" s="423"/>
      <c r="M620" s="68">
        <f>IF(compute_ManualOverrideHybrid="No", COUNTIFS(Hybrid!E$5:E$14987, UCDEffortSpread!D46, Hybrid!B$5:B$14987,Definition!C$16,Hybrid!D$5:D$14987,Definition!E$3), 0)</f>
        <v>0</v>
      </c>
      <c r="N620" s="68">
        <f>IF(compute_ManualOverrideHybrid="No", COUNTIFS(Hybrid!E$5:E$14987, UCDEffortSpread!D46, Hybrid!B$5:B$14987,Definition!C$16,Hybrid!D$5:D$14987,Definition!F$3), 0)</f>
        <v>0</v>
      </c>
      <c r="O620" s="68">
        <f>IF(compute_ManualOverrideHybrid="No", COUNTIFS(Hybrid!E$5:E$14987, UCDEffortSpread!D46, Hybrid!B$5:B$14987,Definition!C$16,Hybrid!D$5:D$14987,Definition!G$3), 0)</f>
        <v>0</v>
      </c>
      <c r="P620" s="68">
        <f>IF(compute_ManualOverrideHybrid="No", COUNTIFS(Hybrid!E$5:E$14987, UCDEffortSpread!D46, Hybrid!B$5:B$14987,Definition!C$16,Hybrid!D$5:D$14987,Definition!H$3), 0)</f>
        <v>0</v>
      </c>
      <c r="Q620" s="68">
        <f>IF(compute_ManualOverrideHybrid="No", COUNTIFS(Hybrid!E$5:E$14987, UCDEffortSpread!D46, Hybrid!B$5:B$14987,Definition!C$16,Hybrid!D$5:D$14987,Definition!I$3), 0)</f>
        <v>0</v>
      </c>
      <c r="R620" s="203">
        <f>(Definition!M620*Definition!E$16)</f>
        <v>0</v>
      </c>
      <c r="S620" s="203">
        <f>(Definition!N620*Definition!F$16)</f>
        <v>0</v>
      </c>
      <c r="T620" s="203">
        <f>(Definition!O620*Definition!G$16)</f>
        <v>0</v>
      </c>
      <c r="U620" s="203">
        <f>(Definition!P620*Definition!H$16)</f>
        <v>0</v>
      </c>
      <c r="V620" s="203">
        <f>(Definition!Q620*Definition!I$16)</f>
        <v>0</v>
      </c>
      <c r="W620" s="204">
        <f t="shared" si="50"/>
        <v>0</v>
      </c>
      <c r="X620" s="207">
        <f t="shared" si="48"/>
        <v>0</v>
      </c>
    </row>
    <row r="621" spans="12:24">
      <c r="L621" s="423"/>
      <c r="M621" s="68">
        <f>IF(compute_ManualOverrideHybrid="No", COUNTIFS(Hybrid!E$5:E$14987, UCDEffortSpread!D47, Hybrid!B$5:B$14987,Definition!C$16,Hybrid!D$5:D$14987,Definition!E$3), 0)</f>
        <v>0</v>
      </c>
      <c r="N621" s="68">
        <f>IF(compute_ManualOverrideHybrid="No", COUNTIFS(Hybrid!E$5:E$14987, UCDEffortSpread!D47, Hybrid!B$5:B$14987,Definition!C$16,Hybrid!D$5:D$14987,Definition!F$3), 0)</f>
        <v>0</v>
      </c>
      <c r="O621" s="68">
        <f>IF(compute_ManualOverrideHybrid="No", COUNTIFS(Hybrid!E$5:E$14987, UCDEffortSpread!D47, Hybrid!B$5:B$14987,Definition!C$16,Hybrid!D$5:D$14987,Definition!G$3), 0)</f>
        <v>0</v>
      </c>
      <c r="P621" s="68">
        <f>IF(compute_ManualOverrideHybrid="No", COUNTIFS(Hybrid!E$5:E$14987, UCDEffortSpread!D47, Hybrid!B$5:B$14987,Definition!C$16,Hybrid!D$5:D$14987,Definition!H$3), 0)</f>
        <v>0</v>
      </c>
      <c r="Q621" s="68">
        <f>IF(compute_ManualOverrideHybrid="No", COUNTIFS(Hybrid!E$5:E$14987, UCDEffortSpread!D47, Hybrid!B$5:B$14987,Definition!C$16,Hybrid!D$5:D$14987,Definition!I$3), 0)</f>
        <v>0</v>
      </c>
      <c r="R621" s="203">
        <f>(Definition!M621*Definition!E$16)</f>
        <v>0</v>
      </c>
      <c r="S621" s="203">
        <f>(Definition!N621*Definition!F$16)</f>
        <v>0</v>
      </c>
      <c r="T621" s="203">
        <f>(Definition!O621*Definition!G$16)</f>
        <v>0</v>
      </c>
      <c r="U621" s="203">
        <f>(Definition!P621*Definition!H$16)</f>
        <v>0</v>
      </c>
      <c r="V621" s="203">
        <f>(Definition!Q621*Definition!I$16)</f>
        <v>0</v>
      </c>
      <c r="W621" s="204">
        <f t="shared" si="50"/>
        <v>0</v>
      </c>
      <c r="X621" s="207">
        <f t="shared" si="48"/>
        <v>0</v>
      </c>
    </row>
    <row r="622" spans="12:24">
      <c r="L622" s="423"/>
      <c r="M622" s="68">
        <f>IF(compute_ManualOverrideHybrid="No", COUNTIFS(Hybrid!E$5:E$14987, UCDEffortSpread!D48, Hybrid!B$5:B$14987,Definition!C$16,Hybrid!D$5:D$14987,Definition!E$3), 0)</f>
        <v>0</v>
      </c>
      <c r="N622" s="68">
        <f>IF(compute_ManualOverrideHybrid="No", COUNTIFS(Hybrid!E$5:E$14987, UCDEffortSpread!D48, Hybrid!B$5:B$14987,Definition!C$16,Hybrid!D$5:D$14987,Definition!F$3), 0)</f>
        <v>0</v>
      </c>
      <c r="O622" s="68">
        <f>IF(compute_ManualOverrideHybrid="No", COUNTIFS(Hybrid!E$5:E$14987, UCDEffortSpread!D48, Hybrid!B$5:B$14987,Definition!C$16,Hybrid!D$5:D$14987,Definition!G$3), 0)</f>
        <v>0</v>
      </c>
      <c r="P622" s="68">
        <f>IF(compute_ManualOverrideHybrid="No", COUNTIFS(Hybrid!E$5:E$14987, UCDEffortSpread!D48, Hybrid!B$5:B$14987,Definition!C$16,Hybrid!D$5:D$14987,Definition!H$3), 0)</f>
        <v>0</v>
      </c>
      <c r="Q622" s="68">
        <f>IF(compute_ManualOverrideHybrid="No", COUNTIFS(Hybrid!E$5:E$14987, UCDEffortSpread!D48, Hybrid!B$5:B$14987,Definition!C$16,Hybrid!D$5:D$14987,Definition!I$3), 0)</f>
        <v>0</v>
      </c>
      <c r="R622" s="203">
        <f>(Definition!M622*Definition!E$16)</f>
        <v>0</v>
      </c>
      <c r="S622" s="203">
        <f>(Definition!N622*Definition!F$16)</f>
        <v>0</v>
      </c>
      <c r="T622" s="203">
        <f>(Definition!O622*Definition!G$16)</f>
        <v>0</v>
      </c>
      <c r="U622" s="203">
        <f>(Definition!P622*Definition!H$16)</f>
        <v>0</v>
      </c>
      <c r="V622" s="203">
        <f>(Definition!Q622*Definition!I$16)</f>
        <v>0</v>
      </c>
      <c r="W622" s="204">
        <f t="shared" si="50"/>
        <v>0</v>
      </c>
      <c r="X622" s="207">
        <f t="shared" si="48"/>
        <v>0</v>
      </c>
    </row>
    <row r="623" spans="12:24">
      <c r="L623" s="423"/>
      <c r="M623" s="68">
        <f>IF(compute_ManualOverrideHybrid="No", COUNTIFS(Hybrid!E$5:E$14987, UCDEffortSpread!D49, Hybrid!B$5:B$14987,Definition!C$16,Hybrid!D$5:D$14987,Definition!E$3), 0)</f>
        <v>0</v>
      </c>
      <c r="N623" s="68">
        <f>IF(compute_ManualOverrideHybrid="No", COUNTIFS(Hybrid!E$5:E$14987, UCDEffortSpread!D49, Hybrid!B$5:B$14987,Definition!C$16,Hybrid!D$5:D$14987,Definition!F$3), 0)</f>
        <v>0</v>
      </c>
      <c r="O623" s="68">
        <f>IF(compute_ManualOverrideHybrid="No", COUNTIFS(Hybrid!E$5:E$14987, UCDEffortSpread!D49, Hybrid!B$5:B$14987,Definition!C$16,Hybrid!D$5:D$14987,Definition!G$3), 0)</f>
        <v>0</v>
      </c>
      <c r="P623" s="68">
        <f>IF(compute_ManualOverrideHybrid="No", COUNTIFS(Hybrid!E$5:E$14987, UCDEffortSpread!D49, Hybrid!B$5:B$14987,Definition!C$16,Hybrid!D$5:D$14987,Definition!H$3), 0)</f>
        <v>0</v>
      </c>
      <c r="Q623" s="68">
        <f>IF(compute_ManualOverrideHybrid="No", COUNTIFS(Hybrid!E$5:E$14987, UCDEffortSpread!D49, Hybrid!B$5:B$14987,Definition!C$16,Hybrid!D$5:D$14987,Definition!I$3), 0)</f>
        <v>0</v>
      </c>
      <c r="R623" s="203">
        <f>(Definition!M623*Definition!E$16)</f>
        <v>0</v>
      </c>
      <c r="S623" s="203">
        <f>(Definition!N623*Definition!F$16)</f>
        <v>0</v>
      </c>
      <c r="T623" s="203">
        <f>(Definition!O623*Definition!G$16)</f>
        <v>0</v>
      </c>
      <c r="U623" s="203">
        <f>(Definition!P623*Definition!H$16)</f>
        <v>0</v>
      </c>
      <c r="V623" s="203">
        <f>(Definition!Q623*Definition!I$16)</f>
        <v>0</v>
      </c>
      <c r="W623" s="204">
        <f t="shared" si="50"/>
        <v>0</v>
      </c>
      <c r="X623" s="207">
        <f t="shared" si="48"/>
        <v>0</v>
      </c>
    </row>
    <row r="624" spans="12:24">
      <c r="L624" s="423"/>
      <c r="M624" s="68">
        <f>IF(compute_ManualOverrideHybrid="No", COUNTIFS(Hybrid!E$5:E$14987, UCDEffortSpread!D50, Hybrid!B$5:B$14987,Definition!C$16,Hybrid!D$5:D$14987,Definition!E$3), 0)</f>
        <v>0</v>
      </c>
      <c r="N624" s="68">
        <f>IF(compute_ManualOverrideHybrid="No", COUNTIFS(Hybrid!E$5:E$14987, UCDEffortSpread!D50, Hybrid!B$5:B$14987,Definition!C$16,Hybrid!D$5:D$14987,Definition!F$3), 0)</f>
        <v>0</v>
      </c>
      <c r="O624" s="68">
        <f>IF(compute_ManualOverrideHybrid="No", COUNTIFS(Hybrid!E$5:E$14987, UCDEffortSpread!D50, Hybrid!B$5:B$14987,Definition!C$16,Hybrid!D$5:D$14987,Definition!G$3), 0)</f>
        <v>0</v>
      </c>
      <c r="P624" s="68">
        <f>IF(compute_ManualOverrideHybrid="No", COUNTIFS(Hybrid!E$5:E$14987, UCDEffortSpread!D50, Hybrid!B$5:B$14987,Definition!C$16,Hybrid!D$5:D$14987,Definition!H$3), 0)</f>
        <v>0</v>
      </c>
      <c r="Q624" s="68">
        <f>IF(compute_ManualOverrideHybrid="No", COUNTIFS(Hybrid!E$5:E$14987, UCDEffortSpread!D50, Hybrid!B$5:B$14987,Definition!C$16,Hybrid!D$5:D$14987,Definition!I$3), 0)</f>
        <v>0</v>
      </c>
      <c r="R624" s="203">
        <f>(Definition!M624*Definition!E$16)</f>
        <v>0</v>
      </c>
      <c r="S624" s="203">
        <f>(Definition!N624*Definition!F$16)</f>
        <v>0</v>
      </c>
      <c r="T624" s="203">
        <f>(Definition!O624*Definition!G$16)</f>
        <v>0</v>
      </c>
      <c r="U624" s="203">
        <f>(Definition!P624*Definition!H$16)</f>
        <v>0</v>
      </c>
      <c r="V624" s="203">
        <f>(Definition!Q624*Definition!I$16)</f>
        <v>0</v>
      </c>
      <c r="W624" s="204">
        <f t="shared" si="50"/>
        <v>0</v>
      </c>
      <c r="X624" s="207">
        <f t="shared" si="48"/>
        <v>0</v>
      </c>
    </row>
    <row r="625" spans="12:24">
      <c r="L625" s="423"/>
      <c r="M625" s="68">
        <f>IF(compute_ManualOverrideHybrid="No", COUNTIFS(Hybrid!E$5:E$14987, UCDEffortSpread!D51, Hybrid!B$5:B$14987,Definition!C$16,Hybrid!D$5:D$14987,Definition!E$3), 0)</f>
        <v>0</v>
      </c>
      <c r="N625" s="68">
        <f>IF(compute_ManualOverrideHybrid="No", COUNTIFS(Hybrid!E$5:E$14987, UCDEffortSpread!D51, Hybrid!B$5:B$14987,Definition!C$16,Hybrid!D$5:D$14987,Definition!F$3), 0)</f>
        <v>0</v>
      </c>
      <c r="O625" s="68">
        <f>IF(compute_ManualOverrideHybrid="No", COUNTIFS(Hybrid!E$5:E$14987, UCDEffortSpread!D51, Hybrid!B$5:B$14987,Definition!C$16,Hybrid!D$5:D$14987,Definition!G$3), 0)</f>
        <v>0</v>
      </c>
      <c r="P625" s="68">
        <f>IF(compute_ManualOverrideHybrid="No", COUNTIFS(Hybrid!E$5:E$14987, UCDEffortSpread!D51, Hybrid!B$5:B$14987,Definition!C$16,Hybrid!D$5:D$14987,Definition!H$3), 0)</f>
        <v>0</v>
      </c>
      <c r="Q625" s="68">
        <f>IF(compute_ManualOverrideHybrid="No", COUNTIFS(Hybrid!E$5:E$14987, UCDEffortSpread!D51, Hybrid!B$5:B$14987,Definition!C$16,Hybrid!D$5:D$14987,Definition!I$3), 0)</f>
        <v>0</v>
      </c>
      <c r="R625" s="203">
        <f>(Definition!M625*Definition!E$16)</f>
        <v>0</v>
      </c>
      <c r="S625" s="203">
        <f>(Definition!N625*Definition!F$16)</f>
        <v>0</v>
      </c>
      <c r="T625" s="203">
        <f>(Definition!O625*Definition!G$16)</f>
        <v>0</v>
      </c>
      <c r="U625" s="203">
        <f>(Definition!P625*Definition!H$16)</f>
        <v>0</v>
      </c>
      <c r="V625" s="203">
        <f>(Definition!Q625*Definition!I$16)</f>
        <v>0</v>
      </c>
      <c r="W625" s="204">
        <f t="shared" si="50"/>
        <v>0</v>
      </c>
      <c r="X625" s="207">
        <f t="shared" si="48"/>
        <v>0</v>
      </c>
    </row>
    <row r="626" spans="12:24">
      <c r="L626" s="423"/>
      <c r="M626" s="68">
        <f>IF(compute_ManualOverrideHybrid="No", COUNTIFS(Hybrid!E$5:E$14987, UCDEffortSpread!D52, Hybrid!B$5:B$14987,Definition!C$16,Hybrid!D$5:D$14987,Definition!E$3), 0)</f>
        <v>0</v>
      </c>
      <c r="N626" s="68">
        <f>IF(compute_ManualOverrideHybrid="No", COUNTIFS(Hybrid!E$5:E$14987, UCDEffortSpread!D52, Hybrid!B$5:B$14987,Definition!C$16,Hybrid!D$5:D$14987,Definition!F$3), 0)</f>
        <v>0</v>
      </c>
      <c r="O626" s="68">
        <f>IF(compute_ManualOverrideHybrid="No", COUNTIFS(Hybrid!E$5:E$14987, UCDEffortSpread!D52, Hybrid!B$5:B$14987,Definition!C$16,Hybrid!D$5:D$14987,Definition!G$3), 0)</f>
        <v>0</v>
      </c>
      <c r="P626" s="68">
        <f>IF(compute_ManualOverrideHybrid="No", COUNTIFS(Hybrid!E$5:E$14987, UCDEffortSpread!D52, Hybrid!B$5:B$14987,Definition!C$16,Hybrid!D$5:D$14987,Definition!H$3), 0)</f>
        <v>0</v>
      </c>
      <c r="Q626" s="68">
        <f>IF(compute_ManualOverrideHybrid="No", COUNTIFS(Hybrid!E$5:E$14987, UCDEffortSpread!D52, Hybrid!B$5:B$14987,Definition!C$16,Hybrid!D$5:D$14987,Definition!I$3), 0)</f>
        <v>0</v>
      </c>
      <c r="R626" s="203">
        <f>(Definition!M626*Definition!E$16)</f>
        <v>0</v>
      </c>
      <c r="S626" s="203">
        <f>(Definition!N626*Definition!F$16)</f>
        <v>0</v>
      </c>
      <c r="T626" s="203">
        <f>(Definition!O626*Definition!G$16)</f>
        <v>0</v>
      </c>
      <c r="U626" s="203">
        <f>(Definition!P626*Definition!H$16)</f>
        <v>0</v>
      </c>
      <c r="V626" s="203">
        <f>(Definition!Q626*Definition!I$16)</f>
        <v>0</v>
      </c>
      <c r="W626" s="204">
        <f t="shared" si="50"/>
        <v>0</v>
      </c>
      <c r="X626" s="207">
        <f t="shared" si="48"/>
        <v>0</v>
      </c>
    </row>
    <row r="627" spans="12:24">
      <c r="L627" s="423"/>
      <c r="M627" s="68">
        <f>IF(compute_ManualOverrideHybrid="No", COUNTIFS(Hybrid!E$5:E$14987, UCDEffortSpread!D53, Hybrid!B$5:B$14987,Definition!C$16,Hybrid!D$5:D$14987,Definition!E$3), 0)</f>
        <v>0</v>
      </c>
      <c r="N627" s="68">
        <f>IF(compute_ManualOverrideHybrid="No", COUNTIFS(Hybrid!E$5:E$14987, UCDEffortSpread!D53, Hybrid!B$5:B$14987,Definition!C$16,Hybrid!D$5:D$14987,Definition!F$3), 0)</f>
        <v>0</v>
      </c>
      <c r="O627" s="68">
        <f>IF(compute_ManualOverrideHybrid="No", COUNTIFS(Hybrid!E$5:E$14987, UCDEffortSpread!D53, Hybrid!B$5:B$14987,Definition!C$16,Hybrid!D$5:D$14987,Definition!G$3), 0)</f>
        <v>0</v>
      </c>
      <c r="P627" s="68">
        <f>IF(compute_ManualOverrideHybrid="No", COUNTIFS(Hybrid!E$5:E$14987, UCDEffortSpread!D53, Hybrid!B$5:B$14987,Definition!C$16,Hybrid!D$5:D$14987,Definition!H$3), 0)</f>
        <v>0</v>
      </c>
      <c r="Q627" s="68">
        <f>IF(compute_ManualOverrideHybrid="No", COUNTIFS(Hybrid!E$5:E$14987, UCDEffortSpread!D53, Hybrid!B$5:B$14987,Definition!C$16,Hybrid!D$5:D$14987,Definition!I$3), 0)</f>
        <v>0</v>
      </c>
      <c r="R627" s="203">
        <f>(Definition!M627*Definition!E$16)</f>
        <v>0</v>
      </c>
      <c r="S627" s="203">
        <f>(Definition!N627*Definition!F$16)</f>
        <v>0</v>
      </c>
      <c r="T627" s="203">
        <f>(Definition!O627*Definition!G$16)</f>
        <v>0</v>
      </c>
      <c r="U627" s="203">
        <f>(Definition!P627*Definition!H$16)</f>
        <v>0</v>
      </c>
      <c r="V627" s="203">
        <f>(Definition!Q627*Definition!I$16)</f>
        <v>0</v>
      </c>
      <c r="W627" s="204">
        <f t="shared" si="50"/>
        <v>0</v>
      </c>
      <c r="X627" s="207">
        <f t="shared" si="48"/>
        <v>0</v>
      </c>
    </row>
    <row r="628" spans="12:24">
      <c r="L628" s="424"/>
      <c r="M628" s="68">
        <f>IF(compute_ManualOverrideHybrid="No", COUNTIFS(Hybrid!E$5:E$14987, UCDEffortSpread!D54, Hybrid!B$5:B$14987,Definition!C$16,Hybrid!D$5:D$14987,Definition!E$3), 0)</f>
        <v>0</v>
      </c>
      <c r="N628" s="68">
        <f>IF(compute_ManualOverrideHybrid="No", COUNTIFS(Hybrid!E$5:E$14987, UCDEffortSpread!D54, Hybrid!B$5:B$14987,Definition!C$16,Hybrid!D$5:D$14987,Definition!F$3), 0)</f>
        <v>0</v>
      </c>
      <c r="O628" s="68">
        <f>IF(compute_ManualOverrideHybrid="No", COUNTIFS(Hybrid!E$5:E$14987, UCDEffortSpread!D54, Hybrid!B$5:B$14987,Definition!C$16,Hybrid!D$5:D$14987,Definition!G$3), 0)</f>
        <v>0</v>
      </c>
      <c r="P628" s="68">
        <f>IF(compute_ManualOverrideHybrid="No", COUNTIFS(Hybrid!E$5:E$14987, UCDEffortSpread!D54, Hybrid!B$5:B$14987,Definition!C$16,Hybrid!D$5:D$14987,Definition!H$3), 0)</f>
        <v>0</v>
      </c>
      <c r="Q628" s="68">
        <f>IF(compute_ManualOverrideHybrid="No", COUNTIFS(Hybrid!E$5:E$14987, UCDEffortSpread!D54, Hybrid!B$5:B$14987,Definition!C$16,Hybrid!D$5:D$14987,Definition!I$3), 0)</f>
        <v>0</v>
      </c>
      <c r="R628" s="203">
        <f>(Definition!M628*Definition!E$16)</f>
        <v>0</v>
      </c>
      <c r="S628" s="203">
        <f>(Definition!N628*Definition!F$16)</f>
        <v>0</v>
      </c>
      <c r="T628" s="203">
        <f>(Definition!O628*Definition!G$16)</f>
        <v>0</v>
      </c>
      <c r="U628" s="203">
        <f>(Definition!P628*Definition!H$16)</f>
        <v>0</v>
      </c>
      <c r="V628" s="203">
        <f>(Definition!Q628*Definition!I$16)</f>
        <v>0</v>
      </c>
      <c r="W628" s="204">
        <f t="shared" si="50"/>
        <v>0</v>
      </c>
      <c r="X628" s="207">
        <f t="shared" si="48"/>
        <v>0</v>
      </c>
    </row>
  </sheetData>
  <sheetProtection algorithmName="SHA-512" hashValue="siu34sAmw3xmvJ5mpkNTLPFG/CPvxNkD7oPMZb8Rk+OeBkkr5FM32EHH3HcY2tmBtQ+M0rJnuko3OkmP4PkzEg==" saltValue="F5wFukGKfCtwRnK2MJ8rIA==" spinCount="100000" sheet="1" objects="1" scenarios="1" selectLockedCells="1" selectUnlockedCells="1"/>
  <mergeCells count="40">
    <mergeCell ref="AA5:AA8"/>
    <mergeCell ref="AA9:AA14"/>
    <mergeCell ref="AA15:AA17"/>
    <mergeCell ref="AA18:AA19"/>
    <mergeCell ref="L29:L78"/>
    <mergeCell ref="W27:X27"/>
    <mergeCell ref="K15:O15"/>
    <mergeCell ref="P15:T15"/>
    <mergeCell ref="L579:L628"/>
    <mergeCell ref="K3:O3"/>
    <mergeCell ref="P3:T3"/>
    <mergeCell ref="L23:N23"/>
    <mergeCell ref="L24:N24"/>
    <mergeCell ref="L22:N22"/>
    <mergeCell ref="L329:L378"/>
    <mergeCell ref="L379:L428"/>
    <mergeCell ref="L429:L478"/>
    <mergeCell ref="L479:L528"/>
    <mergeCell ref="L529:L578"/>
    <mergeCell ref="L79:L128"/>
    <mergeCell ref="L129:L178"/>
    <mergeCell ref="L179:L228"/>
    <mergeCell ref="L229:L278"/>
    <mergeCell ref="L279:L328"/>
    <mergeCell ref="B1:I1"/>
    <mergeCell ref="M27:Q27"/>
    <mergeCell ref="R27:V27"/>
    <mergeCell ref="B54:C54"/>
    <mergeCell ref="B4:B7"/>
    <mergeCell ref="B8:B13"/>
    <mergeCell ref="B14:B16"/>
    <mergeCell ref="B17:B18"/>
    <mergeCell ref="G23:H23"/>
    <mergeCell ref="G24:H24"/>
    <mergeCell ref="T19:U19"/>
    <mergeCell ref="K8:O8"/>
    <mergeCell ref="P8:T8"/>
    <mergeCell ref="F21:H21"/>
    <mergeCell ref="G22:H22"/>
    <mergeCell ref="K21:N21"/>
  </mergeCells>
  <conditionalFormatting sqref="V19">
    <cfRule type="cellIs" dxfId="46" priority="13" operator="equal">
      <formula>"NA"</formula>
    </cfRule>
    <cfRule type="cellIs" dxfId="45" priority="14" operator="equal">
      <formula>"High"</formula>
    </cfRule>
    <cfRule type="cellIs" dxfId="44" priority="15" operator="equal">
      <formula>"Medium"</formula>
    </cfRule>
    <cfRule type="cellIs" dxfId="43" priority="16" operator="equal">
      <formula>"Low"</formula>
    </cfRule>
  </conditionalFormatting>
  <conditionalFormatting sqref="X11">
    <cfRule type="cellIs" dxfId="42" priority="9" operator="equal">
      <formula>"NA"</formula>
    </cfRule>
    <cfRule type="cellIs" dxfId="41" priority="10" operator="equal">
      <formula>"High"</formula>
    </cfRule>
    <cfRule type="cellIs" dxfId="40" priority="11" operator="equal">
      <formula>"Medium"</formula>
    </cfRule>
    <cfRule type="cellIs" dxfId="39" priority="12" operator="equal">
      <formula>"Low"</formula>
    </cfRule>
  </conditionalFormatting>
  <conditionalFormatting sqref="X7">
    <cfRule type="cellIs" dxfId="38" priority="5" operator="equal">
      <formula>"NA"</formula>
    </cfRule>
    <cfRule type="cellIs" dxfId="37" priority="6" operator="equal">
      <formula>"High"</formula>
    </cfRule>
    <cfRule type="cellIs" dxfId="36" priority="7" operator="equal">
      <formula>"Medium"</formula>
    </cfRule>
    <cfRule type="cellIs" dxfId="35" priority="8" operator="equal">
      <formula>"Low"</formula>
    </cfRule>
  </conditionalFormatting>
  <conditionalFormatting sqref="X18">
    <cfRule type="cellIs" dxfId="34" priority="1" operator="equal">
      <formula>"NA"</formula>
    </cfRule>
    <cfRule type="cellIs" dxfId="33" priority="2" operator="equal">
      <formula>"High"</formula>
    </cfRule>
    <cfRule type="cellIs" dxfId="32" priority="3" operator="equal">
      <formula>"Medium"</formula>
    </cfRule>
    <cfRule type="cellIs" dxfId="31" priority="4" operator="equal">
      <formula>"Low"</formula>
    </cfRule>
  </conditionalFormatting>
  <pageMargins left="0.75" right="0.75" top="1" bottom="1" header="0.5" footer="0.5"/>
  <pageSetup orientation="portrait" horizontalDpi="4294967292" verticalDpi="4294967292"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theme="6" tint="0.39997558519241921"/>
    <outlinePr summaryBelow="0"/>
  </sheetPr>
  <dimension ref="B1:AH3447"/>
  <sheetViews>
    <sheetView topLeftCell="A34" workbookViewId="0">
      <selection activeCell="B60" sqref="B60"/>
    </sheetView>
  </sheetViews>
  <sheetFormatPr defaultColWidth="8.88671875" defaultRowHeight="14.4"/>
  <cols>
    <col min="1" max="1" width="3" customWidth="1"/>
    <col min="2" max="2" width="52.33203125" customWidth="1"/>
    <col min="3" max="3" width="23.88671875" customWidth="1"/>
    <col min="4" max="4" width="12.6640625" bestFit="1" customWidth="1"/>
    <col min="5" max="5" width="6.6640625" customWidth="1"/>
    <col min="6" max="6" width="23.33203125" bestFit="1" customWidth="1"/>
    <col min="7" max="7" width="9.33203125" customWidth="1"/>
    <col min="8" max="8" width="8.33203125" customWidth="1"/>
    <col min="9" max="9" width="8.88671875" customWidth="1"/>
    <col min="11" max="11" width="9.5546875" style="2" customWidth="1"/>
    <col min="12" max="12" width="48.6640625" style="5" customWidth="1"/>
    <col min="13" max="13" width="12.109375" style="5" bestFit="1" customWidth="1"/>
    <col min="14" max="14" width="12.109375" style="5" customWidth="1"/>
    <col min="15" max="15" width="3.6640625" customWidth="1"/>
    <col min="16" max="16" width="25.44140625" style="2" customWidth="1"/>
    <col min="17" max="17" width="48.6640625" style="5" customWidth="1"/>
    <col min="18" max="18" width="12.109375" style="5" bestFit="1" customWidth="1"/>
    <col min="19" max="19" width="12.109375" style="5" customWidth="1"/>
    <col min="20" max="20" width="3.6640625" customWidth="1"/>
    <col min="21" max="21" width="25.88671875" style="2" customWidth="1"/>
    <col min="22" max="22" width="35.109375" style="5" customWidth="1"/>
    <col min="23" max="23" width="12.109375" style="5" bestFit="1" customWidth="1"/>
    <col min="24" max="24" width="15.33203125" style="5" customWidth="1"/>
    <col min="26" max="26" width="33.44140625" customWidth="1"/>
    <col min="27" max="27" width="9.88671875" customWidth="1"/>
    <col min="28" max="28" width="8.33203125" customWidth="1"/>
    <col min="29" max="29" width="5.44140625" customWidth="1"/>
    <col min="30" max="30" width="5.6640625" customWidth="1"/>
    <col min="31" max="34" width="6.44140625" customWidth="1"/>
  </cols>
  <sheetData>
    <row r="1" spans="2:34" s="35" customFormat="1" ht="47.25" customHeight="1">
      <c r="B1" s="320" t="s">
        <v>410</v>
      </c>
      <c r="C1" s="320"/>
      <c r="D1" s="320"/>
      <c r="E1" s="61"/>
      <c r="F1" s="461"/>
      <c r="G1" s="461"/>
      <c r="H1" s="461"/>
      <c r="I1" s="461"/>
      <c r="K1" s="154"/>
      <c r="L1" s="154"/>
      <c r="M1" s="154"/>
      <c r="N1" s="154"/>
      <c r="P1" s="320"/>
      <c r="Q1" s="320"/>
      <c r="R1" s="320"/>
      <c r="S1" s="320"/>
      <c r="U1" s="320"/>
      <c r="V1" s="320"/>
      <c r="W1" s="320"/>
      <c r="X1" s="320"/>
    </row>
    <row r="2" spans="2:34" s="2" customFormat="1" ht="13.8">
      <c r="F2" s="5"/>
      <c r="G2" s="5"/>
      <c r="H2" s="5"/>
      <c r="I2" s="3"/>
      <c r="M2" s="5"/>
      <c r="N2" s="5"/>
      <c r="R2" s="5"/>
      <c r="S2" s="5"/>
      <c r="W2" s="5"/>
      <c r="X2" s="5"/>
      <c r="AB2" s="143"/>
    </row>
    <row r="3" spans="2:34">
      <c r="B3" s="462" t="s">
        <v>359</v>
      </c>
      <c r="C3" s="463"/>
      <c r="D3" s="264" t="s">
        <v>29</v>
      </c>
      <c r="F3" s="260" t="s">
        <v>232</v>
      </c>
      <c r="G3" s="261" t="s">
        <v>257</v>
      </c>
      <c r="H3" s="261" t="s">
        <v>22</v>
      </c>
      <c r="I3" s="261" t="s">
        <v>0</v>
      </c>
      <c r="J3" s="261" t="s">
        <v>21</v>
      </c>
      <c r="K3" s="261" t="s">
        <v>258</v>
      </c>
      <c r="M3" s="2"/>
      <c r="O3" s="2"/>
      <c r="R3" s="2"/>
      <c r="T3" s="2"/>
      <c r="W3" s="2"/>
      <c r="Y3" s="2"/>
      <c r="Z3" s="2"/>
      <c r="AA3" s="5"/>
      <c r="AB3" s="146"/>
      <c r="AC3" s="5"/>
      <c r="AD3" s="5"/>
      <c r="AE3" s="5"/>
      <c r="AF3" s="5"/>
      <c r="AG3" s="5"/>
      <c r="AH3" s="5"/>
    </row>
    <row r="4" spans="2:34">
      <c r="B4" s="458" t="s">
        <v>348</v>
      </c>
      <c r="C4" s="459"/>
      <c r="D4" s="460"/>
      <c r="F4" s="52" t="str">
        <f>Definition!C4</f>
        <v>Templates</v>
      </c>
      <c r="G4" s="52">
        <f>IF(compute_UI, Definition!K4, 0)</f>
        <v>0</v>
      </c>
      <c r="H4" s="52">
        <f>IF(compute_UI, Definition!L4, 0)</f>
        <v>0</v>
      </c>
      <c r="I4" s="52">
        <f>IF(compute_UI, Definition!M4, 0)</f>
        <v>0</v>
      </c>
      <c r="J4" s="53">
        <f>IF(compute_UI, Definition!N4, 0)</f>
        <v>0</v>
      </c>
      <c r="K4" s="53">
        <f>IF(compute_UI, Definition!O4, 0)</f>
        <v>0</v>
      </c>
      <c r="M4" s="2"/>
      <c r="O4" s="2"/>
      <c r="R4" s="2"/>
      <c r="T4" s="2"/>
      <c r="W4" s="2"/>
      <c r="Y4" s="2"/>
      <c r="Z4" s="2"/>
      <c r="AA4" s="5"/>
      <c r="AB4" s="146"/>
      <c r="AC4" s="5"/>
      <c r="AD4" s="5"/>
      <c r="AE4" s="5"/>
      <c r="AF4" s="5"/>
      <c r="AG4" s="5"/>
      <c r="AH4" s="5"/>
    </row>
    <row r="5" spans="2:34">
      <c r="B5" s="464" t="s">
        <v>347</v>
      </c>
      <c r="C5" s="464"/>
      <c r="D5" s="251">
        <f>IF(compute_Initiation=1,SUM(D6:D8),0)</f>
        <v>80</v>
      </c>
      <c r="E5" s="258"/>
      <c r="F5" s="52" t="str">
        <f>Definition!C5</f>
        <v>Components</v>
      </c>
      <c r="G5" s="53">
        <f>IF(compute_UI, Definition!K5, 0)</f>
        <v>0</v>
      </c>
      <c r="H5" s="53">
        <f>IF(compute_UI, Definition!L5, 0)</f>
        <v>0</v>
      </c>
      <c r="I5" s="53">
        <f>IF(compute_UI, Definition!M5, 0)</f>
        <v>1</v>
      </c>
      <c r="J5" s="53">
        <f>IF(compute_UI, Definition!N5, 0)</f>
        <v>0</v>
      </c>
      <c r="K5" s="53">
        <f>IF(compute_UI, Definition!O5, 0)</f>
        <v>0</v>
      </c>
      <c r="M5" s="2"/>
      <c r="O5" s="2"/>
      <c r="R5" s="2"/>
      <c r="T5" s="2"/>
      <c r="W5" s="2"/>
      <c r="Y5" s="2"/>
      <c r="Z5" s="2"/>
      <c r="AA5" s="5"/>
      <c r="AB5" s="146"/>
      <c r="AC5" s="5"/>
      <c r="AD5" s="5"/>
      <c r="AE5" s="5"/>
      <c r="AF5" s="5"/>
      <c r="AG5" s="5"/>
      <c r="AH5" s="5"/>
    </row>
    <row r="6" spans="2:34">
      <c r="B6" s="434" t="s">
        <v>58</v>
      </c>
      <c r="C6" s="435"/>
      <c r="D6" s="58">
        <f>IF(compute_Initiation=1, WBS!K5, 0)</f>
        <v>24</v>
      </c>
      <c r="F6" s="52" t="str">
        <f>Definition!C6</f>
        <v xml:space="preserve">JS Interaction Modules </v>
      </c>
      <c r="G6" s="53">
        <f>IF(compute_UI, Definition!K6, 0)</f>
        <v>0</v>
      </c>
      <c r="H6" s="53">
        <f>IF(compute_UI, Definition!L6, 0)</f>
        <v>0</v>
      </c>
      <c r="I6" s="53">
        <f>IF(compute_UI, Definition!M6, 0)</f>
        <v>0</v>
      </c>
      <c r="J6" s="53">
        <f>IF(compute_UI, Definition!N6, 0)</f>
        <v>0</v>
      </c>
      <c r="K6" s="53">
        <f>IF(compute_UI, Definition!O6, 0)</f>
        <v>0</v>
      </c>
      <c r="M6" s="2"/>
      <c r="O6" s="2"/>
      <c r="R6" s="2"/>
      <c r="T6" s="2"/>
      <c r="W6" s="2"/>
      <c r="Y6" s="2"/>
      <c r="Z6" s="2"/>
      <c r="AA6" s="5"/>
      <c r="AB6" s="146"/>
      <c r="AC6" s="5"/>
      <c r="AD6" s="5"/>
      <c r="AE6" s="5"/>
      <c r="AF6" s="5"/>
      <c r="AG6" s="5"/>
      <c r="AH6" s="5"/>
    </row>
    <row r="7" spans="2:34">
      <c r="B7" s="434" t="s">
        <v>63</v>
      </c>
      <c r="C7" s="435"/>
      <c r="D7" s="58">
        <f>IF(compute_Initiation=1,WBS!K6,0)</f>
        <v>24</v>
      </c>
      <c r="F7" s="52" t="s">
        <v>103</v>
      </c>
      <c r="G7" s="52">
        <f>effort_UI_PageCount</f>
        <v>13</v>
      </c>
      <c r="H7" s="159"/>
      <c r="I7" s="159"/>
      <c r="M7" s="2"/>
      <c r="O7" s="2"/>
      <c r="R7" s="2"/>
      <c r="T7" s="2"/>
      <c r="W7" s="2"/>
      <c r="Y7" s="2"/>
      <c r="Z7" s="2"/>
      <c r="AA7" s="5"/>
      <c r="AB7" s="146"/>
      <c r="AC7" s="5"/>
      <c r="AD7" s="5"/>
      <c r="AE7" s="5"/>
      <c r="AF7" s="5"/>
      <c r="AG7" s="5"/>
      <c r="AH7" s="5"/>
    </row>
    <row r="8" spans="2:34">
      <c r="B8" s="445" t="s">
        <v>231</v>
      </c>
      <c r="C8" s="457"/>
      <c r="D8" s="160">
        <f>IF(compute_Initiation=1,WBS!K7,0)</f>
        <v>32</v>
      </c>
      <c r="F8" s="52" t="s">
        <v>97</v>
      </c>
      <c r="G8" s="52">
        <f>IF(WBS!M10=1, WBS!P11, 0)</f>
        <v>2</v>
      </c>
      <c r="H8" s="159"/>
      <c r="I8" s="159"/>
      <c r="M8" s="2"/>
      <c r="O8" s="2"/>
      <c r="R8" s="2"/>
      <c r="T8" s="2"/>
      <c r="W8" s="2"/>
      <c r="Y8" s="2"/>
      <c r="Z8" s="2"/>
      <c r="AA8" s="5"/>
      <c r="AB8" s="146"/>
      <c r="AC8" s="5"/>
      <c r="AD8" s="5"/>
      <c r="AE8" s="5"/>
      <c r="AF8" s="5"/>
      <c r="AG8" s="5"/>
      <c r="AH8" s="5"/>
    </row>
    <row r="9" spans="2:34">
      <c r="B9" s="454" t="s">
        <v>349</v>
      </c>
      <c r="C9" s="455"/>
      <c r="D9" s="456"/>
      <c r="F9" s="52" t="s">
        <v>98</v>
      </c>
      <c r="G9" s="52">
        <f>IF(WBS!M10=1, WBS!P12, 0)</f>
        <v>2</v>
      </c>
      <c r="H9" s="159"/>
      <c r="I9" s="159"/>
      <c r="M9" s="2"/>
      <c r="O9" s="2"/>
      <c r="R9" s="2"/>
      <c r="T9" s="2"/>
      <c r="W9" s="2"/>
      <c r="Y9" s="2"/>
      <c r="Z9" s="2"/>
      <c r="AA9" s="5"/>
      <c r="AB9" s="146"/>
      <c r="AC9" s="5"/>
      <c r="AD9" s="5"/>
      <c r="AE9" s="5"/>
      <c r="AF9" s="5"/>
      <c r="AG9" s="5"/>
      <c r="AH9" s="5"/>
    </row>
    <row r="10" spans="2:34">
      <c r="B10" s="465" t="s">
        <v>211</v>
      </c>
      <c r="C10" s="466"/>
      <c r="D10" s="251">
        <f>SUM(D11:D12)</f>
        <v>0</v>
      </c>
      <c r="E10" s="258"/>
      <c r="F10" s="52" t="s">
        <v>99</v>
      </c>
      <c r="G10" s="52">
        <f>IF(WBS!M4=1, COUNTIF(WBS!O5:O9, "1"), 0)</f>
        <v>4</v>
      </c>
      <c r="H10" s="159"/>
      <c r="I10" s="159"/>
      <c r="M10" s="2"/>
      <c r="O10" s="2"/>
      <c r="R10" s="2"/>
      <c r="T10" s="2"/>
      <c r="W10" s="2"/>
      <c r="Y10" s="2"/>
      <c r="Z10" s="2"/>
      <c r="AA10" s="5"/>
      <c r="AB10" s="146"/>
      <c r="AC10" s="5"/>
      <c r="AD10" s="5"/>
      <c r="AE10" s="5"/>
      <c r="AF10" s="5"/>
      <c r="AG10" s="5"/>
      <c r="AH10" s="5"/>
    </row>
    <row r="11" spans="2:34">
      <c r="B11" s="434" t="s">
        <v>212</v>
      </c>
      <c r="C11" s="435"/>
      <c r="D11" s="58">
        <f>IF(compute_Catalog=1,WBS!K9,0)</f>
        <v>0</v>
      </c>
      <c r="F11" s="44"/>
      <c r="G11" s="159"/>
      <c r="H11" s="159"/>
      <c r="I11" s="159"/>
      <c r="M11" s="2"/>
      <c r="O11" s="2"/>
      <c r="R11" s="2"/>
      <c r="T11" s="2"/>
      <c r="W11" s="2"/>
      <c r="Y11" s="2"/>
      <c r="Z11" s="2"/>
      <c r="AA11" s="5"/>
      <c r="AB11" s="146"/>
      <c r="AC11" s="5"/>
      <c r="AD11" s="5"/>
      <c r="AE11" s="5"/>
      <c r="AF11" s="5"/>
      <c r="AG11" s="5"/>
      <c r="AH11" s="5"/>
    </row>
    <row r="12" spans="2:34" ht="15" customHeight="1">
      <c r="B12" s="434" t="s">
        <v>209</v>
      </c>
      <c r="C12" s="435"/>
      <c r="D12" s="58">
        <f>IF(compute_Catalog=1,WBS!K10,0)</f>
        <v>0</v>
      </c>
      <c r="F12" s="262" t="s">
        <v>238</v>
      </c>
      <c r="G12" s="263" t="s">
        <v>257</v>
      </c>
      <c r="H12" s="263" t="s">
        <v>22</v>
      </c>
      <c r="I12" s="263" t="s">
        <v>0</v>
      </c>
      <c r="J12" s="263" t="s">
        <v>21</v>
      </c>
      <c r="K12" s="263" t="s">
        <v>258</v>
      </c>
      <c r="M12" s="2"/>
      <c r="O12" s="2"/>
      <c r="R12" s="2"/>
      <c r="T12" s="2"/>
      <c r="W12" s="2"/>
      <c r="Y12" s="2"/>
      <c r="Z12" s="2"/>
      <c r="AA12" s="5"/>
      <c r="AB12" s="146"/>
      <c r="AC12" s="5"/>
      <c r="AD12" s="5"/>
      <c r="AE12" s="5"/>
      <c r="AF12" s="5"/>
      <c r="AG12" s="5"/>
      <c r="AH12" s="5"/>
    </row>
    <row r="13" spans="2:34">
      <c r="B13" s="449" t="s">
        <v>351</v>
      </c>
      <c r="C13" s="450"/>
      <c r="D13" s="57">
        <f>SUM(D14:D15)</f>
        <v>15</v>
      </c>
      <c r="F13" s="50" t="str">
        <f>Definition!C8</f>
        <v>Services</v>
      </c>
      <c r="G13" s="50">
        <f>IF(compute_SPA=1, Definition!K9, 0)</f>
        <v>0</v>
      </c>
      <c r="H13" s="50">
        <f>IF(compute_SPA=1, Definition!L9, 0)</f>
        <v>0</v>
      </c>
      <c r="I13" s="50">
        <f>IF(compute_SPA=1, Definition!M9, 0)</f>
        <v>0</v>
      </c>
      <c r="J13" s="50">
        <f>IF(compute_SPA=1, Definition!N9, 0)</f>
        <v>0</v>
      </c>
      <c r="K13" s="50">
        <f>IF(compute_SPA=1, Definition!O9, 0)</f>
        <v>0</v>
      </c>
      <c r="M13" s="2"/>
      <c r="O13" s="2"/>
      <c r="R13" s="2"/>
      <c r="T13" s="2"/>
      <c r="W13" s="2"/>
      <c r="Y13" s="2"/>
      <c r="Z13" s="2"/>
      <c r="AA13" s="5"/>
      <c r="AB13" s="146"/>
      <c r="AC13" s="5"/>
      <c r="AD13" s="5"/>
      <c r="AE13" s="5"/>
      <c r="AF13" s="5"/>
      <c r="AG13" s="5"/>
      <c r="AH13" s="5"/>
    </row>
    <row r="14" spans="2:34" ht="15" customHeight="1">
      <c r="B14" s="434" t="s">
        <v>248</v>
      </c>
      <c r="C14" s="435"/>
      <c r="D14" s="58">
        <f>IF(compute_SPA=1,JSMVC!J33,0)</f>
        <v>0</v>
      </c>
      <c r="F14" s="50" t="str">
        <f>Definition!C9</f>
        <v>Views</v>
      </c>
      <c r="G14" s="50">
        <f>IF(compute_SPA=1, Definition!K10, 0)</f>
        <v>0</v>
      </c>
      <c r="H14" s="50">
        <f>IF(compute_SPA=1, Definition!L10, 0)</f>
        <v>0</v>
      </c>
      <c r="I14" s="50">
        <f>IF(compute_SPA=1, Definition!M10, 0)</f>
        <v>0</v>
      </c>
      <c r="J14" s="50">
        <f>IF(compute_SPA=1, Definition!N10, 0)</f>
        <v>0</v>
      </c>
      <c r="K14" s="50">
        <f>IF(compute_SPA=1, Definition!O10, 0)</f>
        <v>0</v>
      </c>
      <c r="M14" s="2"/>
      <c r="O14" s="2"/>
      <c r="R14" s="2"/>
      <c r="T14" s="2"/>
      <c r="W14" s="2"/>
      <c r="Y14" s="2"/>
      <c r="Z14" s="2"/>
      <c r="AA14" s="5"/>
      <c r="AB14" s="146"/>
      <c r="AC14" s="5"/>
      <c r="AD14" s="5"/>
      <c r="AE14" s="5"/>
      <c r="AF14" s="5"/>
      <c r="AG14" s="5"/>
      <c r="AH14" s="5"/>
    </row>
    <row r="15" spans="2:34" ht="15" customHeight="1">
      <c r="B15" s="445" t="s">
        <v>249</v>
      </c>
      <c r="C15" s="457"/>
      <c r="D15" s="160">
        <f>IF(compute_SPA=1,JSMVC!J32,0)</f>
        <v>15</v>
      </c>
      <c r="F15" s="50" t="str">
        <f>Definition!C10</f>
        <v>Controllers</v>
      </c>
      <c r="G15" s="50">
        <f>IF(compute_SPA=1, Definition!K11, 0)</f>
        <v>0</v>
      </c>
      <c r="H15" s="50">
        <f>IF(compute_SPA=1, Definition!L11, 0)</f>
        <v>0</v>
      </c>
      <c r="I15" s="50">
        <f>IF(compute_SPA=1, Definition!M11, 0)</f>
        <v>0</v>
      </c>
      <c r="J15" s="50">
        <f>IF(compute_SPA=1, Definition!N11, 0)</f>
        <v>0</v>
      </c>
      <c r="K15" s="50">
        <f>IF(compute_SPA=1, Definition!O11, 0)</f>
        <v>0</v>
      </c>
      <c r="M15" s="2"/>
      <c r="O15" s="2"/>
      <c r="R15" s="2"/>
      <c r="T15" s="2"/>
      <c r="W15" s="2"/>
      <c r="Y15" s="2"/>
      <c r="Z15" s="2"/>
      <c r="AA15" s="5"/>
      <c r="AB15" s="146"/>
      <c r="AC15" s="5"/>
      <c r="AD15" s="5"/>
      <c r="AE15" s="5"/>
      <c r="AF15" s="5"/>
      <c r="AG15" s="5"/>
      <c r="AH15" s="5"/>
    </row>
    <row r="16" spans="2:34">
      <c r="B16" s="458" t="s">
        <v>350</v>
      </c>
      <c r="C16" s="459"/>
      <c r="D16" s="460"/>
      <c r="F16" s="50" t="str">
        <f>Definition!C11</f>
        <v>Components</v>
      </c>
      <c r="G16" s="50">
        <f>IF(compute_SPA=1, Definition!K12, 0)</f>
        <v>0</v>
      </c>
      <c r="H16" s="50">
        <f>IF(compute_SPA=1, Definition!L12, 0)</f>
        <v>0</v>
      </c>
      <c r="I16" s="50">
        <f>IF(compute_SPA=1, Definition!M12, 0)</f>
        <v>0</v>
      </c>
      <c r="J16" s="50">
        <f>IF(compute_SPA=1, Definition!N12, 0)</f>
        <v>0</v>
      </c>
      <c r="K16" s="50">
        <f>IF(compute_SPA=1, Definition!O12, 0)</f>
        <v>0</v>
      </c>
      <c r="M16" s="2"/>
      <c r="O16" s="2"/>
      <c r="R16" s="2"/>
      <c r="T16" s="2"/>
      <c r="W16" s="2"/>
      <c r="Y16" s="2"/>
      <c r="Z16" s="2"/>
      <c r="AA16" s="5"/>
      <c r="AB16" s="146"/>
      <c r="AC16" s="5"/>
      <c r="AD16" s="5"/>
      <c r="AE16" s="5"/>
      <c r="AF16" s="5"/>
      <c r="AG16" s="5"/>
      <c r="AH16" s="5"/>
    </row>
    <row r="17" spans="2:34" ht="15" customHeight="1">
      <c r="B17" s="257" t="s">
        <v>408</v>
      </c>
      <c r="C17" s="250"/>
      <c r="D17" s="57">
        <f>SUM(D23:D24,D18:D21)</f>
        <v>8</v>
      </c>
      <c r="F17" s="50" t="str">
        <f>Definition!C12</f>
        <v>Test Automation</v>
      </c>
      <c r="G17" s="50">
        <f>IF(compute_SPA=1, Definition!K13, 0)</f>
        <v>0</v>
      </c>
      <c r="H17" s="50">
        <f>IF(compute_SPA=1, Definition!L13, 0)</f>
        <v>0</v>
      </c>
      <c r="I17" s="50">
        <f>IF(compute_SPA=1, Definition!M13, 0)</f>
        <v>0</v>
      </c>
      <c r="J17" s="50">
        <f>IF(compute_SPA=1, Definition!N13, 0)</f>
        <v>0</v>
      </c>
      <c r="K17" s="50">
        <f>IF(compute_SPA=1, Definition!O13, 0)</f>
        <v>0</v>
      </c>
      <c r="M17" s="2"/>
      <c r="O17" s="2"/>
      <c r="R17" s="2"/>
      <c r="T17" s="2"/>
      <c r="W17" s="2"/>
      <c r="Y17" s="2"/>
      <c r="Z17" s="2"/>
      <c r="AA17" s="5"/>
      <c r="AB17" s="146"/>
      <c r="AC17" s="5"/>
      <c r="AD17" s="5"/>
      <c r="AE17" s="5"/>
      <c r="AF17" s="5"/>
      <c r="AG17" s="5"/>
      <c r="AH17" s="5"/>
    </row>
    <row r="18" spans="2:34">
      <c r="B18" s="437" t="s">
        <v>3</v>
      </c>
      <c r="C18" s="438"/>
      <c r="D18" s="58">
        <f>IF(compute_UI=1, Definition!V4, 0)</f>
        <v>0</v>
      </c>
      <c r="F18" s="50" t="str">
        <f>Definition!C13</f>
        <v>App Building</v>
      </c>
      <c r="G18" s="50">
        <f>IF(compute_SPA=1, Definition!K14, 0)</f>
        <v>0</v>
      </c>
      <c r="H18" s="50">
        <f>IF(compute_SPA=1, Definition!L14, 0)</f>
        <v>0</v>
      </c>
      <c r="I18" s="50">
        <f>IF(compute_SPA=1, Definition!M14, 0)</f>
        <v>0</v>
      </c>
      <c r="J18" s="50">
        <f>IF(compute_SPA=1, Definition!N14, 0)</f>
        <v>0</v>
      </c>
      <c r="K18" s="50">
        <f>IF(compute_SPA=1, Definition!O14, 0)</f>
        <v>0</v>
      </c>
      <c r="M18" s="2"/>
      <c r="O18" s="2"/>
      <c r="R18" s="2"/>
      <c r="T18" s="2"/>
      <c r="W18" s="2"/>
      <c r="Y18" s="2"/>
      <c r="Z18" s="2"/>
      <c r="AA18" s="5"/>
      <c r="AB18" s="146"/>
      <c r="AC18" s="5"/>
      <c r="AD18" s="5"/>
      <c r="AE18" s="5"/>
      <c r="AF18" s="5"/>
      <c r="AG18" s="5"/>
      <c r="AH18" s="5"/>
    </row>
    <row r="19" spans="2:34">
      <c r="B19" s="437" t="s">
        <v>5</v>
      </c>
      <c r="C19" s="438"/>
      <c r="D19" s="58">
        <f>IF(compute_UI=1, Definition!V5,0)</f>
        <v>8</v>
      </c>
      <c r="H19" s="159"/>
      <c r="I19" s="159"/>
      <c r="M19" s="2"/>
      <c r="O19" s="2"/>
      <c r="R19" s="2"/>
      <c r="T19" s="2"/>
      <c r="W19" s="2"/>
      <c r="Y19" s="2"/>
      <c r="Z19" s="2"/>
      <c r="AA19" s="5"/>
      <c r="AB19" s="146"/>
      <c r="AC19" s="5"/>
      <c r="AD19" s="5"/>
      <c r="AE19" s="5"/>
      <c r="AF19" s="5"/>
      <c r="AG19" s="5"/>
      <c r="AH19" s="5"/>
    </row>
    <row r="20" spans="2:34">
      <c r="B20" s="437" t="s">
        <v>329</v>
      </c>
      <c r="C20" s="438"/>
      <c r="D20" s="58">
        <f>IF(compute_UI=1, Definition!V6, 0)</f>
        <v>0</v>
      </c>
      <c r="F20" s="260" t="s">
        <v>232</v>
      </c>
      <c r="G20" s="261" t="s">
        <v>257</v>
      </c>
      <c r="H20" s="261" t="s">
        <v>22</v>
      </c>
      <c r="I20" s="261" t="s">
        <v>0</v>
      </c>
      <c r="J20" s="261" t="s">
        <v>21</v>
      </c>
      <c r="K20" s="261" t="s">
        <v>258</v>
      </c>
      <c r="M20" s="2"/>
      <c r="O20" s="2"/>
      <c r="R20" s="2"/>
      <c r="T20" s="2"/>
      <c r="W20" s="2"/>
      <c r="Y20" s="2"/>
      <c r="Z20" s="2"/>
      <c r="AA20" s="5"/>
      <c r="AB20" s="146"/>
      <c r="AC20" s="5"/>
      <c r="AD20" s="5"/>
      <c r="AE20" s="5"/>
      <c r="AF20" s="5"/>
      <c r="AG20" s="5"/>
      <c r="AH20" s="5"/>
    </row>
    <row r="21" spans="2:34">
      <c r="B21" s="437" t="s">
        <v>352</v>
      </c>
      <c r="C21" s="438"/>
      <c r="D21" s="58">
        <f>IF(compute_UI=1, Definition!X6, 0)</f>
        <v>0</v>
      </c>
      <c r="F21" s="52" t="str">
        <f>Definition!C14</f>
        <v>Services</v>
      </c>
      <c r="G21" s="52">
        <f>IF(compute_Hybrid=1, Definition!K16, 0)</f>
        <v>0</v>
      </c>
      <c r="H21" s="52">
        <f>IF(compute_Hybrid=1, Definition!L16, 0)</f>
        <v>0</v>
      </c>
      <c r="I21" s="52">
        <f>IF(compute_Hybrid=1, Definition!M16, 0)</f>
        <v>0</v>
      </c>
      <c r="J21" s="52">
        <f>IF(compute_Hybrid=1, Definition!N16, 0)</f>
        <v>0</v>
      </c>
      <c r="K21" s="52">
        <f>IF(compute_Hybrid=1, Definition!O16, 0)</f>
        <v>0</v>
      </c>
      <c r="M21" s="2"/>
      <c r="O21" s="2"/>
      <c r="R21" s="2"/>
      <c r="T21" s="2"/>
      <c r="W21" s="2"/>
      <c r="Y21" s="2"/>
      <c r="Z21" s="2"/>
      <c r="AA21" s="5"/>
      <c r="AB21" s="146"/>
      <c r="AC21" s="5"/>
      <c r="AD21" s="5"/>
      <c r="AE21" s="5"/>
      <c r="AF21" s="5"/>
      <c r="AG21" s="5"/>
      <c r="AH21" s="5"/>
    </row>
    <row r="22" spans="2:34">
      <c r="B22" s="440" t="s">
        <v>354</v>
      </c>
      <c r="C22" s="441"/>
      <c r="D22" s="58"/>
      <c r="F22" s="52" t="str">
        <f>Definition!C15</f>
        <v>Plugin Customization</v>
      </c>
      <c r="G22" s="52">
        <f>IF(compute_Hybrid=1, Definition!K17, 0)</f>
        <v>0</v>
      </c>
      <c r="H22" s="52">
        <f>IF(compute_Hybrid=1, Definition!L17, 0)</f>
        <v>0</v>
      </c>
      <c r="I22" s="52">
        <f>IF(compute_Hybrid=1, Definition!M17, 0)</f>
        <v>0</v>
      </c>
      <c r="J22" s="52">
        <f>IF(compute_Hybrid=1, Definition!N17, 0)</f>
        <v>0</v>
      </c>
      <c r="K22" s="52">
        <f>IF(compute_Hybrid=1, Definition!O17, 0)</f>
        <v>0</v>
      </c>
      <c r="M22" s="2"/>
      <c r="O22" s="2"/>
      <c r="R22" s="2"/>
      <c r="T22" s="2"/>
      <c r="W22" s="2"/>
      <c r="Y22" s="2"/>
      <c r="Z22" s="2"/>
      <c r="AA22" s="5"/>
      <c r="AB22" s="146"/>
      <c r="AC22" s="5"/>
      <c r="AD22" s="5"/>
      <c r="AE22" s="5"/>
      <c r="AF22" s="5"/>
      <c r="AG22" s="5"/>
      <c r="AH22" s="5"/>
    </row>
    <row r="23" spans="2:34" ht="14.25" customHeight="1">
      <c r="B23" s="447" t="s">
        <v>224</v>
      </c>
      <c r="C23" s="448"/>
      <c r="D23" s="58">
        <f>WBS!K20</f>
        <v>0</v>
      </c>
      <c r="F23" s="52" t="str">
        <f>Definition!C16</f>
        <v>Test Cases</v>
      </c>
      <c r="G23" s="52">
        <f>IF(compute_Hybrid=1, Definition!K18, 0)</f>
        <v>0</v>
      </c>
      <c r="H23" s="52">
        <f>IF(compute_Hybrid=1, Definition!L18, 0)</f>
        <v>0</v>
      </c>
      <c r="I23" s="52">
        <f>IF(compute_Hybrid=1, Definition!M18, 0)</f>
        <v>0</v>
      </c>
      <c r="J23" s="52">
        <f>IF(compute_Hybrid=1, Definition!N18, 0)</f>
        <v>0</v>
      </c>
      <c r="K23" s="52">
        <f>IF(compute_Hybrid=1, Definition!O18, 0)</f>
        <v>0</v>
      </c>
      <c r="M23" s="2"/>
      <c r="O23" s="2"/>
      <c r="R23" s="2"/>
      <c r="T23" s="2"/>
      <c r="W23" s="2"/>
      <c r="Y23" s="2"/>
      <c r="Z23" s="2"/>
      <c r="AA23" s="5"/>
      <c r="AB23" s="146"/>
      <c r="AC23" s="5"/>
      <c r="AD23" s="5"/>
      <c r="AE23" s="5"/>
      <c r="AF23" s="5"/>
      <c r="AG23" s="5"/>
      <c r="AH23" s="5"/>
    </row>
    <row r="24" spans="2:34" ht="14.25" customHeight="1">
      <c r="B24" s="447" t="s">
        <v>225</v>
      </c>
      <c r="C24" s="448"/>
      <c r="D24" s="58">
        <f>WBS!K21</f>
        <v>0</v>
      </c>
      <c r="H24" s="159"/>
      <c r="I24" s="159"/>
      <c r="M24" s="2"/>
      <c r="O24" s="2"/>
      <c r="R24" s="2"/>
      <c r="T24" s="2"/>
      <c r="W24" s="2"/>
      <c r="Y24" s="2"/>
      <c r="Z24" s="2"/>
      <c r="AA24" s="5"/>
      <c r="AB24" s="146"/>
      <c r="AC24" s="5"/>
      <c r="AD24" s="5"/>
      <c r="AE24" s="5"/>
      <c r="AF24" s="5"/>
      <c r="AG24" s="5"/>
      <c r="AH24" s="5"/>
    </row>
    <row r="25" spans="2:34" ht="14.25" customHeight="1">
      <c r="B25" s="86" t="s">
        <v>119</v>
      </c>
      <c r="C25" s="87"/>
      <c r="D25" s="57">
        <f>SUM(D27:D32,D34:D34,D36)</f>
        <v>0</v>
      </c>
      <c r="F25" s="260" t="s">
        <v>233</v>
      </c>
      <c r="G25" s="261" t="s">
        <v>199</v>
      </c>
      <c r="M25" s="2"/>
      <c r="O25" s="2"/>
      <c r="R25" s="2"/>
      <c r="T25" s="2"/>
      <c r="W25" s="2"/>
      <c r="Y25" s="2"/>
      <c r="Z25" s="2"/>
      <c r="AA25" s="5"/>
      <c r="AB25" s="146"/>
      <c r="AC25" s="5"/>
      <c r="AD25" s="5"/>
      <c r="AE25" s="5"/>
      <c r="AF25" s="5"/>
      <c r="AG25" s="5"/>
      <c r="AH25" s="5"/>
    </row>
    <row r="26" spans="2:34" ht="14.25" customHeight="1">
      <c r="B26" s="440" t="s">
        <v>409</v>
      </c>
      <c r="C26" s="441"/>
      <c r="D26" s="58"/>
      <c r="F26" s="52" t="s">
        <v>234</v>
      </c>
      <c r="G26" s="52">
        <f>IF(compute_Migration=1, Definition!T20, 0)</f>
        <v>0</v>
      </c>
      <c r="M26" s="2"/>
      <c r="O26" s="2"/>
      <c r="R26" s="2"/>
      <c r="T26" s="2"/>
      <c r="W26" s="2"/>
      <c r="Y26" s="2"/>
      <c r="Z26" s="2"/>
      <c r="AA26" s="5"/>
      <c r="AB26" s="146"/>
      <c r="AC26" s="5"/>
      <c r="AD26" s="5"/>
      <c r="AE26" s="5"/>
      <c r="AF26" s="5"/>
      <c r="AG26" s="5"/>
      <c r="AH26" s="5"/>
    </row>
    <row r="27" spans="2:34" ht="14.25" customHeight="1">
      <c r="B27" s="437" t="s">
        <v>84</v>
      </c>
      <c r="C27" s="438"/>
      <c r="D27" s="58">
        <f>IF(compute_SPA=1,Definition!V9,0)</f>
        <v>0</v>
      </c>
      <c r="F27" s="52" t="s">
        <v>235</v>
      </c>
      <c r="G27" s="53">
        <f>IF(compute_Migration=1, Definition!U20, 0)</f>
        <v>0</v>
      </c>
      <c r="M27" s="2"/>
      <c r="O27" s="2"/>
      <c r="R27" s="2"/>
      <c r="T27" s="2"/>
      <c r="W27" s="2"/>
      <c r="Y27" s="2"/>
      <c r="Z27" s="2"/>
      <c r="AA27" s="5"/>
      <c r="AB27" s="146"/>
      <c r="AC27" s="5"/>
      <c r="AD27" s="5"/>
      <c r="AE27" s="5"/>
      <c r="AF27" s="5"/>
      <c r="AG27" s="5"/>
      <c r="AH27" s="5"/>
    </row>
    <row r="28" spans="2:34" ht="14.25" customHeight="1">
      <c r="B28" s="437" t="s">
        <v>263</v>
      </c>
      <c r="C28" s="438"/>
      <c r="D28" s="58">
        <f>IF(compute_SPA=1,Definition!V10,0)</f>
        <v>0</v>
      </c>
      <c r="F28" s="52" t="s">
        <v>236</v>
      </c>
      <c r="G28" s="53">
        <f>IF(compute_Migration=1, Definition!V20, 0)</f>
        <v>0</v>
      </c>
      <c r="M28" s="2"/>
      <c r="O28" s="2"/>
      <c r="R28" s="2"/>
      <c r="T28" s="2"/>
      <c r="W28" s="2"/>
      <c r="Y28" s="2"/>
      <c r="Z28" s="2"/>
      <c r="AA28" s="5"/>
      <c r="AB28" s="146"/>
      <c r="AC28" s="5"/>
      <c r="AD28" s="5"/>
      <c r="AE28" s="5"/>
      <c r="AF28" s="5"/>
      <c r="AG28" s="5"/>
      <c r="AH28" s="5"/>
    </row>
    <row r="29" spans="2:34" ht="14.25" customHeight="1">
      <c r="B29" s="437" t="s">
        <v>262</v>
      </c>
      <c r="C29" s="438"/>
      <c r="D29" s="58">
        <f>IF(compute_SPA=1,Definition!V11,0)</f>
        <v>0</v>
      </c>
      <c r="F29" s="52" t="s">
        <v>103</v>
      </c>
      <c r="G29" s="52">
        <f>IF(compute_Migration=1, Definition!T21, 0)</f>
        <v>0</v>
      </c>
      <c r="M29" s="2"/>
      <c r="O29" s="2"/>
      <c r="R29" s="2"/>
      <c r="T29" s="2"/>
      <c r="W29" s="2"/>
      <c r="Y29" s="2"/>
      <c r="Z29" s="2"/>
      <c r="AA29" s="5"/>
      <c r="AB29" s="146"/>
      <c r="AC29" s="5"/>
      <c r="AD29" s="5"/>
      <c r="AE29" s="5"/>
      <c r="AF29" s="5"/>
      <c r="AG29" s="5"/>
      <c r="AH29" s="5"/>
    </row>
    <row r="30" spans="2:34" ht="14.25" customHeight="1">
      <c r="B30" s="437" t="s">
        <v>399</v>
      </c>
      <c r="C30" s="438"/>
      <c r="D30" s="58">
        <f>IF(compute_SPA=1,Definition!V12,0)</f>
        <v>0</v>
      </c>
      <c r="M30" s="2"/>
      <c r="O30" s="2"/>
      <c r="R30" s="2"/>
      <c r="T30" s="2"/>
      <c r="W30" s="2"/>
      <c r="Y30" s="2"/>
      <c r="Z30" s="2"/>
      <c r="AA30" s="5"/>
      <c r="AB30" s="146"/>
      <c r="AC30" s="5"/>
      <c r="AD30" s="5"/>
      <c r="AE30" s="5"/>
      <c r="AF30" s="5"/>
      <c r="AG30" s="5"/>
      <c r="AH30" s="5"/>
    </row>
    <row r="31" spans="2:34" ht="14.25" customHeight="1">
      <c r="B31" s="437" t="s">
        <v>400</v>
      </c>
      <c r="C31" s="438"/>
      <c r="D31" s="58">
        <f>IF(compute_SPA=1,Definition!V13,0)</f>
        <v>0</v>
      </c>
      <c r="M31" s="2"/>
      <c r="O31" s="2"/>
      <c r="R31" s="2"/>
      <c r="T31" s="2"/>
      <c r="W31" s="2"/>
      <c r="Y31" s="2"/>
      <c r="Z31" s="2"/>
      <c r="AA31" s="5"/>
      <c r="AB31" s="146"/>
      <c r="AC31" s="5"/>
      <c r="AD31" s="5"/>
      <c r="AE31" s="5"/>
      <c r="AF31" s="5"/>
      <c r="AG31" s="5"/>
      <c r="AH31" s="5"/>
    </row>
    <row r="32" spans="2:34" ht="14.25" customHeight="1">
      <c r="B32" s="437" t="s">
        <v>401</v>
      </c>
      <c r="C32" s="438"/>
      <c r="D32" s="58">
        <f>IF(compute_SPA=1,Definition!V14,0)</f>
        <v>0</v>
      </c>
      <c r="M32" s="2"/>
      <c r="O32" s="2"/>
      <c r="R32" s="2"/>
      <c r="T32" s="2"/>
      <c r="W32" s="2"/>
      <c r="Y32" s="2"/>
      <c r="Z32" s="2"/>
      <c r="AA32" s="5"/>
      <c r="AB32" s="146"/>
      <c r="AC32" s="5"/>
      <c r="AD32" s="5"/>
      <c r="AE32" s="5"/>
      <c r="AF32" s="5"/>
      <c r="AG32" s="5"/>
      <c r="AH32" s="5"/>
    </row>
    <row r="33" spans="2:34" ht="14.25" customHeight="1">
      <c r="B33" s="440" t="s">
        <v>355</v>
      </c>
      <c r="C33" s="441"/>
      <c r="D33" s="58"/>
      <c r="M33" s="2"/>
      <c r="O33" s="2"/>
      <c r="R33" s="2"/>
      <c r="T33" s="2"/>
      <c r="W33" s="2"/>
      <c r="Y33" s="2"/>
      <c r="Z33" s="2"/>
      <c r="AA33" s="5"/>
      <c r="AB33" s="146"/>
      <c r="AC33" s="5"/>
      <c r="AD33" s="5"/>
      <c r="AE33" s="5"/>
      <c r="AF33" s="5"/>
      <c r="AG33" s="5"/>
      <c r="AH33" s="5"/>
    </row>
    <row r="34" spans="2:34" ht="14.25" customHeight="1">
      <c r="B34" s="437" t="s">
        <v>402</v>
      </c>
      <c r="C34" s="438"/>
      <c r="D34" s="58">
        <f>IF(compute_SPA=1,effort_Cat_REST,0)</f>
        <v>0</v>
      </c>
      <c r="M34" s="2"/>
      <c r="O34" s="2"/>
      <c r="R34" s="2"/>
      <c r="T34" s="2"/>
      <c r="W34" s="2"/>
      <c r="Y34" s="2"/>
      <c r="Z34" s="2"/>
      <c r="AA34" s="5"/>
      <c r="AB34" s="146"/>
      <c r="AC34" s="5"/>
      <c r="AD34" s="5"/>
      <c r="AE34" s="5"/>
      <c r="AF34" s="5"/>
      <c r="AG34" s="5"/>
      <c r="AH34" s="5"/>
    </row>
    <row r="35" spans="2:34">
      <c r="B35" s="440" t="s">
        <v>356</v>
      </c>
      <c r="C35" s="441"/>
      <c r="D35" s="58"/>
      <c r="M35" s="2"/>
      <c r="O35" s="2"/>
      <c r="R35" s="2"/>
      <c r="T35" s="2"/>
      <c r="W35" s="2"/>
      <c r="Y35" s="2"/>
      <c r="Z35" s="2"/>
      <c r="AA35" s="5"/>
      <c r="AB35" s="146"/>
      <c r="AC35" s="5"/>
      <c r="AD35" s="5"/>
      <c r="AE35" s="5"/>
      <c r="AF35" s="5"/>
      <c r="AG35" s="5"/>
      <c r="AH35" s="5"/>
    </row>
    <row r="36" spans="2:34">
      <c r="B36" s="437" t="s">
        <v>403</v>
      </c>
      <c r="C36" s="438"/>
      <c r="D36" s="58">
        <f>IF(compute_SPA=1, effort_Cat_NFR, 0)</f>
        <v>0</v>
      </c>
      <c r="M36" s="2"/>
      <c r="O36" s="2"/>
      <c r="R36" s="2"/>
      <c r="T36" s="2"/>
      <c r="W36" s="2"/>
      <c r="Y36" s="2"/>
      <c r="Z36" s="2"/>
      <c r="AA36" s="5"/>
      <c r="AB36" s="146"/>
      <c r="AC36" s="5"/>
      <c r="AD36" s="5"/>
      <c r="AE36" s="5"/>
      <c r="AF36" s="5"/>
      <c r="AG36" s="5"/>
      <c r="AH36" s="5"/>
    </row>
    <row r="37" spans="2:34">
      <c r="B37" s="449" t="s">
        <v>83</v>
      </c>
      <c r="C37" s="450"/>
      <c r="D37" s="57">
        <f>SUM(D38:D40)</f>
        <v>0</v>
      </c>
      <c r="M37" s="2"/>
      <c r="O37" s="2"/>
      <c r="R37" s="2"/>
      <c r="T37" s="2"/>
      <c r="W37" s="2"/>
      <c r="Y37" s="2"/>
      <c r="Z37" s="2"/>
      <c r="AA37" s="5"/>
      <c r="AB37" s="146"/>
      <c r="AC37" s="5"/>
      <c r="AD37" s="5"/>
      <c r="AE37" s="5"/>
      <c r="AF37" s="5"/>
      <c r="AG37" s="5"/>
      <c r="AH37" s="5"/>
    </row>
    <row r="38" spans="2:34">
      <c r="B38" s="434" t="s">
        <v>138</v>
      </c>
      <c r="C38" s="444"/>
      <c r="D38" s="60">
        <f>IF(compute_Hybrid=1,Definition!V16+Definition!V17,0)</f>
        <v>0</v>
      </c>
      <c r="E38" s="258"/>
      <c r="M38" s="2"/>
      <c r="O38" s="2"/>
      <c r="R38" s="2"/>
      <c r="T38" s="2"/>
      <c r="W38" s="2"/>
      <c r="Y38" s="2"/>
      <c r="Z38" s="2"/>
      <c r="AA38" s="5"/>
      <c r="AB38" s="146"/>
      <c r="AC38" s="5"/>
      <c r="AD38" s="5"/>
      <c r="AE38" s="5"/>
      <c r="AF38" s="5"/>
      <c r="AG38" s="5"/>
      <c r="AH38" s="5"/>
    </row>
    <row r="39" spans="2:34" ht="15" customHeight="1">
      <c r="B39" s="434" t="s">
        <v>139</v>
      </c>
      <c r="C39" s="444"/>
      <c r="D39" s="60">
        <f>IF(compute_Hybrid=1,Definition!V18,0)</f>
        <v>0</v>
      </c>
      <c r="M39" s="2"/>
      <c r="O39" s="2"/>
      <c r="R39" s="2"/>
      <c r="T39" s="2"/>
      <c r="W39" s="2"/>
      <c r="Y39" s="2"/>
      <c r="Z39" s="2"/>
      <c r="AA39" s="5"/>
      <c r="AB39" s="146"/>
      <c r="AC39" s="5"/>
      <c r="AD39" s="5"/>
      <c r="AE39" s="5"/>
      <c r="AF39" s="5"/>
      <c r="AG39" s="5"/>
      <c r="AH39" s="5"/>
    </row>
    <row r="40" spans="2:34">
      <c r="B40" s="434" t="s">
        <v>140</v>
      </c>
      <c r="C40" s="444"/>
      <c r="D40" s="60">
        <f>IF(compute_Hybrid=1, SUM(Definition!X15:X16),0)</f>
        <v>0</v>
      </c>
      <c r="M40" s="2"/>
      <c r="O40" s="2"/>
      <c r="R40" s="2"/>
      <c r="T40" s="2"/>
      <c r="W40" s="2"/>
      <c r="Y40" s="2"/>
      <c r="Z40" s="2"/>
      <c r="AA40" s="5"/>
      <c r="AB40" s="146"/>
      <c r="AC40" s="5"/>
      <c r="AD40" s="5"/>
      <c r="AE40" s="5"/>
      <c r="AF40" s="5"/>
      <c r="AG40" s="5"/>
      <c r="AH40" s="5"/>
    </row>
    <row r="41" spans="2:34">
      <c r="B41" s="443" t="s">
        <v>512</v>
      </c>
      <c r="C41" s="443"/>
      <c r="D41" s="57">
        <f>SUM(D42:D42)</f>
        <v>0</v>
      </c>
      <c r="M41" s="2"/>
      <c r="O41" s="2"/>
      <c r="R41" s="2"/>
      <c r="T41" s="2"/>
      <c r="W41" s="2"/>
      <c r="Y41" s="2"/>
      <c r="Z41" s="2"/>
      <c r="AA41" s="5"/>
      <c r="AB41" s="146"/>
      <c r="AC41" s="5"/>
      <c r="AD41" s="5"/>
      <c r="AE41" s="5"/>
      <c r="AF41" s="5"/>
      <c r="AG41" s="5"/>
      <c r="AH41" s="5"/>
    </row>
    <row r="42" spans="2:34">
      <c r="B42" s="434" t="s">
        <v>511</v>
      </c>
      <c r="C42" s="444"/>
      <c r="D42" s="60">
        <f>IF(WBS!C12=1,' NodeService'!H1,0)</f>
        <v>0</v>
      </c>
      <c r="E42" s="258"/>
      <c r="M42" s="2"/>
      <c r="O42" s="2"/>
      <c r="R42" s="2"/>
      <c r="T42" s="2"/>
      <c r="W42" s="2"/>
      <c r="Y42" s="2"/>
      <c r="Z42" s="2"/>
      <c r="AA42" s="5"/>
      <c r="AB42" s="146"/>
      <c r="AC42" s="5"/>
      <c r="AD42" s="5"/>
      <c r="AE42" s="5"/>
      <c r="AF42" s="5"/>
      <c r="AG42" s="5"/>
      <c r="AH42" s="5"/>
    </row>
    <row r="43" spans="2:34" ht="15" customHeight="1">
      <c r="B43" s="443" t="s">
        <v>237</v>
      </c>
      <c r="C43" s="443"/>
      <c r="D43" s="57">
        <f>SUM(D44:D45)</f>
        <v>0</v>
      </c>
      <c r="M43" s="2"/>
      <c r="O43" s="2"/>
      <c r="R43" s="2"/>
      <c r="T43" s="2"/>
      <c r="W43" s="2"/>
      <c r="Y43" s="2"/>
      <c r="Z43" s="2"/>
      <c r="AA43" s="5"/>
      <c r="AB43" s="146"/>
      <c r="AC43" s="5"/>
      <c r="AD43" s="5"/>
      <c r="AE43" s="5"/>
      <c r="AF43" s="5"/>
      <c r="AG43" s="5"/>
      <c r="AH43" s="5"/>
    </row>
    <row r="44" spans="2:34">
      <c r="B44" s="434" t="s">
        <v>240</v>
      </c>
      <c r="C44" s="444"/>
      <c r="D44" s="60">
        <f>IF(compute_Migration=1, Definition!U21,0)</f>
        <v>0</v>
      </c>
      <c r="M44" s="2"/>
      <c r="O44" s="2"/>
      <c r="R44" s="2"/>
      <c r="T44" s="2"/>
      <c r="W44" s="2"/>
      <c r="Y44" s="2"/>
      <c r="Z44" s="2"/>
      <c r="AA44" s="5"/>
      <c r="AB44" s="146"/>
      <c r="AC44" s="5"/>
      <c r="AD44" s="5"/>
      <c r="AE44" s="5"/>
      <c r="AF44" s="5"/>
      <c r="AG44" s="5"/>
      <c r="AH44" s="5"/>
    </row>
    <row r="45" spans="2:34">
      <c r="B45" s="445" t="s">
        <v>241</v>
      </c>
      <c r="C45" s="446"/>
      <c r="D45" s="259">
        <f>IF(compute_Migration=1, Definition!V21,0)</f>
        <v>0</v>
      </c>
      <c r="M45" s="2"/>
      <c r="O45" s="2"/>
      <c r="R45" s="2"/>
      <c r="T45" s="2"/>
      <c r="W45" s="2"/>
      <c r="Y45" s="2"/>
      <c r="Z45" s="2"/>
      <c r="AA45" s="5"/>
      <c r="AB45" s="146"/>
      <c r="AC45" s="5"/>
      <c r="AD45" s="5"/>
      <c r="AE45" s="5"/>
      <c r="AF45" s="5"/>
      <c r="AG45" s="5"/>
      <c r="AH45" s="5"/>
    </row>
    <row r="46" spans="2:34">
      <c r="B46" s="454" t="s">
        <v>407</v>
      </c>
      <c r="C46" s="455"/>
      <c r="D46" s="456"/>
      <c r="M46" s="2"/>
      <c r="O46" s="2"/>
      <c r="R46" s="2"/>
      <c r="T46" s="2"/>
      <c r="W46" s="2"/>
      <c r="Y46" s="2"/>
      <c r="Z46" s="2"/>
      <c r="AA46" s="5"/>
      <c r="AB46" s="146"/>
      <c r="AC46" s="5"/>
      <c r="AD46" s="5"/>
      <c r="AE46" s="5"/>
      <c r="AF46" s="5"/>
      <c r="AG46" s="5"/>
      <c r="AH46" s="5"/>
    </row>
    <row r="47" spans="2:34">
      <c r="B47" s="442" t="s">
        <v>395</v>
      </c>
      <c r="C47" s="442"/>
      <c r="D47" s="251">
        <f>SUM(D48:D49,D51)</f>
        <v>1.6</v>
      </c>
      <c r="M47" s="2"/>
      <c r="O47" s="2"/>
      <c r="R47" s="2"/>
      <c r="T47" s="2"/>
      <c r="W47" s="2"/>
      <c r="Y47" s="2"/>
      <c r="Z47" s="2"/>
      <c r="AA47" s="5"/>
      <c r="AB47" s="146"/>
      <c r="AC47" s="5"/>
      <c r="AD47" s="5"/>
      <c r="AE47" s="5"/>
      <c r="AF47" s="5"/>
      <c r="AG47" s="5"/>
      <c r="AH47" s="5"/>
    </row>
    <row r="48" spans="2:34">
      <c r="B48" s="451" t="s">
        <v>222</v>
      </c>
      <c r="C48" s="452"/>
      <c r="D48" s="58">
        <f>WBS!K18</f>
        <v>0.96000000000000008</v>
      </c>
      <c r="M48" s="2"/>
      <c r="O48" s="2"/>
      <c r="R48" s="2"/>
      <c r="T48" s="2"/>
      <c r="W48" s="2"/>
      <c r="Y48" s="2"/>
      <c r="Z48" s="2"/>
      <c r="AA48" s="5"/>
      <c r="AB48" s="146"/>
      <c r="AC48" s="5"/>
      <c r="AD48" s="5"/>
      <c r="AE48" s="5"/>
      <c r="AF48" s="5"/>
      <c r="AG48" s="5"/>
      <c r="AH48" s="5"/>
    </row>
    <row r="49" spans="2:34">
      <c r="B49" s="451" t="s">
        <v>223</v>
      </c>
      <c r="C49" s="452"/>
      <c r="D49" s="58">
        <f>WBS!K19</f>
        <v>0.64</v>
      </c>
      <c r="M49" s="2"/>
      <c r="O49" s="2"/>
      <c r="R49" s="2"/>
      <c r="T49" s="2"/>
      <c r="W49" s="2"/>
      <c r="Y49" s="2"/>
      <c r="Z49" s="2"/>
      <c r="AA49" s="5"/>
      <c r="AB49" s="146"/>
      <c r="AC49" s="5"/>
      <c r="AD49" s="5"/>
      <c r="AE49" s="5"/>
      <c r="AF49" s="5"/>
      <c r="AG49" s="5"/>
      <c r="AH49" s="5"/>
    </row>
    <row r="50" spans="2:34">
      <c r="B50" s="440" t="s">
        <v>325</v>
      </c>
      <c r="C50" s="441"/>
      <c r="D50" s="58"/>
      <c r="M50" s="2"/>
      <c r="O50" s="2"/>
      <c r="R50" s="2"/>
      <c r="T50" s="2"/>
      <c r="W50" s="2"/>
      <c r="Y50" s="2"/>
      <c r="Z50" s="2"/>
      <c r="AA50" s="5"/>
      <c r="AB50" s="146"/>
      <c r="AC50" s="5"/>
      <c r="AD50" s="5"/>
      <c r="AE50" s="5"/>
      <c r="AF50" s="5"/>
      <c r="AG50" s="5"/>
      <c r="AH50" s="5"/>
    </row>
    <row r="51" spans="2:34">
      <c r="B51" s="437" t="s">
        <v>358</v>
      </c>
      <c r="C51" s="438"/>
      <c r="D51" s="58">
        <f>WBS!K22</f>
        <v>0</v>
      </c>
      <c r="E51" s="258"/>
      <c r="M51" s="2"/>
      <c r="O51" s="2"/>
      <c r="R51" s="2"/>
      <c r="T51" s="2"/>
      <c r="W51" s="2"/>
      <c r="Y51" s="2"/>
      <c r="Z51" s="2"/>
      <c r="AA51" s="5"/>
      <c r="AB51" s="146"/>
      <c r="AC51" s="5"/>
      <c r="AD51" s="5"/>
      <c r="AE51" s="5"/>
      <c r="AF51" s="5"/>
      <c r="AG51" s="5"/>
      <c r="AH51" s="5"/>
    </row>
    <row r="52" spans="2:34">
      <c r="B52" s="453" t="s">
        <v>406</v>
      </c>
      <c r="C52" s="453"/>
      <c r="D52" s="453"/>
      <c r="M52" s="2"/>
      <c r="O52" s="2"/>
      <c r="R52" s="2"/>
      <c r="T52" s="2"/>
      <c r="W52" s="2"/>
      <c r="Y52" s="2"/>
      <c r="Z52" s="2"/>
      <c r="AA52" s="5"/>
      <c r="AB52" s="146"/>
      <c r="AC52" s="5"/>
      <c r="AD52" s="5"/>
      <c r="AE52" s="5"/>
      <c r="AF52" s="5"/>
      <c r="AG52" s="5"/>
      <c r="AH52" s="5"/>
    </row>
    <row r="53" spans="2:34">
      <c r="B53" s="439" t="s">
        <v>357</v>
      </c>
      <c r="C53" s="439"/>
      <c r="D53" s="57">
        <f>SUM(D54:D57)</f>
        <v>1.44</v>
      </c>
      <c r="M53" s="2"/>
      <c r="O53" s="2"/>
      <c r="R53" s="2"/>
      <c r="T53" s="2"/>
      <c r="W53" s="2"/>
      <c r="Y53" s="2"/>
      <c r="Z53" s="2"/>
      <c r="AA53" s="5"/>
      <c r="AB53" s="146"/>
      <c r="AC53" s="5"/>
      <c r="AD53" s="5"/>
      <c r="AE53" s="5"/>
      <c r="AF53" s="5"/>
      <c r="AG53" s="5"/>
      <c r="AH53" s="5"/>
    </row>
    <row r="54" spans="2:34">
      <c r="B54" s="252" t="s">
        <v>4</v>
      </c>
      <c r="C54" s="157">
        <f>WBS!J28</f>
        <v>0</v>
      </c>
      <c r="D54" s="58">
        <f>WBS!K28</f>
        <v>0</v>
      </c>
      <c r="M54" s="2"/>
      <c r="O54" s="2"/>
      <c r="R54" s="2"/>
      <c r="T54" s="2"/>
      <c r="W54" s="2"/>
      <c r="Y54" s="2"/>
      <c r="Z54" s="2"/>
      <c r="AA54" s="5"/>
      <c r="AB54" s="146"/>
      <c r="AC54" s="5"/>
      <c r="AD54" s="5"/>
      <c r="AE54" s="5"/>
      <c r="AF54" s="5"/>
      <c r="AG54" s="5"/>
      <c r="AH54" s="5"/>
    </row>
    <row r="55" spans="2:34">
      <c r="B55" s="252" t="s">
        <v>92</v>
      </c>
      <c r="C55" s="157">
        <f>WBS!J29</f>
        <v>0.03</v>
      </c>
      <c r="D55" s="58">
        <f>WBS!K29</f>
        <v>0.24</v>
      </c>
      <c r="M55" s="2"/>
      <c r="O55" s="2"/>
      <c r="R55" s="2"/>
      <c r="T55" s="2"/>
      <c r="W55" s="2"/>
      <c r="Y55" s="2"/>
      <c r="Z55" s="2"/>
      <c r="AA55" s="5"/>
      <c r="AB55" s="146"/>
      <c r="AC55" s="5"/>
      <c r="AD55" s="5"/>
      <c r="AE55" s="5"/>
      <c r="AF55" s="5"/>
      <c r="AG55" s="5"/>
      <c r="AH55" s="5"/>
    </row>
    <row r="56" spans="2:34">
      <c r="B56" s="252" t="s">
        <v>556</v>
      </c>
      <c r="C56" s="157">
        <f>WBS!J30</f>
        <v>0.15</v>
      </c>
      <c r="D56" s="58">
        <f>WBS!K30</f>
        <v>1.2</v>
      </c>
      <c r="E56" s="258"/>
      <c r="M56" s="2"/>
      <c r="O56" s="2"/>
      <c r="R56" s="2"/>
      <c r="T56" s="2"/>
      <c r="W56" s="2"/>
      <c r="Y56" s="2"/>
      <c r="Z56" s="2"/>
      <c r="AA56" s="5"/>
      <c r="AB56" s="146"/>
      <c r="AC56" s="5"/>
      <c r="AD56" s="5"/>
      <c r="AE56" s="5"/>
      <c r="AF56" s="5"/>
      <c r="AG56" s="5"/>
      <c r="AH56" s="5"/>
    </row>
    <row r="57" spans="2:34">
      <c r="B57" s="253" t="s">
        <v>14</v>
      </c>
      <c r="C57" s="157">
        <f>WBS!J31</f>
        <v>0</v>
      </c>
      <c r="D57" s="58">
        <f>WBS!K31</f>
        <v>0</v>
      </c>
      <c r="M57" s="2"/>
      <c r="O57" s="2"/>
      <c r="R57" s="2"/>
      <c r="T57" s="2"/>
      <c r="W57" s="2"/>
      <c r="Y57" s="2"/>
      <c r="Z57" s="2"/>
      <c r="AA57" s="5"/>
      <c r="AB57" s="146"/>
      <c r="AC57" s="5"/>
      <c r="AD57" s="5"/>
      <c r="AE57" s="5"/>
      <c r="AF57" s="5"/>
      <c r="AG57" s="5"/>
      <c r="AH57" s="5"/>
    </row>
    <row r="58" spans="2:34">
      <c r="B58" s="439" t="s">
        <v>219</v>
      </c>
      <c r="C58" s="439"/>
      <c r="D58" s="57">
        <f>SUM(D59:D63)</f>
        <v>3.2</v>
      </c>
      <c r="M58" s="2"/>
      <c r="O58" s="2"/>
      <c r="R58" s="2"/>
      <c r="T58" s="2"/>
      <c r="W58" s="2"/>
      <c r="Y58" s="2"/>
      <c r="Z58" s="2"/>
      <c r="AA58" s="5"/>
      <c r="AB58" s="146"/>
      <c r="AC58" s="5"/>
      <c r="AD58" s="5"/>
      <c r="AE58" s="5"/>
      <c r="AF58" s="5"/>
      <c r="AG58" s="5"/>
      <c r="AH58" s="5"/>
    </row>
    <row r="59" spans="2:34">
      <c r="B59" s="252" t="s">
        <v>575</v>
      </c>
      <c r="C59" s="158">
        <f>WBS!J33</f>
        <v>0.15</v>
      </c>
      <c r="D59" s="58">
        <f>WBS!K33</f>
        <v>1.2</v>
      </c>
      <c r="M59" s="2"/>
      <c r="O59" s="2"/>
      <c r="R59" s="2"/>
      <c r="T59" s="2"/>
      <c r="W59" s="2"/>
      <c r="Y59" s="2"/>
      <c r="Z59" s="2"/>
      <c r="AA59" s="5"/>
      <c r="AB59" s="146"/>
      <c r="AC59" s="5"/>
      <c r="AD59" s="5"/>
      <c r="AE59" s="5"/>
      <c r="AF59" s="5"/>
      <c r="AG59" s="5"/>
      <c r="AH59" s="5"/>
    </row>
    <row r="60" spans="2:34">
      <c r="B60" s="252" t="s">
        <v>7</v>
      </c>
      <c r="C60" s="158">
        <f>WBS!J34</f>
        <v>0</v>
      </c>
      <c r="D60" s="58">
        <f>WBS!K34</f>
        <v>0</v>
      </c>
      <c r="M60" s="2"/>
      <c r="O60" s="2"/>
      <c r="R60" s="2"/>
      <c r="T60" s="2"/>
      <c r="W60" s="2"/>
      <c r="Y60" s="2"/>
      <c r="Z60" s="2"/>
      <c r="AA60" s="5"/>
      <c r="AB60" s="146"/>
      <c r="AC60" s="5"/>
      <c r="AD60" s="5"/>
      <c r="AE60" s="5"/>
      <c r="AF60" s="5"/>
      <c r="AG60" s="5"/>
      <c r="AH60" s="5"/>
    </row>
    <row r="61" spans="2:34">
      <c r="B61" s="252" t="s">
        <v>74</v>
      </c>
      <c r="C61" s="158">
        <f>WBS!J35</f>
        <v>0.1</v>
      </c>
      <c r="D61" s="58">
        <f>WBS!K35</f>
        <v>0.8</v>
      </c>
      <c r="M61" s="2"/>
      <c r="O61" s="2"/>
      <c r="R61" s="2"/>
      <c r="T61" s="2"/>
      <c r="W61" s="2"/>
      <c r="Y61" s="2"/>
      <c r="Z61" s="2"/>
      <c r="AA61" s="5"/>
      <c r="AB61" s="146"/>
      <c r="AC61" s="5"/>
      <c r="AD61" s="5"/>
      <c r="AE61" s="5"/>
      <c r="AF61" s="5"/>
      <c r="AG61" s="5"/>
      <c r="AH61" s="5"/>
    </row>
    <row r="62" spans="2:34">
      <c r="B62" s="252" t="s">
        <v>134</v>
      </c>
      <c r="C62" s="158">
        <f>WBS!J36</f>
        <v>0</v>
      </c>
      <c r="D62" s="58">
        <f>WBS!K36</f>
        <v>0</v>
      </c>
      <c r="E62" s="256"/>
      <c r="M62" s="2"/>
      <c r="O62" s="2"/>
      <c r="R62" s="2"/>
      <c r="T62" s="2"/>
      <c r="W62" s="2"/>
      <c r="Y62" s="2"/>
      <c r="Z62" s="2"/>
      <c r="AA62" s="5"/>
      <c r="AB62" s="146"/>
      <c r="AC62" s="5"/>
      <c r="AD62" s="5"/>
      <c r="AE62" s="5"/>
      <c r="AF62" s="5"/>
      <c r="AG62" s="5"/>
      <c r="AH62" s="5"/>
    </row>
    <row r="63" spans="2:34">
      <c r="B63" s="252" t="s">
        <v>93</v>
      </c>
      <c r="C63" s="158">
        <f>WBS!J37</f>
        <v>0.15</v>
      </c>
      <c r="D63" s="58">
        <f>WBS!K37</f>
        <v>1.2</v>
      </c>
      <c r="M63" s="2"/>
      <c r="O63" s="2"/>
      <c r="R63" s="2"/>
      <c r="T63" s="2"/>
      <c r="W63" s="2"/>
      <c r="Y63" s="2"/>
      <c r="Z63" s="2"/>
      <c r="AA63" s="5"/>
      <c r="AB63" s="146"/>
      <c r="AC63" s="5"/>
      <c r="AD63" s="5"/>
      <c r="AE63" s="5"/>
      <c r="AF63" s="5"/>
      <c r="AG63" s="5"/>
      <c r="AH63" s="5"/>
    </row>
    <row r="64" spans="2:34">
      <c r="B64" s="436" t="s">
        <v>110</v>
      </c>
      <c r="C64" s="436"/>
      <c r="D64" s="59">
        <f>effort_Initiation+effort_TechDoc+effort_Dev+effort_Cat_SPA+effort_Cat_UI+effort_Support_Dev+effort_Support_Prog</f>
        <v>94.24</v>
      </c>
      <c r="M64" s="2"/>
      <c r="O64" s="2"/>
      <c r="R64" s="2"/>
      <c r="T64" s="2"/>
      <c r="W64" s="2"/>
      <c r="Y64" s="2"/>
      <c r="Z64" s="2"/>
      <c r="AA64" s="5"/>
      <c r="AB64" s="146"/>
      <c r="AC64" s="5"/>
      <c r="AD64" s="5"/>
      <c r="AE64" s="5"/>
      <c r="AF64" s="5"/>
      <c r="AG64" s="5"/>
      <c r="AH64" s="5"/>
    </row>
    <row r="65" spans="2:34">
      <c r="B65" s="436" t="s">
        <v>115</v>
      </c>
      <c r="C65" s="436"/>
      <c r="D65" s="59">
        <f>D64/8</f>
        <v>11.78</v>
      </c>
      <c r="M65" s="2"/>
      <c r="O65" s="2"/>
      <c r="R65" s="2"/>
      <c r="T65" s="2"/>
      <c r="W65" s="2"/>
      <c r="Y65" s="2"/>
      <c r="Z65" s="2"/>
      <c r="AA65" s="5"/>
      <c r="AB65" s="146"/>
      <c r="AC65" s="5"/>
      <c r="AD65" s="5"/>
      <c r="AE65" s="5"/>
      <c r="AF65" s="5"/>
      <c r="AG65" s="5"/>
      <c r="AH65" s="5"/>
    </row>
    <row r="66" spans="2:34">
      <c r="B66" s="436" t="s">
        <v>111</v>
      </c>
      <c r="C66" s="436"/>
      <c r="D66" s="105">
        <f>D64/(5*8)</f>
        <v>2.3559999999999999</v>
      </c>
      <c r="M66" s="2"/>
      <c r="O66" s="2"/>
      <c r="R66" s="2"/>
      <c r="T66" s="2"/>
      <c r="W66" s="2"/>
      <c r="Y66" s="2"/>
      <c r="Z66" s="2"/>
      <c r="AA66" s="5"/>
      <c r="AB66" s="146"/>
      <c r="AC66" s="5"/>
      <c r="AD66" s="5"/>
      <c r="AE66" s="5"/>
      <c r="AF66" s="5"/>
      <c r="AG66" s="5"/>
      <c r="AH66" s="5"/>
    </row>
    <row r="67" spans="2:34">
      <c r="B67" s="436" t="s">
        <v>112</v>
      </c>
      <c r="C67" s="436"/>
      <c r="D67" s="105">
        <f>D66/4</f>
        <v>0.58899999999999997</v>
      </c>
      <c r="M67" s="2"/>
      <c r="O67" s="2"/>
      <c r="R67" s="2"/>
      <c r="T67" s="2"/>
      <c r="W67" s="2"/>
      <c r="Y67" s="2"/>
      <c r="Z67" s="2"/>
      <c r="AA67" s="5"/>
      <c r="AB67" s="146"/>
      <c r="AC67" s="5"/>
      <c r="AD67" s="5"/>
      <c r="AE67" s="5"/>
      <c r="AF67" s="5"/>
      <c r="AG67" s="5"/>
      <c r="AH67" s="5"/>
    </row>
    <row r="68" spans="2:34">
      <c r="M68" s="2"/>
      <c r="O68" s="2"/>
      <c r="R68" s="2"/>
      <c r="T68" s="2"/>
      <c r="W68" s="2"/>
      <c r="Y68" s="2"/>
      <c r="Z68" s="2"/>
      <c r="AA68" s="5"/>
      <c r="AB68" s="146"/>
      <c r="AC68" s="5"/>
      <c r="AD68" s="5"/>
      <c r="AE68" s="5"/>
      <c r="AF68" s="5"/>
      <c r="AG68" s="5"/>
      <c r="AH68" s="5"/>
    </row>
    <row r="69" spans="2:34">
      <c r="M69" s="2"/>
      <c r="O69" s="2"/>
      <c r="R69" s="2"/>
      <c r="T69" s="2"/>
      <c r="W69" s="2"/>
      <c r="Y69" s="2"/>
      <c r="Z69" s="2"/>
      <c r="AA69" s="5"/>
      <c r="AB69" s="146"/>
      <c r="AC69" s="5"/>
      <c r="AD69" s="5"/>
      <c r="AE69" s="5"/>
      <c r="AF69" s="5"/>
      <c r="AG69" s="5"/>
      <c r="AH69" s="5"/>
    </row>
    <row r="70" spans="2:34">
      <c r="M70" s="2"/>
      <c r="O70" s="2"/>
      <c r="R70" s="2"/>
      <c r="T70" s="2"/>
      <c r="W70" s="2"/>
      <c r="Y70" s="2"/>
      <c r="Z70" s="2"/>
      <c r="AA70" s="5"/>
      <c r="AB70" s="146"/>
      <c r="AC70" s="5"/>
      <c r="AD70" s="5"/>
      <c r="AE70" s="5"/>
      <c r="AF70" s="5"/>
      <c r="AG70" s="5"/>
      <c r="AH70" s="5"/>
    </row>
    <row r="71" spans="2:34">
      <c r="M71" s="2"/>
      <c r="O71" s="2"/>
      <c r="R71" s="2"/>
      <c r="T71" s="2"/>
      <c r="W71" s="2"/>
      <c r="Y71" s="2"/>
      <c r="Z71" s="2"/>
      <c r="AA71" s="5"/>
      <c r="AB71" s="146"/>
      <c r="AC71" s="5"/>
      <c r="AD71" s="5"/>
      <c r="AE71" s="5"/>
      <c r="AF71" s="5"/>
      <c r="AG71" s="5"/>
      <c r="AH71" s="5"/>
    </row>
    <row r="72" spans="2:34">
      <c r="M72" s="2"/>
      <c r="O72" s="2"/>
      <c r="R72" s="2"/>
      <c r="T72" s="2"/>
      <c r="W72" s="2"/>
      <c r="Y72" s="2"/>
      <c r="Z72" s="2"/>
      <c r="AA72" s="5"/>
      <c r="AB72" s="146"/>
      <c r="AC72" s="5"/>
      <c r="AD72" s="5"/>
      <c r="AE72" s="5"/>
      <c r="AF72" s="5"/>
      <c r="AG72" s="5"/>
      <c r="AH72" s="5"/>
    </row>
    <row r="73" spans="2:34">
      <c r="M73" s="2"/>
      <c r="O73" s="2"/>
      <c r="R73" s="2"/>
      <c r="T73" s="2"/>
      <c r="W73" s="2"/>
      <c r="Y73" s="2"/>
      <c r="Z73" s="2"/>
      <c r="AA73" s="5"/>
      <c r="AB73" s="146"/>
      <c r="AC73" s="5"/>
      <c r="AD73" s="5"/>
      <c r="AE73" s="5"/>
      <c r="AF73" s="5"/>
      <c r="AG73" s="5"/>
      <c r="AH73" s="5"/>
    </row>
    <row r="74" spans="2:34">
      <c r="M74" s="2"/>
      <c r="O74" s="2"/>
      <c r="R74" s="2"/>
      <c r="T74" s="2"/>
      <c r="W74" s="2"/>
      <c r="Y74" s="2"/>
      <c r="Z74" s="2"/>
      <c r="AA74" s="5"/>
      <c r="AB74" s="146"/>
      <c r="AC74" s="5"/>
      <c r="AD74" s="5"/>
      <c r="AE74" s="5"/>
      <c r="AF74" s="5"/>
      <c r="AG74" s="5"/>
      <c r="AH74" s="5"/>
    </row>
    <row r="75" spans="2:34">
      <c r="M75" s="2"/>
      <c r="O75" s="2"/>
      <c r="R75" s="2"/>
      <c r="T75" s="2"/>
      <c r="W75" s="2"/>
      <c r="Y75" s="2"/>
      <c r="Z75" s="2"/>
      <c r="AA75" s="5"/>
      <c r="AB75" s="146"/>
      <c r="AC75" s="5"/>
      <c r="AD75" s="5"/>
      <c r="AE75" s="5"/>
      <c r="AF75" s="5"/>
      <c r="AG75" s="5"/>
      <c r="AH75" s="5"/>
    </row>
    <row r="76" spans="2:34">
      <c r="M76" s="2"/>
      <c r="O76" s="2"/>
      <c r="R76" s="2"/>
      <c r="T76" s="2"/>
      <c r="W76" s="2"/>
      <c r="Y76" s="2"/>
      <c r="Z76" s="2"/>
      <c r="AA76" s="5"/>
      <c r="AB76" s="146"/>
      <c r="AC76" s="5"/>
      <c r="AD76" s="5"/>
      <c r="AE76" s="5"/>
      <c r="AF76" s="5"/>
      <c r="AG76" s="5"/>
      <c r="AH76" s="5"/>
    </row>
    <row r="77" spans="2:34">
      <c r="M77" s="2"/>
      <c r="O77" s="2"/>
      <c r="R77" s="2"/>
      <c r="T77" s="2"/>
      <c r="W77" s="2"/>
      <c r="Y77" s="2"/>
      <c r="Z77" s="2"/>
      <c r="AA77" s="5"/>
      <c r="AB77" s="146"/>
      <c r="AC77" s="5"/>
      <c r="AD77" s="5"/>
      <c r="AE77" s="5"/>
      <c r="AF77" s="5"/>
      <c r="AG77" s="5"/>
      <c r="AH77" s="5"/>
    </row>
    <row r="78" spans="2:34">
      <c r="M78" s="2"/>
      <c r="O78" s="2"/>
      <c r="R78" s="2"/>
      <c r="T78" s="2"/>
      <c r="W78" s="2"/>
      <c r="Y78" s="2"/>
      <c r="Z78" s="2"/>
      <c r="AA78" s="5"/>
      <c r="AB78" s="146"/>
      <c r="AC78" s="5"/>
      <c r="AD78" s="5"/>
      <c r="AE78" s="5"/>
      <c r="AF78" s="5"/>
      <c r="AG78" s="5"/>
      <c r="AH78" s="5"/>
    </row>
    <row r="79" spans="2:34">
      <c r="M79" s="2"/>
      <c r="O79" s="2"/>
      <c r="R79" s="2"/>
      <c r="T79" s="2"/>
      <c r="W79" s="2"/>
      <c r="Y79" s="2"/>
      <c r="Z79" s="2"/>
      <c r="AA79" s="5"/>
      <c r="AB79" s="146"/>
      <c r="AC79" s="5"/>
      <c r="AD79" s="5"/>
      <c r="AE79" s="5"/>
      <c r="AF79" s="5"/>
      <c r="AG79" s="5"/>
      <c r="AH79" s="5"/>
    </row>
    <row r="80" spans="2:34">
      <c r="M80" s="2"/>
      <c r="O80" s="2"/>
      <c r="R80" s="2"/>
      <c r="T80" s="2"/>
      <c r="W80" s="2"/>
      <c r="Y80" s="2"/>
      <c r="Z80" s="2"/>
      <c r="AA80" s="5"/>
      <c r="AB80" s="146"/>
      <c r="AC80" s="5"/>
      <c r="AD80" s="5"/>
      <c r="AE80" s="5"/>
      <c r="AF80" s="5"/>
      <c r="AG80" s="5"/>
      <c r="AH80" s="5"/>
    </row>
    <row r="81" spans="13:34">
      <c r="M81" s="2"/>
      <c r="O81" s="2"/>
      <c r="R81" s="2"/>
      <c r="T81" s="2"/>
      <c r="W81" s="2"/>
      <c r="Y81" s="2"/>
      <c r="Z81" s="2"/>
      <c r="AA81" s="5"/>
      <c r="AB81" s="146"/>
      <c r="AC81" s="5"/>
      <c r="AD81" s="5"/>
      <c r="AE81" s="5"/>
      <c r="AF81" s="5"/>
      <c r="AG81" s="5"/>
      <c r="AH81" s="5"/>
    </row>
    <row r="82" spans="13:34">
      <c r="M82" s="2"/>
      <c r="O82" s="2"/>
      <c r="R82" s="2"/>
      <c r="T82" s="2"/>
      <c r="W82" s="2"/>
      <c r="Y82" s="2"/>
      <c r="Z82" s="2"/>
      <c r="AA82" s="5"/>
      <c r="AB82" s="146"/>
      <c r="AC82" s="5"/>
      <c r="AD82" s="5"/>
      <c r="AE82" s="5"/>
      <c r="AF82" s="5"/>
      <c r="AG82" s="5"/>
      <c r="AH82" s="5"/>
    </row>
    <row r="83" spans="13:34">
      <c r="M83" s="2"/>
      <c r="O83" s="2"/>
      <c r="R83" s="2"/>
      <c r="T83" s="2"/>
      <c r="W83" s="2"/>
      <c r="Y83" s="2"/>
      <c r="Z83" s="2"/>
      <c r="AA83" s="5"/>
      <c r="AB83" s="146"/>
      <c r="AC83" s="5"/>
      <c r="AD83" s="5"/>
      <c r="AE83" s="5"/>
      <c r="AF83" s="5"/>
      <c r="AG83" s="5"/>
      <c r="AH83" s="5"/>
    </row>
    <row r="84" spans="13:34">
      <c r="M84" s="2"/>
      <c r="O84" s="2"/>
      <c r="R84" s="2"/>
      <c r="T84" s="2"/>
      <c r="W84" s="2"/>
      <c r="Y84" s="2"/>
      <c r="Z84" s="2"/>
      <c r="AA84" s="5"/>
      <c r="AB84" s="146"/>
      <c r="AC84" s="5"/>
      <c r="AD84" s="5"/>
      <c r="AE84" s="5"/>
      <c r="AF84" s="5"/>
      <c r="AG84" s="5"/>
      <c r="AH84" s="5"/>
    </row>
    <row r="85" spans="13:34">
      <c r="M85" s="2"/>
      <c r="O85" s="2"/>
      <c r="R85" s="2"/>
      <c r="T85" s="2"/>
      <c r="W85" s="2"/>
      <c r="Y85" s="2"/>
      <c r="Z85" s="2"/>
      <c r="AA85" s="5"/>
      <c r="AB85" s="146"/>
      <c r="AC85" s="5"/>
      <c r="AD85" s="5"/>
      <c r="AE85" s="5"/>
      <c r="AF85" s="5"/>
      <c r="AG85" s="5"/>
      <c r="AH85" s="5"/>
    </row>
    <row r="86" spans="13:34">
      <c r="M86" s="2"/>
      <c r="O86" s="2"/>
      <c r="R86" s="2"/>
      <c r="T86" s="2"/>
      <c r="W86" s="2"/>
      <c r="Y86" s="2"/>
      <c r="Z86" s="2"/>
      <c r="AA86" s="5"/>
      <c r="AB86" s="146"/>
      <c r="AC86" s="5"/>
      <c r="AD86" s="5"/>
      <c r="AE86" s="5"/>
      <c r="AF86" s="5"/>
      <c r="AG86" s="5"/>
      <c r="AH86" s="5"/>
    </row>
    <row r="87" spans="13:34">
      <c r="M87" s="2"/>
      <c r="O87" s="2"/>
      <c r="R87" s="2"/>
      <c r="T87" s="2"/>
      <c r="W87" s="2"/>
      <c r="Y87" s="2"/>
      <c r="Z87" s="2"/>
      <c r="AA87" s="5"/>
      <c r="AB87" s="146"/>
      <c r="AC87" s="5"/>
      <c r="AD87" s="5"/>
      <c r="AE87" s="5"/>
      <c r="AF87" s="5"/>
      <c r="AG87" s="5"/>
      <c r="AH87" s="5"/>
    </row>
    <row r="88" spans="13:34">
      <c r="M88" s="2"/>
      <c r="O88" s="2"/>
      <c r="R88" s="2"/>
      <c r="T88" s="2"/>
      <c r="W88" s="2"/>
      <c r="Y88" s="2"/>
      <c r="Z88" s="2"/>
      <c r="AA88" s="5"/>
      <c r="AB88" s="146"/>
      <c r="AC88" s="5"/>
      <c r="AD88" s="5"/>
      <c r="AE88" s="5"/>
      <c r="AF88" s="5"/>
      <c r="AG88" s="5"/>
      <c r="AH88" s="5"/>
    </row>
    <row r="89" spans="13:34">
      <c r="M89" s="2"/>
      <c r="O89" s="2"/>
      <c r="R89" s="2"/>
      <c r="T89" s="2"/>
      <c r="W89" s="2"/>
      <c r="Y89" s="2"/>
      <c r="Z89" s="2"/>
      <c r="AA89" s="5"/>
      <c r="AB89" s="146"/>
      <c r="AC89" s="5"/>
      <c r="AD89" s="5"/>
      <c r="AE89" s="5"/>
      <c r="AF89" s="5"/>
      <c r="AG89" s="5"/>
      <c r="AH89" s="5"/>
    </row>
    <row r="90" spans="13:34">
      <c r="M90" s="2"/>
      <c r="O90" s="2"/>
      <c r="R90" s="2"/>
      <c r="T90" s="2"/>
      <c r="W90" s="2"/>
      <c r="Y90" s="2"/>
      <c r="Z90" s="2"/>
      <c r="AA90" s="5"/>
      <c r="AB90" s="146"/>
      <c r="AC90" s="5"/>
      <c r="AD90" s="5"/>
      <c r="AE90" s="5"/>
      <c r="AF90" s="5"/>
      <c r="AG90" s="5"/>
      <c r="AH90" s="5"/>
    </row>
    <row r="91" spans="13:34">
      <c r="M91" s="2"/>
      <c r="O91" s="2"/>
      <c r="R91" s="2"/>
      <c r="T91" s="2"/>
      <c r="W91" s="2"/>
      <c r="Y91" s="2"/>
      <c r="Z91" s="2"/>
      <c r="AA91" s="5"/>
      <c r="AB91" s="146"/>
      <c r="AC91" s="5"/>
      <c r="AD91" s="5"/>
      <c r="AE91" s="5"/>
      <c r="AF91" s="5"/>
      <c r="AG91" s="5"/>
      <c r="AH91" s="5"/>
    </row>
    <row r="92" spans="13:34">
      <c r="M92" s="2"/>
      <c r="O92" s="2"/>
      <c r="R92" s="2"/>
      <c r="T92" s="2"/>
      <c r="W92" s="2"/>
      <c r="Y92" s="2"/>
      <c r="Z92" s="2"/>
      <c r="AA92" s="5"/>
      <c r="AB92" s="146"/>
      <c r="AC92" s="5"/>
      <c r="AD92" s="5"/>
      <c r="AE92" s="5"/>
      <c r="AF92" s="5"/>
      <c r="AG92" s="5"/>
      <c r="AH92" s="5"/>
    </row>
    <row r="93" spans="13:34">
      <c r="M93" s="2"/>
      <c r="O93" s="2"/>
      <c r="R93" s="2"/>
      <c r="T93" s="2"/>
      <c r="W93" s="2"/>
      <c r="Y93" s="2"/>
      <c r="Z93" s="2"/>
      <c r="AA93" s="5"/>
      <c r="AB93" s="146"/>
      <c r="AC93" s="5"/>
      <c r="AD93" s="5"/>
      <c r="AE93" s="5"/>
      <c r="AF93" s="5"/>
      <c r="AG93" s="5"/>
      <c r="AH93" s="5"/>
    </row>
    <row r="94" spans="13:34">
      <c r="M94" s="2"/>
      <c r="O94" s="2"/>
      <c r="R94" s="2"/>
      <c r="T94" s="2"/>
      <c r="W94" s="2"/>
      <c r="Y94" s="2"/>
      <c r="Z94" s="2"/>
      <c r="AA94" s="5"/>
      <c r="AB94" s="146"/>
      <c r="AC94" s="5"/>
      <c r="AD94" s="5"/>
      <c r="AE94" s="5"/>
      <c r="AF94" s="5"/>
      <c r="AG94" s="5"/>
      <c r="AH94" s="5"/>
    </row>
    <row r="95" spans="13:34">
      <c r="M95" s="2"/>
      <c r="O95" s="2"/>
      <c r="R95" s="2"/>
      <c r="T95" s="2"/>
      <c r="W95" s="2"/>
      <c r="Y95" s="2"/>
      <c r="Z95" s="2"/>
      <c r="AA95" s="5"/>
      <c r="AB95" s="146"/>
      <c r="AC95" s="5"/>
      <c r="AD95" s="5"/>
      <c r="AE95" s="5"/>
      <c r="AF95" s="5"/>
      <c r="AG95" s="5"/>
      <c r="AH95" s="5"/>
    </row>
    <row r="96" spans="13:34">
      <c r="M96" s="2"/>
      <c r="O96" s="2"/>
      <c r="R96" s="2"/>
      <c r="T96" s="2"/>
      <c r="W96" s="2"/>
      <c r="Y96" s="2"/>
      <c r="Z96" s="2"/>
      <c r="AA96" s="5"/>
      <c r="AB96" s="146"/>
      <c r="AC96" s="5"/>
      <c r="AD96" s="5"/>
      <c r="AE96" s="5"/>
      <c r="AF96" s="5"/>
      <c r="AG96" s="5"/>
      <c r="AH96" s="5"/>
    </row>
    <row r="97" spans="13:34">
      <c r="M97" s="2"/>
      <c r="O97" s="2"/>
      <c r="R97" s="2"/>
      <c r="T97" s="2"/>
      <c r="W97" s="2"/>
      <c r="Y97" s="2"/>
      <c r="Z97" s="2"/>
      <c r="AA97" s="5"/>
      <c r="AB97" s="146"/>
      <c r="AC97" s="5"/>
      <c r="AD97" s="5"/>
      <c r="AE97" s="5"/>
      <c r="AF97" s="5"/>
      <c r="AG97" s="5"/>
      <c r="AH97" s="5"/>
    </row>
    <row r="98" spans="13:34">
      <c r="M98" s="2"/>
      <c r="O98" s="2"/>
      <c r="R98" s="2"/>
      <c r="T98" s="2"/>
      <c r="W98" s="2"/>
      <c r="Y98" s="2"/>
      <c r="Z98" s="2"/>
      <c r="AA98" s="5"/>
      <c r="AB98" s="146"/>
      <c r="AC98" s="5"/>
      <c r="AD98" s="5"/>
      <c r="AE98" s="5"/>
      <c r="AF98" s="5"/>
      <c r="AG98" s="5"/>
      <c r="AH98" s="5"/>
    </row>
    <row r="99" spans="13:34">
      <c r="M99" s="2"/>
      <c r="O99" s="2"/>
      <c r="R99" s="2"/>
      <c r="T99" s="2"/>
      <c r="W99" s="2"/>
      <c r="Y99" s="2"/>
      <c r="Z99" s="2"/>
      <c r="AA99" s="5"/>
      <c r="AB99" s="146"/>
      <c r="AC99" s="5"/>
      <c r="AD99" s="5"/>
      <c r="AE99" s="5"/>
      <c r="AF99" s="5"/>
      <c r="AG99" s="5"/>
      <c r="AH99" s="5"/>
    </row>
    <row r="100" spans="13:34">
      <c r="M100" s="2"/>
      <c r="O100" s="2"/>
      <c r="R100" s="2"/>
      <c r="T100" s="2"/>
      <c r="W100" s="2"/>
      <c r="Y100" s="2"/>
      <c r="Z100" s="2"/>
      <c r="AA100" s="5"/>
      <c r="AB100" s="146"/>
      <c r="AC100" s="5"/>
      <c r="AD100" s="5"/>
      <c r="AE100" s="5"/>
      <c r="AF100" s="5"/>
      <c r="AG100" s="5"/>
      <c r="AH100" s="5"/>
    </row>
    <row r="101" spans="13:34">
      <c r="M101" s="2"/>
      <c r="O101" s="2"/>
      <c r="R101" s="2"/>
      <c r="T101" s="2"/>
      <c r="W101" s="2"/>
      <c r="Y101" s="2"/>
      <c r="Z101" s="2"/>
      <c r="AA101" s="5"/>
      <c r="AB101" s="146"/>
      <c r="AC101" s="5"/>
      <c r="AD101" s="5"/>
      <c r="AE101" s="5"/>
      <c r="AF101" s="5"/>
      <c r="AG101" s="5"/>
      <c r="AH101" s="5"/>
    </row>
    <row r="102" spans="13:34">
      <c r="M102" s="2"/>
      <c r="O102" s="2"/>
      <c r="R102" s="2"/>
      <c r="T102" s="2"/>
      <c r="W102" s="2"/>
      <c r="Y102" s="2"/>
      <c r="Z102" s="2"/>
      <c r="AA102" s="5"/>
      <c r="AB102" s="146"/>
      <c r="AC102" s="5"/>
      <c r="AD102" s="5"/>
      <c r="AE102" s="5"/>
      <c r="AF102" s="5"/>
      <c r="AG102" s="5"/>
      <c r="AH102" s="5"/>
    </row>
    <row r="103" spans="13:34">
      <c r="M103" s="2"/>
      <c r="O103" s="2"/>
      <c r="R103" s="2"/>
      <c r="T103" s="2"/>
      <c r="W103" s="2"/>
      <c r="Y103" s="2"/>
      <c r="Z103" s="2"/>
      <c r="AA103" s="5"/>
      <c r="AB103" s="146"/>
      <c r="AC103" s="5"/>
      <c r="AD103" s="5"/>
      <c r="AE103" s="5"/>
      <c r="AF103" s="5"/>
      <c r="AG103" s="5"/>
      <c r="AH103" s="5"/>
    </row>
    <row r="104" spans="13:34">
      <c r="M104" s="2"/>
      <c r="O104" s="2"/>
      <c r="R104" s="2"/>
      <c r="T104" s="2"/>
      <c r="W104" s="2"/>
      <c r="Y104" s="2"/>
      <c r="Z104" s="2"/>
      <c r="AA104" s="5"/>
      <c r="AB104" s="146"/>
      <c r="AC104" s="5"/>
      <c r="AD104" s="5"/>
      <c r="AE104" s="5"/>
      <c r="AF104" s="5"/>
      <c r="AG104" s="5"/>
      <c r="AH104" s="5"/>
    </row>
    <row r="105" spans="13:34">
      <c r="M105" s="2"/>
      <c r="O105" s="2"/>
      <c r="R105" s="2"/>
      <c r="T105" s="2"/>
      <c r="W105" s="2"/>
      <c r="Y105" s="2"/>
      <c r="Z105" s="2"/>
      <c r="AA105" s="5"/>
      <c r="AB105" s="146"/>
      <c r="AC105" s="5"/>
      <c r="AD105" s="5"/>
      <c r="AE105" s="5"/>
      <c r="AF105" s="5"/>
      <c r="AG105" s="5"/>
      <c r="AH105" s="5"/>
    </row>
    <row r="106" spans="13:34">
      <c r="M106" s="2"/>
      <c r="O106" s="2"/>
      <c r="R106" s="2"/>
      <c r="T106" s="2"/>
      <c r="W106" s="2"/>
      <c r="Y106" s="2"/>
      <c r="Z106" s="2"/>
      <c r="AA106" s="5"/>
      <c r="AB106" s="146"/>
      <c r="AC106" s="5"/>
      <c r="AD106" s="5"/>
      <c r="AE106" s="5"/>
      <c r="AF106" s="5"/>
      <c r="AG106" s="5"/>
      <c r="AH106" s="5"/>
    </row>
    <row r="107" spans="13:34">
      <c r="M107" s="2"/>
      <c r="O107" s="2"/>
      <c r="R107" s="2"/>
      <c r="T107" s="2"/>
      <c r="W107" s="2"/>
      <c r="Y107" s="2"/>
      <c r="Z107" s="2"/>
      <c r="AA107" s="5"/>
      <c r="AB107" s="146"/>
      <c r="AC107" s="5"/>
      <c r="AD107" s="5"/>
      <c r="AE107" s="5"/>
      <c r="AF107" s="5"/>
      <c r="AG107" s="5"/>
      <c r="AH107" s="5"/>
    </row>
    <row r="108" spans="13:34">
      <c r="M108" s="2"/>
      <c r="O108" s="2"/>
      <c r="R108" s="2"/>
      <c r="T108" s="2"/>
      <c r="W108" s="2"/>
      <c r="Y108" s="2"/>
      <c r="Z108" s="2"/>
      <c r="AA108" s="5"/>
      <c r="AB108" s="146"/>
      <c r="AC108" s="5"/>
      <c r="AD108" s="5"/>
      <c r="AE108" s="5"/>
      <c r="AF108" s="5"/>
      <c r="AG108" s="5"/>
      <c r="AH108" s="5"/>
    </row>
    <row r="109" spans="13:34">
      <c r="M109" s="2"/>
      <c r="O109" s="2"/>
      <c r="R109" s="2"/>
      <c r="T109" s="2"/>
      <c r="W109" s="2"/>
      <c r="Y109" s="2"/>
      <c r="Z109" s="2"/>
      <c r="AA109" s="5"/>
      <c r="AB109" s="146"/>
      <c r="AC109" s="5"/>
      <c r="AD109" s="5"/>
      <c r="AE109" s="5"/>
      <c r="AF109" s="5"/>
      <c r="AG109" s="5"/>
      <c r="AH109" s="5"/>
    </row>
    <row r="110" spans="13:34">
      <c r="M110" s="2"/>
      <c r="O110" s="2"/>
      <c r="R110" s="2"/>
      <c r="T110" s="2"/>
      <c r="W110" s="2"/>
      <c r="Y110" s="2"/>
      <c r="Z110" s="2"/>
      <c r="AA110" s="5"/>
      <c r="AB110" s="146"/>
      <c r="AC110" s="5"/>
      <c r="AD110" s="5"/>
      <c r="AE110" s="5"/>
      <c r="AF110" s="5"/>
      <c r="AG110" s="5"/>
      <c r="AH110" s="5"/>
    </row>
    <row r="111" spans="13:34">
      <c r="M111" s="2"/>
      <c r="O111" s="2"/>
      <c r="R111" s="2"/>
      <c r="T111" s="2"/>
      <c r="W111" s="2"/>
      <c r="Y111" s="2"/>
      <c r="Z111" s="2"/>
      <c r="AA111" s="5"/>
      <c r="AB111" s="146"/>
      <c r="AC111" s="5"/>
      <c r="AD111" s="5"/>
      <c r="AE111" s="5"/>
      <c r="AF111" s="5"/>
      <c r="AG111" s="5"/>
      <c r="AH111" s="5"/>
    </row>
    <row r="112" spans="13:34">
      <c r="M112" s="2"/>
      <c r="O112" s="2"/>
      <c r="R112" s="2"/>
      <c r="T112" s="2"/>
      <c r="W112" s="2"/>
      <c r="Y112" s="2"/>
      <c r="Z112" s="2"/>
      <c r="AA112" s="5"/>
      <c r="AB112" s="146"/>
      <c r="AC112" s="5"/>
      <c r="AD112" s="5"/>
      <c r="AE112" s="5"/>
      <c r="AF112" s="5"/>
      <c r="AG112" s="5"/>
      <c r="AH112" s="5"/>
    </row>
    <row r="113" spans="13:34">
      <c r="M113" s="2"/>
      <c r="O113" s="2"/>
      <c r="R113" s="2"/>
      <c r="T113" s="2"/>
      <c r="W113" s="2"/>
      <c r="Y113" s="2"/>
      <c r="Z113" s="2"/>
      <c r="AA113" s="5"/>
      <c r="AB113" s="146"/>
      <c r="AC113" s="5"/>
      <c r="AD113" s="5"/>
      <c r="AE113" s="5"/>
      <c r="AF113" s="5"/>
      <c r="AG113" s="5"/>
      <c r="AH113" s="5"/>
    </row>
    <row r="114" spans="13:34">
      <c r="M114" s="2"/>
      <c r="O114" s="2"/>
      <c r="R114" s="2"/>
      <c r="T114" s="2"/>
      <c r="W114" s="2"/>
      <c r="Y114" s="2"/>
      <c r="Z114" s="2"/>
      <c r="AA114" s="5"/>
      <c r="AB114" s="146"/>
      <c r="AC114" s="5"/>
      <c r="AD114" s="5"/>
      <c r="AE114" s="5"/>
      <c r="AF114" s="5"/>
      <c r="AG114" s="5"/>
      <c r="AH114" s="5"/>
    </row>
    <row r="115" spans="13:34">
      <c r="M115" s="2"/>
      <c r="O115" s="2"/>
      <c r="R115" s="2"/>
      <c r="T115" s="2"/>
      <c r="W115" s="2"/>
      <c r="Y115" s="2"/>
      <c r="Z115" s="2"/>
      <c r="AA115" s="5"/>
      <c r="AB115" s="146"/>
      <c r="AC115" s="5"/>
      <c r="AD115" s="5"/>
      <c r="AE115" s="5"/>
      <c r="AF115" s="5"/>
      <c r="AG115" s="5"/>
      <c r="AH115" s="5"/>
    </row>
    <row r="116" spans="13:34">
      <c r="M116" s="2"/>
      <c r="O116" s="2"/>
      <c r="R116" s="2"/>
      <c r="T116" s="2"/>
      <c r="W116" s="2"/>
      <c r="Y116" s="2"/>
      <c r="Z116" s="2"/>
      <c r="AA116" s="5"/>
      <c r="AB116" s="146"/>
      <c r="AC116" s="5"/>
      <c r="AD116" s="5"/>
      <c r="AE116" s="5"/>
      <c r="AF116" s="5"/>
      <c r="AG116" s="5"/>
      <c r="AH116" s="5"/>
    </row>
    <row r="117" spans="13:34">
      <c r="M117" s="2"/>
      <c r="O117" s="2"/>
      <c r="R117" s="2"/>
      <c r="T117" s="2"/>
      <c r="W117" s="2"/>
      <c r="Y117" s="2"/>
      <c r="Z117" s="2"/>
      <c r="AA117" s="5"/>
      <c r="AB117" s="146"/>
      <c r="AC117" s="5"/>
      <c r="AD117" s="5"/>
      <c r="AE117" s="5"/>
      <c r="AF117" s="5"/>
      <c r="AG117" s="5"/>
      <c r="AH117" s="5"/>
    </row>
    <row r="118" spans="13:34">
      <c r="M118" s="2"/>
      <c r="O118" s="2"/>
      <c r="R118" s="2"/>
      <c r="T118" s="2"/>
      <c r="W118" s="2"/>
      <c r="Y118" s="2"/>
      <c r="Z118" s="2"/>
      <c r="AA118" s="5"/>
      <c r="AB118" s="146"/>
      <c r="AC118" s="5"/>
      <c r="AD118" s="5"/>
      <c r="AE118" s="5"/>
      <c r="AF118" s="5"/>
      <c r="AG118" s="5"/>
      <c r="AH118" s="5"/>
    </row>
    <row r="119" spans="13:34">
      <c r="M119" s="2"/>
      <c r="O119" s="2"/>
      <c r="R119" s="2"/>
      <c r="T119" s="2"/>
      <c r="W119" s="2"/>
      <c r="Y119" s="2"/>
      <c r="Z119" s="2"/>
      <c r="AA119" s="5"/>
      <c r="AB119" s="146"/>
      <c r="AC119" s="5"/>
      <c r="AD119" s="5"/>
      <c r="AE119" s="5"/>
      <c r="AF119" s="5"/>
      <c r="AG119" s="5"/>
      <c r="AH119" s="5"/>
    </row>
    <row r="120" spans="13:34">
      <c r="M120" s="2"/>
      <c r="O120" s="2"/>
      <c r="R120" s="2"/>
      <c r="T120" s="2"/>
      <c r="W120" s="2"/>
      <c r="Y120" s="2"/>
      <c r="Z120" s="2"/>
      <c r="AA120" s="5"/>
      <c r="AB120" s="146"/>
      <c r="AC120" s="5"/>
      <c r="AD120" s="5"/>
      <c r="AE120" s="5"/>
      <c r="AF120" s="5"/>
      <c r="AG120" s="5"/>
      <c r="AH120" s="5"/>
    </row>
    <row r="121" spans="13:34">
      <c r="M121" s="2"/>
      <c r="O121" s="2"/>
      <c r="R121" s="2"/>
      <c r="T121" s="2"/>
      <c r="W121" s="2"/>
      <c r="Y121" s="2"/>
      <c r="Z121" s="2"/>
      <c r="AA121" s="5"/>
      <c r="AB121" s="146"/>
      <c r="AC121" s="5"/>
      <c r="AD121" s="5"/>
      <c r="AE121" s="5"/>
      <c r="AF121" s="5"/>
      <c r="AG121" s="5"/>
      <c r="AH121" s="5"/>
    </row>
    <row r="122" spans="13:34">
      <c r="M122" s="2"/>
      <c r="O122" s="2"/>
      <c r="R122" s="2"/>
      <c r="T122" s="2"/>
      <c r="W122" s="2"/>
      <c r="Y122" s="2"/>
      <c r="Z122" s="2"/>
      <c r="AA122" s="5"/>
      <c r="AB122" s="146"/>
      <c r="AC122" s="5"/>
      <c r="AD122" s="5"/>
      <c r="AE122" s="5"/>
      <c r="AF122" s="5"/>
      <c r="AG122" s="5"/>
      <c r="AH122" s="5"/>
    </row>
    <row r="123" spans="13:34">
      <c r="M123" s="2"/>
      <c r="O123" s="2"/>
      <c r="R123" s="2"/>
      <c r="T123" s="2"/>
      <c r="W123" s="2"/>
      <c r="Y123" s="2"/>
      <c r="Z123" s="2"/>
      <c r="AA123" s="5"/>
      <c r="AB123" s="146"/>
      <c r="AC123" s="5"/>
      <c r="AD123" s="5"/>
      <c r="AE123" s="5"/>
      <c r="AF123" s="5"/>
      <c r="AG123" s="5"/>
      <c r="AH123" s="5"/>
    </row>
    <row r="124" spans="13:34">
      <c r="M124" s="2"/>
      <c r="O124" s="2"/>
      <c r="R124" s="2"/>
      <c r="T124" s="2"/>
      <c r="W124" s="2"/>
      <c r="Y124" s="2"/>
      <c r="Z124" s="2"/>
      <c r="AA124" s="5"/>
      <c r="AB124" s="146"/>
      <c r="AC124" s="5"/>
      <c r="AD124" s="5"/>
      <c r="AE124" s="5"/>
      <c r="AF124" s="5"/>
      <c r="AG124" s="5"/>
      <c r="AH124" s="5"/>
    </row>
    <row r="125" spans="13:34">
      <c r="M125" s="2"/>
      <c r="O125" s="2"/>
      <c r="R125" s="2"/>
      <c r="T125" s="2"/>
      <c r="W125" s="2"/>
      <c r="Y125" s="2"/>
      <c r="Z125" s="2"/>
      <c r="AA125" s="5"/>
      <c r="AB125" s="146"/>
      <c r="AC125" s="5"/>
      <c r="AD125" s="5"/>
      <c r="AE125" s="5"/>
      <c r="AF125" s="5"/>
      <c r="AG125" s="5"/>
      <c r="AH125" s="5"/>
    </row>
    <row r="126" spans="13:34">
      <c r="M126" s="2"/>
      <c r="O126" s="2"/>
      <c r="R126" s="2"/>
      <c r="T126" s="2"/>
      <c r="W126" s="2"/>
      <c r="Y126" s="2"/>
      <c r="Z126" s="2"/>
      <c r="AA126" s="5"/>
      <c r="AB126" s="146"/>
      <c r="AC126" s="5"/>
      <c r="AD126" s="5"/>
      <c r="AE126" s="5"/>
      <c r="AF126" s="5"/>
      <c r="AG126" s="5"/>
      <c r="AH126" s="5"/>
    </row>
    <row r="127" spans="13:34">
      <c r="M127" s="2"/>
      <c r="O127" s="2"/>
      <c r="R127" s="2"/>
      <c r="T127" s="2"/>
      <c r="W127" s="2"/>
      <c r="Y127" s="2"/>
      <c r="Z127" s="2"/>
      <c r="AA127" s="5"/>
      <c r="AB127" s="146"/>
      <c r="AC127" s="5"/>
      <c r="AD127" s="5"/>
      <c r="AE127" s="5"/>
      <c r="AF127" s="5"/>
      <c r="AG127" s="5"/>
      <c r="AH127" s="5"/>
    </row>
    <row r="128" spans="13:34">
      <c r="M128" s="2"/>
      <c r="O128" s="2"/>
      <c r="R128" s="2"/>
      <c r="T128" s="2"/>
      <c r="W128" s="2"/>
      <c r="Y128" s="2"/>
      <c r="Z128" s="2"/>
      <c r="AA128" s="5"/>
      <c r="AB128" s="146"/>
      <c r="AC128" s="5"/>
      <c r="AD128" s="5"/>
      <c r="AE128" s="5"/>
      <c r="AF128" s="5"/>
      <c r="AG128" s="5"/>
      <c r="AH128" s="5"/>
    </row>
    <row r="129" spans="13:34">
      <c r="M129" s="2"/>
      <c r="O129" s="2"/>
      <c r="R129" s="2"/>
      <c r="T129" s="2"/>
      <c r="W129" s="2"/>
      <c r="Y129" s="2"/>
      <c r="Z129" s="2"/>
      <c r="AA129" s="5"/>
      <c r="AB129" s="146"/>
      <c r="AC129" s="5"/>
      <c r="AD129" s="5"/>
      <c r="AE129" s="5"/>
      <c r="AF129" s="5"/>
      <c r="AG129" s="5"/>
      <c r="AH129" s="5"/>
    </row>
    <row r="130" spans="13:34">
      <c r="M130" s="2"/>
      <c r="O130" s="2"/>
      <c r="R130" s="2"/>
      <c r="T130" s="2"/>
      <c r="W130" s="2"/>
      <c r="Y130" s="2"/>
      <c r="Z130" s="2"/>
      <c r="AA130" s="5"/>
      <c r="AB130" s="146"/>
      <c r="AC130" s="5"/>
      <c r="AD130" s="5"/>
      <c r="AE130" s="5"/>
      <c r="AF130" s="5"/>
      <c r="AG130" s="5"/>
      <c r="AH130" s="5"/>
    </row>
    <row r="131" spans="13:34">
      <c r="M131" s="2"/>
      <c r="O131" s="2"/>
      <c r="R131" s="2"/>
      <c r="T131" s="2"/>
      <c r="W131" s="2"/>
      <c r="Y131" s="2"/>
      <c r="Z131" s="2"/>
      <c r="AA131" s="5"/>
      <c r="AB131" s="146"/>
      <c r="AC131" s="5"/>
      <c r="AD131" s="5"/>
      <c r="AE131" s="5"/>
      <c r="AF131" s="5"/>
      <c r="AG131" s="5"/>
      <c r="AH131" s="5"/>
    </row>
    <row r="132" spans="13:34">
      <c r="M132" s="2"/>
      <c r="O132" s="2"/>
      <c r="R132" s="2"/>
      <c r="T132" s="2"/>
      <c r="W132" s="2"/>
      <c r="Y132" s="2"/>
      <c r="Z132" s="2"/>
      <c r="AA132" s="5"/>
      <c r="AB132" s="146"/>
      <c r="AC132" s="5"/>
      <c r="AD132" s="5"/>
      <c r="AE132" s="5"/>
      <c r="AF132" s="5"/>
      <c r="AG132" s="5"/>
      <c r="AH132" s="5"/>
    </row>
    <row r="133" spans="13:34">
      <c r="M133" s="2"/>
      <c r="O133" s="2"/>
      <c r="R133" s="2"/>
      <c r="T133" s="2"/>
      <c r="W133" s="2"/>
      <c r="Y133" s="2"/>
      <c r="Z133" s="2"/>
      <c r="AA133" s="5"/>
      <c r="AB133" s="146"/>
      <c r="AC133" s="5"/>
      <c r="AD133" s="5"/>
      <c r="AE133" s="5"/>
      <c r="AF133" s="5"/>
      <c r="AG133" s="5"/>
      <c r="AH133" s="5"/>
    </row>
    <row r="134" spans="13:34">
      <c r="M134" s="2"/>
      <c r="O134" s="2"/>
      <c r="R134" s="2"/>
      <c r="T134" s="2"/>
      <c r="W134" s="2"/>
      <c r="Y134" s="2"/>
      <c r="Z134" s="2"/>
      <c r="AA134" s="5"/>
      <c r="AB134" s="146"/>
      <c r="AC134" s="5"/>
      <c r="AD134" s="5"/>
      <c r="AE134" s="5"/>
      <c r="AF134" s="5"/>
      <c r="AG134" s="5"/>
      <c r="AH134" s="5"/>
    </row>
    <row r="135" spans="13:34">
      <c r="M135" s="2"/>
      <c r="O135" s="2"/>
      <c r="R135" s="2"/>
      <c r="T135" s="2"/>
      <c r="W135" s="2"/>
      <c r="Y135" s="2"/>
      <c r="Z135" s="2"/>
      <c r="AA135" s="5"/>
      <c r="AB135" s="146"/>
      <c r="AC135" s="5"/>
      <c r="AD135" s="5"/>
      <c r="AE135" s="5"/>
      <c r="AF135" s="5"/>
      <c r="AG135" s="5"/>
      <c r="AH135" s="5"/>
    </row>
    <row r="136" spans="13:34">
      <c r="M136" s="2"/>
      <c r="O136" s="2"/>
      <c r="R136" s="2"/>
      <c r="T136" s="2"/>
      <c r="W136" s="2"/>
      <c r="Y136" s="2"/>
      <c r="Z136" s="2"/>
      <c r="AA136" s="5"/>
      <c r="AB136" s="146"/>
      <c r="AC136" s="5"/>
      <c r="AD136" s="5"/>
      <c r="AE136" s="5"/>
      <c r="AF136" s="5"/>
      <c r="AG136" s="5"/>
      <c r="AH136" s="5"/>
    </row>
    <row r="137" spans="13:34">
      <c r="M137" s="2"/>
      <c r="O137" s="2"/>
      <c r="R137" s="2"/>
      <c r="T137" s="2"/>
      <c r="W137" s="2"/>
      <c r="Y137" s="2"/>
      <c r="Z137" s="2"/>
      <c r="AA137" s="5"/>
      <c r="AB137" s="146"/>
      <c r="AC137" s="5"/>
      <c r="AD137" s="5"/>
      <c r="AE137" s="5"/>
      <c r="AF137" s="5"/>
      <c r="AG137" s="5"/>
      <c r="AH137" s="5"/>
    </row>
    <row r="138" spans="13:34">
      <c r="M138" s="2"/>
      <c r="O138" s="2"/>
      <c r="R138" s="2"/>
      <c r="T138" s="2"/>
      <c r="W138" s="2"/>
      <c r="Y138" s="2"/>
      <c r="Z138" s="2"/>
      <c r="AA138" s="5"/>
      <c r="AB138" s="146"/>
      <c r="AC138" s="5"/>
      <c r="AD138" s="5"/>
      <c r="AE138" s="5"/>
      <c r="AF138" s="5"/>
      <c r="AG138" s="5"/>
      <c r="AH138" s="5"/>
    </row>
    <row r="139" spans="13:34">
      <c r="M139" s="2"/>
      <c r="O139" s="2"/>
      <c r="R139" s="2"/>
      <c r="T139" s="2"/>
      <c r="W139" s="2"/>
      <c r="Y139" s="2"/>
      <c r="Z139" s="2"/>
      <c r="AA139" s="5"/>
      <c r="AB139" s="146"/>
      <c r="AC139" s="5"/>
      <c r="AD139" s="5"/>
      <c r="AE139" s="5"/>
      <c r="AF139" s="5"/>
      <c r="AG139" s="5"/>
      <c r="AH139" s="5"/>
    </row>
    <row r="140" spans="13:34">
      <c r="M140" s="2"/>
      <c r="O140" s="2"/>
      <c r="R140" s="2"/>
      <c r="T140" s="2"/>
      <c r="W140" s="2"/>
      <c r="Y140" s="2"/>
      <c r="Z140" s="2"/>
      <c r="AA140" s="5"/>
      <c r="AB140" s="146"/>
      <c r="AC140" s="5"/>
      <c r="AD140" s="5"/>
      <c r="AE140" s="5"/>
      <c r="AF140" s="5"/>
      <c r="AG140" s="5"/>
      <c r="AH140" s="5"/>
    </row>
    <row r="141" spans="13:34">
      <c r="M141" s="2"/>
      <c r="O141" s="2"/>
      <c r="R141" s="2"/>
      <c r="T141" s="2"/>
      <c r="W141" s="2"/>
      <c r="Y141" s="2"/>
      <c r="Z141" s="2"/>
      <c r="AA141" s="5"/>
      <c r="AB141" s="146"/>
      <c r="AC141" s="5"/>
      <c r="AD141" s="5"/>
      <c r="AE141" s="5"/>
      <c r="AF141" s="5"/>
      <c r="AG141" s="5"/>
      <c r="AH141" s="5"/>
    </row>
    <row r="142" spans="13:34">
      <c r="M142" s="2"/>
      <c r="O142" s="2"/>
      <c r="R142" s="2"/>
      <c r="T142" s="2"/>
      <c r="W142" s="2"/>
      <c r="Y142" s="2"/>
      <c r="Z142" s="2"/>
      <c r="AA142" s="5"/>
      <c r="AB142" s="146"/>
      <c r="AC142" s="5"/>
      <c r="AD142" s="5"/>
      <c r="AE142" s="5"/>
      <c r="AF142" s="5"/>
      <c r="AG142" s="5"/>
      <c r="AH142" s="5"/>
    </row>
    <row r="143" spans="13:34">
      <c r="M143" s="2"/>
      <c r="O143" s="2"/>
      <c r="R143" s="2"/>
      <c r="T143" s="2"/>
      <c r="W143" s="2"/>
      <c r="Y143" s="2"/>
      <c r="Z143" s="2"/>
      <c r="AA143" s="5"/>
      <c r="AB143" s="146"/>
      <c r="AC143" s="5"/>
      <c r="AD143" s="5"/>
      <c r="AE143" s="5"/>
      <c r="AF143" s="5"/>
      <c r="AG143" s="5"/>
      <c r="AH143" s="5"/>
    </row>
    <row r="144" spans="13:34">
      <c r="M144" s="2"/>
      <c r="O144" s="2"/>
      <c r="R144" s="2"/>
      <c r="T144" s="2"/>
      <c r="W144" s="2"/>
      <c r="Y144" s="2"/>
      <c r="Z144" s="2"/>
      <c r="AA144" s="5"/>
      <c r="AB144" s="146"/>
      <c r="AC144" s="5"/>
      <c r="AD144" s="5"/>
      <c r="AE144" s="5"/>
      <c r="AF144" s="5"/>
      <c r="AG144" s="5"/>
      <c r="AH144" s="5"/>
    </row>
    <row r="145" spans="13:34">
      <c r="M145" s="2"/>
      <c r="O145" s="2"/>
      <c r="R145" s="2"/>
      <c r="T145" s="2"/>
      <c r="W145" s="2"/>
      <c r="Y145" s="2"/>
      <c r="Z145" s="2"/>
      <c r="AA145" s="5"/>
      <c r="AB145" s="146"/>
      <c r="AC145" s="5"/>
      <c r="AD145" s="5"/>
      <c r="AE145" s="5"/>
      <c r="AF145" s="5"/>
      <c r="AG145" s="5"/>
      <c r="AH145" s="5"/>
    </row>
    <row r="146" spans="13:34">
      <c r="M146" s="2"/>
      <c r="O146" s="2"/>
      <c r="R146" s="2"/>
      <c r="T146" s="2"/>
      <c r="W146" s="2"/>
      <c r="Y146" s="2"/>
      <c r="Z146" s="2"/>
      <c r="AA146" s="5"/>
      <c r="AB146" s="146"/>
      <c r="AC146" s="5"/>
      <c r="AD146" s="5"/>
      <c r="AE146" s="5"/>
      <c r="AF146" s="5"/>
      <c r="AG146" s="5"/>
      <c r="AH146" s="5"/>
    </row>
    <row r="147" spans="13:34">
      <c r="M147" s="2"/>
      <c r="O147" s="2"/>
      <c r="R147" s="2"/>
      <c r="T147" s="2"/>
      <c r="W147" s="2"/>
      <c r="Y147" s="2"/>
      <c r="Z147" s="2"/>
      <c r="AA147" s="5"/>
      <c r="AB147" s="146"/>
      <c r="AC147" s="5"/>
      <c r="AD147" s="5"/>
      <c r="AE147" s="5"/>
      <c r="AF147" s="5"/>
      <c r="AG147" s="5"/>
      <c r="AH147" s="5"/>
    </row>
    <row r="148" spans="13:34">
      <c r="M148" s="2"/>
      <c r="O148" s="2"/>
      <c r="R148" s="2"/>
      <c r="T148" s="2"/>
      <c r="W148" s="2"/>
      <c r="Y148" s="2"/>
      <c r="Z148" s="2"/>
      <c r="AA148" s="5"/>
      <c r="AB148" s="146"/>
      <c r="AC148" s="5"/>
      <c r="AD148" s="5"/>
      <c r="AE148" s="5"/>
      <c r="AF148" s="5"/>
      <c r="AG148" s="5"/>
      <c r="AH148" s="5"/>
    </row>
    <row r="149" spans="13:34">
      <c r="M149" s="2"/>
      <c r="O149" s="2"/>
      <c r="R149" s="2"/>
      <c r="T149" s="2"/>
      <c r="W149" s="2"/>
      <c r="Y149" s="2"/>
      <c r="Z149" s="2"/>
      <c r="AA149" s="5"/>
      <c r="AB149" s="146"/>
      <c r="AC149" s="5"/>
      <c r="AD149" s="5"/>
      <c r="AE149" s="5"/>
      <c r="AF149" s="5"/>
      <c r="AG149" s="5"/>
      <c r="AH149" s="5"/>
    </row>
    <row r="150" spans="13:34">
      <c r="M150" s="2"/>
      <c r="O150" s="2"/>
      <c r="R150" s="2"/>
      <c r="T150" s="2"/>
      <c r="W150" s="2"/>
      <c r="Y150" s="2"/>
      <c r="Z150" s="2"/>
      <c r="AA150" s="5"/>
      <c r="AB150" s="146"/>
      <c r="AC150" s="5"/>
      <c r="AD150" s="5"/>
      <c r="AE150" s="5"/>
      <c r="AF150" s="5"/>
      <c r="AG150" s="5"/>
      <c r="AH150" s="5"/>
    </row>
    <row r="151" spans="13:34">
      <c r="M151" s="2"/>
      <c r="O151" s="2"/>
      <c r="R151" s="2"/>
      <c r="T151" s="2"/>
      <c r="W151" s="2"/>
      <c r="Y151" s="2"/>
      <c r="Z151" s="2"/>
      <c r="AA151" s="5"/>
      <c r="AB151" s="146"/>
      <c r="AC151" s="5"/>
      <c r="AD151" s="5"/>
      <c r="AE151" s="5"/>
      <c r="AF151" s="5"/>
      <c r="AG151" s="5"/>
      <c r="AH151" s="5"/>
    </row>
    <row r="152" spans="13:34">
      <c r="M152" s="2"/>
      <c r="O152" s="2"/>
      <c r="R152" s="2"/>
      <c r="T152" s="2"/>
      <c r="W152" s="2"/>
      <c r="Y152" s="2"/>
      <c r="Z152" s="2"/>
      <c r="AA152" s="5"/>
      <c r="AB152" s="146"/>
      <c r="AC152" s="5"/>
      <c r="AD152" s="5"/>
      <c r="AE152" s="5"/>
      <c r="AF152" s="5"/>
      <c r="AG152" s="5"/>
      <c r="AH152" s="5"/>
    </row>
    <row r="153" spans="13:34">
      <c r="M153" s="2"/>
      <c r="O153" s="2"/>
      <c r="R153" s="2"/>
      <c r="T153" s="2"/>
      <c r="W153" s="2"/>
      <c r="Y153" s="2"/>
      <c r="Z153" s="2"/>
      <c r="AA153" s="5"/>
      <c r="AB153" s="146"/>
      <c r="AC153" s="5"/>
      <c r="AD153" s="5"/>
      <c r="AE153" s="5"/>
      <c r="AF153" s="5"/>
      <c r="AG153" s="5"/>
      <c r="AH153" s="5"/>
    </row>
    <row r="154" spans="13:34">
      <c r="M154" s="2"/>
      <c r="O154" s="2"/>
      <c r="R154" s="2"/>
      <c r="T154" s="2"/>
      <c r="W154" s="2"/>
      <c r="Y154" s="2"/>
      <c r="Z154" s="2"/>
      <c r="AA154" s="5"/>
      <c r="AB154" s="146"/>
      <c r="AC154" s="5"/>
      <c r="AD154" s="5"/>
      <c r="AE154" s="5"/>
      <c r="AF154" s="5"/>
      <c r="AG154" s="5"/>
      <c r="AH154" s="5"/>
    </row>
    <row r="155" spans="13:34">
      <c r="M155" s="2"/>
      <c r="O155" s="2"/>
      <c r="R155" s="2"/>
      <c r="T155" s="2"/>
      <c r="W155" s="2"/>
      <c r="Y155" s="2"/>
      <c r="Z155" s="2"/>
      <c r="AA155" s="5"/>
      <c r="AB155" s="146"/>
      <c r="AC155" s="5"/>
      <c r="AD155" s="5"/>
      <c r="AE155" s="5"/>
      <c r="AF155" s="5"/>
      <c r="AG155" s="5"/>
      <c r="AH155" s="5"/>
    </row>
    <row r="156" spans="13:34">
      <c r="M156" s="2"/>
      <c r="O156" s="2"/>
      <c r="R156" s="2"/>
      <c r="T156" s="2"/>
      <c r="W156" s="2"/>
      <c r="Y156" s="2"/>
      <c r="Z156" s="2"/>
      <c r="AA156" s="5"/>
      <c r="AB156" s="146"/>
      <c r="AC156" s="5"/>
      <c r="AD156" s="5"/>
      <c r="AE156" s="5"/>
      <c r="AF156" s="5"/>
      <c r="AG156" s="5"/>
      <c r="AH156" s="5"/>
    </row>
    <row r="157" spans="13:34">
      <c r="M157" s="2"/>
      <c r="O157" s="2"/>
      <c r="R157" s="2"/>
      <c r="T157" s="2"/>
      <c r="W157" s="2"/>
      <c r="Y157" s="2"/>
      <c r="Z157" s="2"/>
      <c r="AA157" s="5"/>
      <c r="AB157" s="146"/>
      <c r="AC157" s="5"/>
      <c r="AD157" s="5"/>
      <c r="AE157" s="5"/>
      <c r="AF157" s="5"/>
      <c r="AG157" s="5"/>
      <c r="AH157" s="5"/>
    </row>
    <row r="158" spans="13:34">
      <c r="M158" s="2"/>
      <c r="O158" s="2"/>
      <c r="R158" s="2"/>
      <c r="T158" s="2"/>
      <c r="W158" s="2"/>
      <c r="Y158" s="2"/>
      <c r="Z158" s="2"/>
      <c r="AA158" s="5"/>
      <c r="AB158" s="146"/>
      <c r="AC158" s="5"/>
      <c r="AD158" s="5"/>
      <c r="AE158" s="5"/>
      <c r="AF158" s="5"/>
      <c r="AG158" s="5"/>
      <c r="AH158" s="5"/>
    </row>
    <row r="159" spans="13:34">
      <c r="M159" s="2"/>
      <c r="O159" s="2"/>
      <c r="R159" s="2"/>
      <c r="T159" s="2"/>
      <c r="W159" s="2"/>
      <c r="Y159" s="2"/>
      <c r="Z159" s="2"/>
      <c r="AA159" s="5"/>
      <c r="AB159" s="146"/>
      <c r="AC159" s="5"/>
      <c r="AD159" s="5"/>
      <c r="AE159" s="5"/>
      <c r="AF159" s="5"/>
      <c r="AG159" s="5"/>
      <c r="AH159" s="5"/>
    </row>
    <row r="160" spans="13:34">
      <c r="M160" s="2"/>
      <c r="O160" s="2"/>
      <c r="R160" s="2"/>
      <c r="T160" s="2"/>
      <c r="W160" s="2"/>
      <c r="Y160" s="2"/>
      <c r="Z160" s="2"/>
      <c r="AA160" s="5"/>
      <c r="AB160" s="146"/>
      <c r="AC160" s="5"/>
      <c r="AD160" s="5"/>
      <c r="AE160" s="5"/>
      <c r="AF160" s="5"/>
      <c r="AG160" s="5"/>
      <c r="AH160" s="5"/>
    </row>
    <row r="161" spans="13:34">
      <c r="M161" s="2"/>
      <c r="O161" s="2"/>
      <c r="R161" s="2"/>
      <c r="T161" s="2"/>
      <c r="W161" s="2"/>
      <c r="Y161" s="2"/>
      <c r="Z161" s="2"/>
      <c r="AA161" s="5"/>
      <c r="AB161" s="146"/>
      <c r="AC161" s="5"/>
      <c r="AD161" s="5"/>
      <c r="AE161" s="5"/>
      <c r="AF161" s="5"/>
      <c r="AG161" s="5"/>
      <c r="AH161" s="5"/>
    </row>
    <row r="162" spans="13:34">
      <c r="M162" s="2"/>
      <c r="O162" s="2"/>
      <c r="R162" s="2"/>
      <c r="T162" s="2"/>
      <c r="W162" s="2"/>
      <c r="Y162" s="2"/>
      <c r="Z162" s="2"/>
      <c r="AA162" s="5"/>
      <c r="AB162" s="146"/>
      <c r="AC162" s="5"/>
      <c r="AD162" s="5"/>
      <c r="AE162" s="5"/>
      <c r="AF162" s="5"/>
      <c r="AG162" s="5"/>
      <c r="AH162" s="5"/>
    </row>
    <row r="163" spans="13:34">
      <c r="M163" s="2"/>
      <c r="O163" s="2"/>
      <c r="R163" s="2"/>
      <c r="T163" s="2"/>
      <c r="W163" s="2"/>
      <c r="Y163" s="2"/>
      <c r="Z163" s="2"/>
      <c r="AA163" s="5"/>
      <c r="AB163" s="146"/>
      <c r="AC163" s="5"/>
      <c r="AD163" s="5"/>
      <c r="AE163" s="5"/>
      <c r="AF163" s="5"/>
      <c r="AG163" s="5"/>
      <c r="AH163" s="5"/>
    </row>
    <row r="164" spans="13:34">
      <c r="M164" s="2"/>
      <c r="O164" s="2"/>
      <c r="R164" s="2"/>
      <c r="T164" s="2"/>
      <c r="W164" s="2"/>
      <c r="Y164" s="2"/>
      <c r="Z164" s="2"/>
      <c r="AA164" s="5"/>
      <c r="AB164" s="146"/>
      <c r="AC164" s="5"/>
      <c r="AD164" s="5"/>
      <c r="AE164" s="5"/>
      <c r="AF164" s="5"/>
      <c r="AG164" s="5"/>
      <c r="AH164" s="5"/>
    </row>
    <row r="165" spans="13:34">
      <c r="M165" s="2"/>
      <c r="O165" s="2"/>
      <c r="R165" s="2"/>
      <c r="T165" s="2"/>
      <c r="W165" s="2"/>
      <c r="Y165" s="2"/>
      <c r="Z165" s="2"/>
      <c r="AA165" s="5"/>
      <c r="AB165" s="146"/>
      <c r="AC165" s="5"/>
      <c r="AD165" s="5"/>
      <c r="AE165" s="5"/>
      <c r="AF165" s="5"/>
      <c r="AG165" s="5"/>
      <c r="AH165" s="5"/>
    </row>
    <row r="166" spans="13:34">
      <c r="M166" s="2"/>
      <c r="O166" s="2"/>
      <c r="R166" s="2"/>
      <c r="T166" s="2"/>
      <c r="W166" s="2"/>
      <c r="Y166" s="2"/>
      <c r="Z166" s="2"/>
      <c r="AA166" s="5"/>
      <c r="AB166" s="146"/>
      <c r="AC166" s="5"/>
      <c r="AD166" s="5"/>
      <c r="AE166" s="5"/>
      <c r="AF166" s="5"/>
      <c r="AG166" s="5"/>
      <c r="AH166" s="5"/>
    </row>
    <row r="167" spans="13:34">
      <c r="M167" s="2"/>
      <c r="O167" s="2"/>
      <c r="R167" s="2"/>
      <c r="T167" s="2"/>
      <c r="W167" s="2"/>
      <c r="Y167" s="2"/>
      <c r="Z167" s="2"/>
      <c r="AA167" s="5"/>
      <c r="AB167" s="146"/>
      <c r="AC167" s="5"/>
      <c r="AD167" s="5"/>
      <c r="AE167" s="5"/>
      <c r="AF167" s="5"/>
      <c r="AG167" s="5"/>
      <c r="AH167" s="5"/>
    </row>
    <row r="168" spans="13:34">
      <c r="M168" s="2"/>
      <c r="O168" s="2"/>
      <c r="R168" s="2"/>
      <c r="T168" s="2"/>
      <c r="W168" s="2"/>
      <c r="Y168" s="2"/>
      <c r="Z168" s="2"/>
      <c r="AA168" s="5"/>
      <c r="AB168" s="146"/>
      <c r="AC168" s="5"/>
      <c r="AD168" s="5"/>
      <c r="AE168" s="5"/>
      <c r="AF168" s="5"/>
      <c r="AG168" s="5"/>
      <c r="AH168" s="5"/>
    </row>
    <row r="169" spans="13:34">
      <c r="M169" s="2"/>
      <c r="O169" s="2"/>
      <c r="R169" s="2"/>
      <c r="T169" s="2"/>
      <c r="W169" s="2"/>
      <c r="Y169" s="2"/>
      <c r="Z169" s="2"/>
      <c r="AA169" s="5"/>
      <c r="AB169" s="146"/>
      <c r="AC169" s="5"/>
      <c r="AD169" s="5"/>
      <c r="AE169" s="5"/>
      <c r="AF169" s="5"/>
      <c r="AG169" s="5"/>
      <c r="AH169" s="5"/>
    </row>
    <row r="170" spans="13:34">
      <c r="M170" s="2"/>
      <c r="O170" s="2"/>
      <c r="R170" s="2"/>
      <c r="T170" s="2"/>
      <c r="W170" s="2"/>
      <c r="Y170" s="2"/>
      <c r="Z170" s="2"/>
      <c r="AA170" s="5"/>
      <c r="AB170" s="146"/>
      <c r="AC170" s="5"/>
      <c r="AD170" s="5"/>
      <c r="AE170" s="5"/>
      <c r="AF170" s="5"/>
      <c r="AG170" s="5"/>
      <c r="AH170" s="5"/>
    </row>
    <row r="171" spans="13:34">
      <c r="M171" s="2"/>
      <c r="O171" s="2"/>
      <c r="R171" s="2"/>
      <c r="T171" s="2"/>
      <c r="W171" s="2"/>
      <c r="Y171" s="2"/>
      <c r="Z171" s="2"/>
      <c r="AA171" s="5"/>
      <c r="AB171" s="146"/>
      <c r="AC171" s="5"/>
      <c r="AD171" s="5"/>
      <c r="AE171" s="5"/>
      <c r="AF171" s="5"/>
      <c r="AG171" s="5"/>
      <c r="AH171" s="5"/>
    </row>
    <row r="172" spans="13:34">
      <c r="M172" s="2"/>
      <c r="O172" s="2"/>
      <c r="R172" s="2"/>
      <c r="T172" s="2"/>
      <c r="W172" s="2"/>
      <c r="Y172" s="2"/>
      <c r="Z172" s="2"/>
      <c r="AA172" s="5"/>
      <c r="AB172" s="146"/>
      <c r="AC172" s="5"/>
      <c r="AD172" s="5"/>
      <c r="AE172" s="5"/>
      <c r="AF172" s="5"/>
      <c r="AG172" s="5"/>
      <c r="AH172" s="5"/>
    </row>
    <row r="173" spans="13:34">
      <c r="M173" s="2"/>
      <c r="O173" s="2"/>
      <c r="R173" s="2"/>
      <c r="T173" s="2"/>
      <c r="W173" s="2"/>
      <c r="Y173" s="2"/>
      <c r="Z173" s="2"/>
      <c r="AA173" s="5"/>
      <c r="AB173" s="146"/>
      <c r="AC173" s="5"/>
      <c r="AD173" s="5"/>
      <c r="AE173" s="5"/>
      <c r="AF173" s="5"/>
      <c r="AG173" s="5"/>
      <c r="AH173" s="5"/>
    </row>
    <row r="174" spans="13:34">
      <c r="M174" s="2"/>
      <c r="O174" s="2"/>
      <c r="R174" s="2"/>
      <c r="T174" s="2"/>
      <c r="W174" s="2"/>
      <c r="Y174" s="2"/>
      <c r="Z174" s="2"/>
      <c r="AA174" s="5"/>
      <c r="AB174" s="146"/>
      <c r="AC174" s="5"/>
      <c r="AD174" s="5"/>
      <c r="AE174" s="5"/>
      <c r="AF174" s="5"/>
      <c r="AG174" s="5"/>
      <c r="AH174" s="5"/>
    </row>
    <row r="175" spans="13:34">
      <c r="M175" s="2"/>
      <c r="O175" s="2"/>
      <c r="R175" s="2"/>
      <c r="T175" s="2"/>
      <c r="W175" s="2"/>
      <c r="Y175" s="2"/>
      <c r="Z175" s="2"/>
      <c r="AA175" s="5"/>
      <c r="AB175" s="146"/>
      <c r="AC175" s="5"/>
      <c r="AD175" s="5"/>
      <c r="AE175" s="5"/>
      <c r="AF175" s="5"/>
      <c r="AG175" s="5"/>
      <c r="AH175" s="5"/>
    </row>
    <row r="176" spans="13:34">
      <c r="M176" s="2"/>
      <c r="O176" s="2"/>
      <c r="R176" s="2"/>
      <c r="T176" s="2"/>
      <c r="W176" s="2"/>
      <c r="Y176" s="2"/>
      <c r="Z176" s="2"/>
      <c r="AA176" s="5"/>
      <c r="AB176" s="146"/>
      <c r="AC176" s="5"/>
      <c r="AD176" s="5"/>
      <c r="AE176" s="5"/>
      <c r="AF176" s="5"/>
      <c r="AG176" s="5"/>
      <c r="AH176" s="5"/>
    </row>
    <row r="177" spans="13:34">
      <c r="M177" s="2"/>
      <c r="O177" s="2"/>
      <c r="R177" s="2"/>
      <c r="T177" s="2"/>
      <c r="W177" s="2"/>
      <c r="Y177" s="2"/>
      <c r="Z177" s="2"/>
      <c r="AA177" s="5"/>
      <c r="AB177" s="146"/>
      <c r="AC177" s="5"/>
      <c r="AD177" s="5"/>
      <c r="AE177" s="5"/>
      <c r="AF177" s="5"/>
      <c r="AG177" s="5"/>
      <c r="AH177" s="5"/>
    </row>
    <row r="178" spans="13:34">
      <c r="M178" s="2"/>
      <c r="O178" s="2"/>
      <c r="R178" s="2"/>
      <c r="T178" s="2"/>
      <c r="W178" s="2"/>
      <c r="Y178" s="2"/>
      <c r="Z178" s="2"/>
      <c r="AA178" s="5"/>
      <c r="AB178" s="146"/>
      <c r="AC178" s="5"/>
      <c r="AD178" s="5"/>
      <c r="AE178" s="5"/>
      <c r="AF178" s="5"/>
      <c r="AG178" s="5"/>
      <c r="AH178" s="5"/>
    </row>
    <row r="179" spans="13:34">
      <c r="M179" s="2"/>
      <c r="O179" s="2"/>
      <c r="R179" s="2"/>
      <c r="T179" s="2"/>
      <c r="W179" s="2"/>
      <c r="Y179" s="2"/>
      <c r="Z179" s="2"/>
      <c r="AA179" s="5"/>
      <c r="AB179" s="146"/>
      <c r="AC179" s="5"/>
      <c r="AD179" s="5"/>
      <c r="AE179" s="5"/>
      <c r="AF179" s="5"/>
      <c r="AG179" s="5"/>
      <c r="AH179" s="5"/>
    </row>
    <row r="180" spans="13:34">
      <c r="M180" s="2"/>
      <c r="O180" s="2"/>
      <c r="R180" s="2"/>
      <c r="T180" s="2"/>
      <c r="W180" s="2"/>
      <c r="Y180" s="2"/>
      <c r="Z180" s="2"/>
      <c r="AA180" s="5"/>
      <c r="AB180" s="146"/>
      <c r="AC180" s="5"/>
      <c r="AD180" s="5"/>
      <c r="AE180" s="5"/>
      <c r="AF180" s="5"/>
      <c r="AG180" s="5"/>
      <c r="AH180" s="5"/>
    </row>
    <row r="181" spans="13:34">
      <c r="M181" s="2"/>
      <c r="O181" s="2"/>
      <c r="R181" s="2"/>
      <c r="T181" s="2"/>
      <c r="W181" s="2"/>
      <c r="Y181" s="2"/>
      <c r="Z181" s="2"/>
      <c r="AA181" s="5"/>
      <c r="AB181" s="146"/>
      <c r="AC181" s="5"/>
      <c r="AD181" s="5"/>
      <c r="AE181" s="5"/>
      <c r="AF181" s="5"/>
      <c r="AG181" s="5"/>
      <c r="AH181" s="5"/>
    </row>
    <row r="182" spans="13:34">
      <c r="M182" s="2"/>
      <c r="O182" s="2"/>
      <c r="R182" s="2"/>
      <c r="T182" s="2"/>
      <c r="W182" s="2"/>
      <c r="Y182" s="2"/>
      <c r="Z182" s="2"/>
      <c r="AA182" s="5"/>
      <c r="AB182" s="146"/>
      <c r="AC182" s="5"/>
      <c r="AD182" s="5"/>
      <c r="AE182" s="5"/>
      <c r="AF182" s="5"/>
      <c r="AG182" s="5"/>
      <c r="AH182" s="5"/>
    </row>
    <row r="183" spans="13:34">
      <c r="M183" s="2"/>
      <c r="O183" s="2"/>
      <c r="R183" s="2"/>
      <c r="T183" s="2"/>
      <c r="W183" s="2"/>
      <c r="Y183" s="2"/>
      <c r="Z183" s="2"/>
      <c r="AA183" s="5"/>
      <c r="AB183" s="146"/>
      <c r="AC183" s="5"/>
      <c r="AD183" s="5"/>
      <c r="AE183" s="5"/>
      <c r="AF183" s="5"/>
      <c r="AG183" s="5"/>
      <c r="AH183" s="5"/>
    </row>
    <row r="184" spans="13:34">
      <c r="M184" s="2"/>
      <c r="O184" s="2"/>
      <c r="R184" s="2"/>
      <c r="T184" s="2"/>
      <c r="W184" s="2"/>
      <c r="Y184" s="2"/>
      <c r="Z184" s="2"/>
      <c r="AA184" s="5"/>
      <c r="AB184" s="146"/>
      <c r="AC184" s="5"/>
      <c r="AD184" s="5"/>
      <c r="AE184" s="5"/>
      <c r="AF184" s="5"/>
      <c r="AG184" s="5"/>
      <c r="AH184" s="5"/>
    </row>
    <row r="185" spans="13:34">
      <c r="M185" s="2"/>
      <c r="O185" s="2"/>
      <c r="R185" s="2"/>
      <c r="T185" s="2"/>
      <c r="W185" s="2"/>
      <c r="Y185" s="2"/>
      <c r="Z185" s="2"/>
      <c r="AA185" s="5"/>
      <c r="AB185" s="146"/>
      <c r="AC185" s="5"/>
      <c r="AD185" s="5"/>
      <c r="AE185" s="5"/>
      <c r="AF185" s="5"/>
      <c r="AG185" s="5"/>
      <c r="AH185" s="5"/>
    </row>
    <row r="186" spans="13:34">
      <c r="M186" s="2"/>
      <c r="O186" s="2"/>
      <c r="R186" s="2"/>
      <c r="T186" s="2"/>
      <c r="W186" s="2"/>
      <c r="Y186" s="2"/>
      <c r="Z186" s="2"/>
      <c r="AA186" s="5"/>
      <c r="AB186" s="146"/>
      <c r="AC186" s="5"/>
      <c r="AD186" s="5"/>
      <c r="AE186" s="5"/>
      <c r="AF186" s="5"/>
      <c r="AG186" s="5"/>
      <c r="AH186" s="5"/>
    </row>
    <row r="187" spans="13:34">
      <c r="M187" s="2"/>
      <c r="O187" s="2"/>
      <c r="R187" s="2"/>
      <c r="T187" s="2"/>
      <c r="W187" s="2"/>
      <c r="Y187" s="2"/>
      <c r="Z187" s="2"/>
      <c r="AA187" s="5"/>
      <c r="AB187" s="146"/>
      <c r="AC187" s="5"/>
      <c r="AD187" s="5"/>
      <c r="AE187" s="5"/>
      <c r="AF187" s="5"/>
      <c r="AG187" s="5"/>
      <c r="AH187" s="5"/>
    </row>
    <row r="188" spans="13:34">
      <c r="M188" s="2"/>
      <c r="O188" s="2"/>
      <c r="R188" s="2"/>
      <c r="T188" s="2"/>
      <c r="W188" s="2"/>
      <c r="Y188" s="2"/>
      <c r="Z188" s="2"/>
      <c r="AA188" s="5"/>
      <c r="AB188" s="146"/>
      <c r="AC188" s="5"/>
      <c r="AD188" s="5"/>
      <c r="AE188" s="5"/>
      <c r="AF188" s="5"/>
      <c r="AG188" s="5"/>
      <c r="AH188" s="5"/>
    </row>
    <row r="189" spans="13:34">
      <c r="M189" s="2"/>
      <c r="O189" s="2"/>
      <c r="R189" s="2"/>
      <c r="T189" s="2"/>
      <c r="W189" s="2"/>
      <c r="Y189" s="2"/>
      <c r="Z189" s="2"/>
      <c r="AA189" s="5"/>
      <c r="AB189" s="146"/>
      <c r="AC189" s="5"/>
      <c r="AD189" s="5"/>
      <c r="AE189" s="5"/>
      <c r="AF189" s="5"/>
      <c r="AG189" s="5"/>
      <c r="AH189" s="5"/>
    </row>
    <row r="190" spans="13:34">
      <c r="M190" s="2"/>
      <c r="O190" s="2"/>
      <c r="R190" s="2"/>
      <c r="T190" s="2"/>
      <c r="W190" s="2"/>
      <c r="Y190" s="2"/>
      <c r="Z190" s="2"/>
      <c r="AA190" s="5"/>
      <c r="AB190" s="146"/>
      <c r="AC190" s="5"/>
      <c r="AD190" s="5"/>
      <c r="AE190" s="5"/>
      <c r="AF190" s="5"/>
      <c r="AG190" s="5"/>
      <c r="AH190" s="5"/>
    </row>
    <row r="191" spans="13:34">
      <c r="M191" s="2"/>
      <c r="O191" s="2"/>
      <c r="R191" s="2"/>
      <c r="T191" s="2"/>
      <c r="W191" s="2"/>
      <c r="Y191" s="2"/>
      <c r="Z191" s="2"/>
      <c r="AA191" s="5"/>
      <c r="AB191" s="146"/>
      <c r="AC191" s="5"/>
      <c r="AD191" s="5"/>
      <c r="AE191" s="5"/>
      <c r="AF191" s="5"/>
      <c r="AG191" s="5"/>
      <c r="AH191" s="5"/>
    </row>
    <row r="192" spans="13:34">
      <c r="M192" s="2"/>
      <c r="O192" s="2"/>
      <c r="R192" s="2"/>
      <c r="T192" s="2"/>
      <c r="W192" s="2"/>
      <c r="Y192" s="2"/>
      <c r="Z192" s="2"/>
      <c r="AA192" s="5"/>
      <c r="AB192" s="146"/>
      <c r="AC192" s="5"/>
      <c r="AD192" s="5"/>
      <c r="AE192" s="5"/>
      <c r="AF192" s="5"/>
      <c r="AG192" s="5"/>
      <c r="AH192" s="5"/>
    </row>
    <row r="193" spans="13:34">
      <c r="M193" s="2"/>
      <c r="O193" s="2"/>
      <c r="R193" s="2"/>
      <c r="T193" s="2"/>
      <c r="W193" s="2"/>
      <c r="Y193" s="2"/>
      <c r="Z193" s="2"/>
      <c r="AA193" s="5"/>
      <c r="AB193" s="146"/>
      <c r="AC193" s="5"/>
      <c r="AD193" s="5"/>
      <c r="AE193" s="5"/>
      <c r="AF193" s="5"/>
      <c r="AG193" s="5"/>
      <c r="AH193" s="5"/>
    </row>
    <row r="194" spans="13:34">
      <c r="M194" s="2"/>
      <c r="O194" s="2"/>
      <c r="R194" s="2"/>
      <c r="T194" s="2"/>
      <c r="W194" s="2"/>
      <c r="Y194" s="2"/>
      <c r="Z194" s="2"/>
      <c r="AA194" s="5"/>
      <c r="AB194" s="146"/>
      <c r="AC194" s="5"/>
      <c r="AD194" s="5"/>
      <c r="AE194" s="5"/>
      <c r="AF194" s="5"/>
      <c r="AG194" s="5"/>
      <c r="AH194" s="5"/>
    </row>
    <row r="195" spans="13:34">
      <c r="M195" s="2"/>
      <c r="O195" s="2"/>
      <c r="R195" s="2"/>
      <c r="T195" s="2"/>
      <c r="W195" s="2"/>
      <c r="Y195" s="2"/>
      <c r="Z195" s="2"/>
      <c r="AA195" s="5"/>
      <c r="AB195" s="146"/>
      <c r="AC195" s="5"/>
      <c r="AD195" s="5"/>
      <c r="AE195" s="5"/>
      <c r="AF195" s="5"/>
      <c r="AG195" s="5"/>
      <c r="AH195" s="5"/>
    </row>
    <row r="196" spans="13:34">
      <c r="M196" s="2"/>
      <c r="O196" s="2"/>
      <c r="R196" s="2"/>
      <c r="T196" s="2"/>
      <c r="W196" s="2"/>
      <c r="Y196" s="2"/>
      <c r="Z196" s="2"/>
      <c r="AA196" s="5"/>
      <c r="AB196" s="146"/>
      <c r="AC196" s="5"/>
      <c r="AD196" s="5"/>
      <c r="AE196" s="5"/>
      <c r="AF196" s="5"/>
      <c r="AG196" s="5"/>
      <c r="AH196" s="5"/>
    </row>
    <row r="197" spans="13:34">
      <c r="M197" s="2"/>
      <c r="O197" s="2"/>
      <c r="R197" s="2"/>
      <c r="T197" s="2"/>
      <c r="W197" s="2"/>
      <c r="Y197" s="2"/>
      <c r="Z197" s="2"/>
      <c r="AA197" s="5"/>
      <c r="AB197" s="146"/>
      <c r="AC197" s="5"/>
      <c r="AD197" s="5"/>
      <c r="AE197" s="5"/>
      <c r="AF197" s="5"/>
      <c r="AG197" s="5"/>
      <c r="AH197" s="5"/>
    </row>
    <row r="198" spans="13:34">
      <c r="M198" s="2"/>
      <c r="O198" s="2"/>
      <c r="R198" s="2"/>
      <c r="T198" s="2"/>
      <c r="W198" s="2"/>
      <c r="Y198" s="2"/>
      <c r="Z198" s="2"/>
      <c r="AA198" s="5"/>
      <c r="AB198" s="146"/>
      <c r="AC198" s="5"/>
      <c r="AD198" s="5"/>
      <c r="AE198" s="5"/>
      <c r="AF198" s="5"/>
      <c r="AG198" s="5"/>
      <c r="AH198" s="5"/>
    </row>
    <row r="199" spans="13:34">
      <c r="M199" s="2"/>
      <c r="O199" s="2"/>
      <c r="R199" s="2"/>
      <c r="T199" s="2"/>
      <c r="W199" s="2"/>
      <c r="Y199" s="2"/>
      <c r="Z199" s="2"/>
      <c r="AA199" s="5"/>
      <c r="AB199" s="146"/>
      <c r="AC199" s="5"/>
      <c r="AD199" s="5"/>
      <c r="AE199" s="5"/>
      <c r="AF199" s="5"/>
      <c r="AG199" s="5"/>
      <c r="AH199" s="5"/>
    </row>
    <row r="200" spans="13:34">
      <c r="M200" s="2"/>
      <c r="O200" s="2"/>
      <c r="R200" s="2"/>
      <c r="T200" s="2"/>
      <c r="W200" s="2"/>
      <c r="Y200" s="2"/>
      <c r="Z200" s="2"/>
      <c r="AA200" s="5"/>
      <c r="AB200" s="146"/>
      <c r="AC200" s="5"/>
      <c r="AD200" s="5"/>
      <c r="AE200" s="5"/>
      <c r="AF200" s="5"/>
      <c r="AG200" s="5"/>
      <c r="AH200" s="5"/>
    </row>
    <row r="201" spans="13:34">
      <c r="M201" s="2"/>
      <c r="O201" s="2"/>
      <c r="R201" s="2"/>
      <c r="T201" s="2"/>
      <c r="W201" s="2"/>
      <c r="Y201" s="2"/>
      <c r="Z201" s="2"/>
      <c r="AA201" s="5"/>
      <c r="AB201" s="146"/>
      <c r="AC201" s="5"/>
      <c r="AD201" s="5"/>
      <c r="AE201" s="5"/>
      <c r="AF201" s="5"/>
      <c r="AG201" s="5"/>
      <c r="AH201" s="5"/>
    </row>
    <row r="202" spans="13:34">
      <c r="M202" s="2"/>
      <c r="O202" s="2"/>
      <c r="R202" s="2"/>
      <c r="T202" s="2"/>
      <c r="W202" s="2"/>
      <c r="Y202" s="2"/>
      <c r="Z202" s="2"/>
      <c r="AA202" s="5"/>
      <c r="AB202" s="146"/>
      <c r="AC202" s="5"/>
      <c r="AD202" s="5"/>
      <c r="AE202" s="5"/>
      <c r="AF202" s="5"/>
      <c r="AG202" s="5"/>
      <c r="AH202" s="5"/>
    </row>
    <row r="203" spans="13:34">
      <c r="M203" s="2"/>
      <c r="O203" s="2"/>
      <c r="R203" s="2"/>
      <c r="T203" s="2"/>
      <c r="W203" s="2"/>
      <c r="Y203" s="2"/>
      <c r="Z203" s="2"/>
      <c r="AA203" s="5"/>
      <c r="AB203" s="146"/>
      <c r="AC203" s="5"/>
      <c r="AD203" s="5"/>
      <c r="AE203" s="5"/>
      <c r="AF203" s="5"/>
      <c r="AG203" s="5"/>
      <c r="AH203" s="5"/>
    </row>
    <row r="204" spans="13:34">
      <c r="M204" s="2"/>
      <c r="O204" s="2"/>
      <c r="R204" s="2"/>
      <c r="T204" s="2"/>
      <c r="W204" s="2"/>
      <c r="Y204" s="2"/>
      <c r="Z204" s="2"/>
      <c r="AA204" s="5"/>
      <c r="AB204" s="146"/>
      <c r="AC204" s="5"/>
      <c r="AD204" s="5"/>
      <c r="AE204" s="5"/>
      <c r="AF204" s="5"/>
      <c r="AG204" s="5"/>
      <c r="AH204" s="5"/>
    </row>
    <row r="205" spans="13:34">
      <c r="M205" s="2"/>
      <c r="O205" s="2"/>
      <c r="R205" s="2"/>
      <c r="T205" s="2"/>
      <c r="W205" s="2"/>
      <c r="Y205" s="2"/>
      <c r="Z205" s="2"/>
      <c r="AA205" s="5"/>
      <c r="AB205" s="146"/>
      <c r="AC205" s="5"/>
      <c r="AD205" s="5"/>
      <c r="AE205" s="5"/>
      <c r="AF205" s="5"/>
      <c r="AG205" s="5"/>
      <c r="AH205" s="5"/>
    </row>
    <row r="206" spans="13:34">
      <c r="M206" s="2"/>
      <c r="O206" s="2"/>
      <c r="R206" s="2"/>
      <c r="T206" s="2"/>
      <c r="W206" s="2"/>
      <c r="Y206" s="2"/>
      <c r="Z206" s="2"/>
      <c r="AA206" s="5"/>
      <c r="AB206" s="146"/>
      <c r="AC206" s="5"/>
      <c r="AD206" s="5"/>
      <c r="AE206" s="5"/>
      <c r="AF206" s="5"/>
      <c r="AG206" s="5"/>
      <c r="AH206" s="5"/>
    </row>
    <row r="207" spans="13:34">
      <c r="M207" s="2"/>
      <c r="O207" s="2"/>
      <c r="R207" s="2"/>
      <c r="T207" s="2"/>
      <c r="W207" s="2"/>
      <c r="Y207" s="2"/>
      <c r="Z207" s="2"/>
      <c r="AA207" s="5"/>
      <c r="AB207" s="146"/>
      <c r="AC207" s="5"/>
      <c r="AD207" s="5"/>
      <c r="AE207" s="5"/>
      <c r="AF207" s="5"/>
      <c r="AG207" s="5"/>
      <c r="AH207" s="5"/>
    </row>
    <row r="208" spans="13:34">
      <c r="M208" s="2"/>
      <c r="O208" s="2"/>
      <c r="R208" s="2"/>
      <c r="T208" s="2"/>
      <c r="W208" s="2"/>
      <c r="Y208" s="2"/>
      <c r="Z208" s="2"/>
      <c r="AA208" s="5"/>
      <c r="AB208" s="146"/>
      <c r="AC208" s="5"/>
      <c r="AD208" s="5"/>
      <c r="AE208" s="5"/>
      <c r="AF208" s="5"/>
      <c r="AG208" s="5"/>
      <c r="AH208" s="5"/>
    </row>
    <row r="209" spans="13:34">
      <c r="M209" s="2"/>
      <c r="O209" s="2"/>
      <c r="R209" s="2"/>
      <c r="T209" s="2"/>
      <c r="W209" s="2"/>
      <c r="Y209" s="2"/>
      <c r="Z209" s="2"/>
      <c r="AA209" s="5"/>
      <c r="AB209" s="146"/>
      <c r="AC209" s="5"/>
      <c r="AD209" s="5"/>
      <c r="AE209" s="5"/>
      <c r="AF209" s="5"/>
      <c r="AG209" s="5"/>
      <c r="AH209" s="5"/>
    </row>
    <row r="210" spans="13:34">
      <c r="M210" s="2"/>
      <c r="O210" s="2"/>
      <c r="R210" s="2"/>
      <c r="T210" s="2"/>
      <c r="W210" s="2"/>
      <c r="Y210" s="2"/>
      <c r="Z210" s="2"/>
      <c r="AA210" s="5"/>
      <c r="AB210" s="146"/>
      <c r="AC210" s="5"/>
      <c r="AD210" s="5"/>
      <c r="AE210" s="5"/>
      <c r="AF210" s="5"/>
      <c r="AG210" s="5"/>
      <c r="AH210" s="5"/>
    </row>
    <row r="211" spans="13:34">
      <c r="M211" s="2"/>
      <c r="O211" s="2"/>
      <c r="R211" s="2"/>
      <c r="T211" s="2"/>
      <c r="W211" s="2"/>
      <c r="Y211" s="2"/>
      <c r="Z211" s="2"/>
      <c r="AA211" s="5"/>
      <c r="AB211" s="146"/>
      <c r="AC211" s="5"/>
      <c r="AD211" s="5"/>
      <c r="AE211" s="5"/>
      <c r="AF211" s="5"/>
      <c r="AG211" s="5"/>
      <c r="AH211" s="5"/>
    </row>
    <row r="212" spans="13:34">
      <c r="M212" s="2"/>
      <c r="O212" s="2"/>
      <c r="R212" s="2"/>
      <c r="T212" s="2"/>
      <c r="W212" s="2"/>
      <c r="Y212" s="2"/>
      <c r="Z212" s="2"/>
      <c r="AA212" s="5"/>
      <c r="AB212" s="146"/>
      <c r="AC212" s="5"/>
      <c r="AD212" s="5"/>
      <c r="AE212" s="5"/>
      <c r="AF212" s="5"/>
      <c r="AG212" s="5"/>
      <c r="AH212" s="5"/>
    </row>
    <row r="213" spans="13:34">
      <c r="M213" s="2"/>
      <c r="O213" s="2"/>
      <c r="R213" s="2"/>
      <c r="T213" s="2"/>
      <c r="W213" s="2"/>
      <c r="Y213" s="2"/>
      <c r="Z213" s="2"/>
      <c r="AA213" s="5"/>
      <c r="AB213" s="146"/>
      <c r="AC213" s="5"/>
      <c r="AD213" s="5"/>
      <c r="AE213" s="5"/>
      <c r="AF213" s="5"/>
      <c r="AG213" s="5"/>
      <c r="AH213" s="5"/>
    </row>
    <row r="214" spans="13:34">
      <c r="M214" s="2"/>
      <c r="O214" s="2"/>
      <c r="R214" s="2"/>
      <c r="T214" s="2"/>
      <c r="W214" s="2"/>
      <c r="Y214" s="2"/>
      <c r="Z214" s="2"/>
      <c r="AA214" s="5"/>
      <c r="AB214" s="146"/>
      <c r="AC214" s="5"/>
      <c r="AD214" s="5"/>
      <c r="AE214" s="5"/>
      <c r="AF214" s="5"/>
      <c r="AG214" s="5"/>
      <c r="AH214" s="5"/>
    </row>
    <row r="215" spans="13:34">
      <c r="M215" s="2"/>
      <c r="O215" s="2"/>
      <c r="R215" s="2"/>
      <c r="T215" s="2"/>
      <c r="W215" s="2"/>
      <c r="Y215" s="2"/>
      <c r="Z215" s="2"/>
      <c r="AA215" s="5"/>
      <c r="AB215" s="146"/>
      <c r="AC215" s="5"/>
      <c r="AD215" s="5"/>
      <c r="AE215" s="5"/>
      <c r="AF215" s="5"/>
      <c r="AG215" s="5"/>
      <c r="AH215" s="5"/>
    </row>
    <row r="216" spans="13:34">
      <c r="M216" s="2"/>
      <c r="O216" s="2"/>
      <c r="R216" s="2"/>
      <c r="T216" s="2"/>
      <c r="W216" s="2"/>
      <c r="Y216" s="2"/>
      <c r="Z216" s="2"/>
      <c r="AA216" s="5"/>
      <c r="AB216" s="146"/>
      <c r="AC216" s="5"/>
      <c r="AD216" s="5"/>
      <c r="AE216" s="5"/>
      <c r="AF216" s="5"/>
      <c r="AG216" s="5"/>
      <c r="AH216" s="5"/>
    </row>
    <row r="217" spans="13:34">
      <c r="M217" s="2"/>
      <c r="O217" s="2"/>
      <c r="R217" s="2"/>
      <c r="T217" s="2"/>
      <c r="W217" s="2"/>
      <c r="Y217" s="2"/>
      <c r="Z217" s="2"/>
      <c r="AA217" s="5"/>
      <c r="AB217" s="146"/>
      <c r="AC217" s="5"/>
      <c r="AD217" s="5"/>
      <c r="AE217" s="5"/>
      <c r="AF217" s="5"/>
      <c r="AG217" s="5"/>
      <c r="AH217" s="5"/>
    </row>
    <row r="218" spans="13:34">
      <c r="M218" s="2"/>
      <c r="O218" s="2"/>
      <c r="R218" s="2"/>
      <c r="T218" s="2"/>
      <c r="W218" s="2"/>
      <c r="Y218" s="2"/>
      <c r="Z218" s="2"/>
      <c r="AA218" s="5"/>
      <c r="AB218" s="146"/>
      <c r="AC218" s="5"/>
      <c r="AD218" s="5"/>
      <c r="AE218" s="5"/>
      <c r="AF218" s="5"/>
      <c r="AG218" s="5"/>
      <c r="AH218" s="5"/>
    </row>
    <row r="219" spans="13:34">
      <c r="M219" s="2"/>
      <c r="O219" s="2"/>
      <c r="R219" s="2"/>
      <c r="T219" s="2"/>
      <c r="W219" s="2"/>
      <c r="Y219" s="2"/>
      <c r="Z219" s="2"/>
      <c r="AA219" s="5"/>
      <c r="AB219" s="146"/>
      <c r="AC219" s="5"/>
      <c r="AD219" s="5"/>
      <c r="AE219" s="5"/>
      <c r="AF219" s="5"/>
      <c r="AG219" s="5"/>
      <c r="AH219" s="5"/>
    </row>
    <row r="220" spans="13:34">
      <c r="M220" s="2"/>
      <c r="O220" s="2"/>
      <c r="R220" s="2"/>
      <c r="T220" s="2"/>
      <c r="W220" s="2"/>
      <c r="Y220" s="2"/>
      <c r="Z220" s="2"/>
      <c r="AA220" s="5"/>
      <c r="AB220" s="146"/>
      <c r="AC220" s="5"/>
      <c r="AD220" s="5"/>
      <c r="AE220" s="5"/>
      <c r="AF220" s="5"/>
      <c r="AG220" s="5"/>
      <c r="AH220" s="5"/>
    </row>
    <row r="221" spans="13:34">
      <c r="M221" s="2"/>
      <c r="O221" s="2"/>
      <c r="R221" s="2"/>
      <c r="T221" s="2"/>
      <c r="W221" s="2"/>
      <c r="Y221" s="2"/>
      <c r="Z221" s="2"/>
      <c r="AA221" s="5"/>
      <c r="AB221" s="146"/>
      <c r="AC221" s="5"/>
      <c r="AD221" s="5"/>
      <c r="AE221" s="5"/>
      <c r="AF221" s="5"/>
      <c r="AG221" s="5"/>
      <c r="AH221" s="5"/>
    </row>
    <row r="222" spans="13:34">
      <c r="M222" s="2"/>
      <c r="O222" s="2"/>
      <c r="R222" s="2"/>
      <c r="T222" s="2"/>
      <c r="W222" s="2"/>
      <c r="Y222" s="2"/>
      <c r="Z222" s="2"/>
      <c r="AA222" s="5"/>
      <c r="AB222" s="146"/>
      <c r="AC222" s="5"/>
      <c r="AD222" s="5"/>
      <c r="AE222" s="5"/>
      <c r="AF222" s="5"/>
      <c r="AG222" s="5"/>
      <c r="AH222" s="5"/>
    </row>
    <row r="223" spans="13:34">
      <c r="M223" s="2"/>
      <c r="O223" s="2"/>
      <c r="R223" s="2"/>
      <c r="T223" s="2"/>
      <c r="W223" s="2"/>
      <c r="Y223" s="2"/>
      <c r="Z223" s="2"/>
      <c r="AA223" s="5"/>
      <c r="AB223" s="146"/>
      <c r="AC223" s="5"/>
      <c r="AD223" s="5"/>
      <c r="AE223" s="5"/>
      <c r="AF223" s="5"/>
      <c r="AG223" s="5"/>
      <c r="AH223" s="5"/>
    </row>
    <row r="224" spans="13:34">
      <c r="M224" s="2"/>
      <c r="O224" s="2"/>
      <c r="R224" s="2"/>
      <c r="T224" s="2"/>
      <c r="W224" s="2"/>
      <c r="Y224" s="2"/>
      <c r="Z224" s="2"/>
      <c r="AA224" s="5"/>
      <c r="AB224" s="146"/>
      <c r="AC224" s="5"/>
      <c r="AD224" s="5"/>
      <c r="AE224" s="5"/>
      <c r="AF224" s="5"/>
      <c r="AG224" s="5"/>
      <c r="AH224" s="5"/>
    </row>
    <row r="225" spans="13:34">
      <c r="M225" s="2"/>
      <c r="O225" s="2"/>
      <c r="R225" s="2"/>
      <c r="T225" s="2"/>
      <c r="W225" s="2"/>
      <c r="Y225" s="2"/>
      <c r="Z225" s="2"/>
      <c r="AA225" s="5"/>
      <c r="AB225" s="146"/>
      <c r="AC225" s="5"/>
      <c r="AD225" s="5"/>
      <c r="AE225" s="5"/>
      <c r="AF225" s="5"/>
      <c r="AG225" s="5"/>
      <c r="AH225" s="5"/>
    </row>
    <row r="226" spans="13:34">
      <c r="M226" s="2"/>
      <c r="O226" s="2"/>
      <c r="R226" s="2"/>
      <c r="T226" s="2"/>
      <c r="W226" s="2"/>
      <c r="Y226" s="2"/>
      <c r="Z226" s="2"/>
      <c r="AA226" s="5"/>
      <c r="AB226" s="146"/>
      <c r="AC226" s="5"/>
      <c r="AD226" s="5"/>
      <c r="AE226" s="5"/>
      <c r="AF226" s="5"/>
      <c r="AG226" s="5"/>
      <c r="AH226" s="5"/>
    </row>
    <row r="227" spans="13:34">
      <c r="M227" s="2"/>
      <c r="O227" s="2"/>
      <c r="R227" s="2"/>
      <c r="T227" s="2"/>
      <c r="W227" s="2"/>
      <c r="Y227" s="2"/>
      <c r="Z227" s="2"/>
      <c r="AA227" s="5"/>
      <c r="AB227" s="146"/>
      <c r="AC227" s="5"/>
      <c r="AD227" s="5"/>
      <c r="AE227" s="5"/>
      <c r="AF227" s="5"/>
      <c r="AG227" s="5"/>
      <c r="AH227" s="5"/>
    </row>
    <row r="228" spans="13:34">
      <c r="M228" s="2"/>
      <c r="O228" s="2"/>
      <c r="R228" s="2"/>
      <c r="T228" s="2"/>
      <c r="W228" s="2"/>
      <c r="Y228" s="2"/>
      <c r="Z228" s="2"/>
      <c r="AA228" s="5"/>
      <c r="AB228" s="146"/>
      <c r="AC228" s="5"/>
      <c r="AD228" s="5"/>
      <c r="AE228" s="5"/>
      <c r="AF228" s="5"/>
      <c r="AG228" s="5"/>
      <c r="AH228" s="5"/>
    </row>
    <row r="229" spans="13:34">
      <c r="M229" s="2"/>
      <c r="O229" s="2"/>
      <c r="R229" s="2"/>
      <c r="T229" s="2"/>
      <c r="W229" s="2"/>
      <c r="Y229" s="2"/>
      <c r="Z229" s="2"/>
      <c r="AA229" s="5"/>
      <c r="AB229" s="146"/>
      <c r="AC229" s="5"/>
      <c r="AD229" s="5"/>
      <c r="AE229" s="5"/>
      <c r="AF229" s="5"/>
      <c r="AG229" s="5"/>
      <c r="AH229" s="5"/>
    </row>
    <row r="230" spans="13:34">
      <c r="M230" s="2"/>
      <c r="O230" s="2"/>
      <c r="R230" s="2"/>
      <c r="T230" s="2"/>
      <c r="W230" s="2"/>
      <c r="Y230" s="2"/>
      <c r="Z230" s="2"/>
      <c r="AA230" s="5"/>
      <c r="AB230" s="146"/>
      <c r="AC230" s="5"/>
      <c r="AD230" s="5"/>
      <c r="AE230" s="5"/>
      <c r="AF230" s="5"/>
      <c r="AG230" s="5"/>
      <c r="AH230" s="5"/>
    </row>
    <row r="231" spans="13:34">
      <c r="M231" s="2"/>
      <c r="O231" s="2"/>
      <c r="R231" s="2"/>
      <c r="T231" s="2"/>
      <c r="W231" s="2"/>
      <c r="Y231" s="2"/>
      <c r="Z231" s="2"/>
      <c r="AA231" s="5"/>
      <c r="AB231" s="146"/>
      <c r="AC231" s="5"/>
      <c r="AD231" s="5"/>
      <c r="AE231" s="5"/>
      <c r="AF231" s="5"/>
      <c r="AG231" s="5"/>
      <c r="AH231" s="5"/>
    </row>
    <row r="232" spans="13:34">
      <c r="M232" s="2"/>
      <c r="O232" s="2"/>
      <c r="R232" s="2"/>
      <c r="T232" s="2"/>
      <c r="W232" s="2"/>
      <c r="Y232" s="2"/>
      <c r="Z232" s="2"/>
      <c r="AA232" s="5"/>
      <c r="AB232" s="146"/>
      <c r="AC232" s="5"/>
      <c r="AD232" s="5"/>
      <c r="AE232" s="5"/>
      <c r="AF232" s="5"/>
      <c r="AG232" s="5"/>
      <c r="AH232" s="5"/>
    </row>
    <row r="233" spans="13:34">
      <c r="M233" s="2"/>
      <c r="O233" s="2"/>
      <c r="R233" s="2"/>
      <c r="T233" s="2"/>
      <c r="W233" s="2"/>
      <c r="Y233" s="2"/>
      <c r="Z233" s="2"/>
      <c r="AA233" s="5"/>
      <c r="AB233" s="146"/>
      <c r="AC233" s="5"/>
      <c r="AD233" s="5"/>
      <c r="AE233" s="5"/>
      <c r="AF233" s="5"/>
      <c r="AG233" s="5"/>
      <c r="AH233" s="5"/>
    </row>
    <row r="234" spans="13:34">
      <c r="M234" s="2"/>
      <c r="O234" s="2"/>
      <c r="R234" s="2"/>
      <c r="T234" s="2"/>
      <c r="W234" s="2"/>
      <c r="Y234" s="2"/>
      <c r="Z234" s="2"/>
      <c r="AA234" s="5"/>
      <c r="AB234" s="146"/>
      <c r="AC234" s="5"/>
      <c r="AD234" s="5"/>
      <c r="AE234" s="5"/>
      <c r="AF234" s="5"/>
      <c r="AG234" s="5"/>
      <c r="AH234" s="5"/>
    </row>
    <row r="235" spans="13:34">
      <c r="M235" s="2"/>
      <c r="O235" s="2"/>
      <c r="R235" s="2"/>
      <c r="T235" s="2"/>
      <c r="W235" s="2"/>
      <c r="Y235" s="2"/>
      <c r="Z235" s="2"/>
      <c r="AA235" s="5"/>
      <c r="AB235" s="146"/>
      <c r="AC235" s="5"/>
      <c r="AD235" s="5"/>
      <c r="AE235" s="5"/>
      <c r="AF235" s="5"/>
      <c r="AG235" s="5"/>
      <c r="AH235" s="5"/>
    </row>
    <row r="236" spans="13:34">
      <c r="M236" s="2"/>
      <c r="O236" s="2"/>
      <c r="R236" s="2"/>
      <c r="T236" s="2"/>
      <c r="W236" s="2"/>
      <c r="Y236" s="2"/>
      <c r="Z236" s="2"/>
      <c r="AA236" s="5"/>
      <c r="AB236" s="146"/>
      <c r="AC236" s="5"/>
      <c r="AD236" s="5"/>
      <c r="AE236" s="5"/>
      <c r="AF236" s="5"/>
      <c r="AG236" s="5"/>
      <c r="AH236" s="5"/>
    </row>
    <row r="237" spans="13:34">
      <c r="M237" s="2"/>
      <c r="O237" s="2"/>
      <c r="R237" s="2"/>
      <c r="T237" s="2"/>
      <c r="W237" s="2"/>
      <c r="Y237" s="2"/>
      <c r="Z237" s="2"/>
      <c r="AA237" s="5"/>
      <c r="AB237" s="146"/>
      <c r="AC237" s="5"/>
      <c r="AD237" s="5"/>
      <c r="AE237" s="5"/>
      <c r="AF237" s="5"/>
      <c r="AG237" s="5"/>
      <c r="AH237" s="5"/>
    </row>
    <row r="238" spans="13:34">
      <c r="M238" s="2"/>
      <c r="O238" s="2"/>
      <c r="R238" s="2"/>
      <c r="T238" s="2"/>
      <c r="W238" s="2"/>
      <c r="Y238" s="2"/>
      <c r="Z238" s="2"/>
      <c r="AA238" s="5"/>
      <c r="AB238" s="146"/>
      <c r="AC238" s="5"/>
      <c r="AD238" s="5"/>
      <c r="AE238" s="5"/>
      <c r="AF238" s="5"/>
      <c r="AG238" s="5"/>
      <c r="AH238" s="5"/>
    </row>
    <row r="239" spans="13:34">
      <c r="M239" s="2"/>
      <c r="O239" s="2"/>
      <c r="R239" s="2"/>
      <c r="T239" s="2"/>
      <c r="W239" s="2"/>
      <c r="Y239" s="2"/>
      <c r="Z239" s="2"/>
      <c r="AA239" s="5"/>
      <c r="AB239" s="146"/>
      <c r="AC239" s="5"/>
      <c r="AD239" s="5"/>
      <c r="AE239" s="5"/>
      <c r="AF239" s="5"/>
      <c r="AG239" s="5"/>
      <c r="AH239" s="5"/>
    </row>
    <row r="240" spans="13:34">
      <c r="M240" s="2"/>
      <c r="O240" s="2"/>
      <c r="R240" s="2"/>
      <c r="T240" s="2"/>
      <c r="W240" s="2"/>
      <c r="Y240" s="2"/>
      <c r="Z240" s="2"/>
      <c r="AA240" s="5"/>
      <c r="AB240" s="146"/>
      <c r="AC240" s="5"/>
      <c r="AD240" s="5"/>
      <c r="AE240" s="5"/>
      <c r="AF240" s="5"/>
      <c r="AG240" s="5"/>
      <c r="AH240" s="5"/>
    </row>
    <row r="241" spans="13:34">
      <c r="M241" s="2"/>
      <c r="O241" s="2"/>
      <c r="R241" s="2"/>
      <c r="T241" s="2"/>
      <c r="W241" s="2"/>
      <c r="Y241" s="2"/>
      <c r="Z241" s="2"/>
      <c r="AA241" s="5"/>
      <c r="AB241" s="146"/>
      <c r="AC241" s="5"/>
      <c r="AD241" s="5"/>
      <c r="AE241" s="5"/>
      <c r="AF241" s="5"/>
      <c r="AG241" s="5"/>
      <c r="AH241" s="5"/>
    </row>
    <row r="242" spans="13:34">
      <c r="M242" s="2"/>
      <c r="O242" s="2"/>
      <c r="R242" s="2"/>
      <c r="T242" s="2"/>
      <c r="W242" s="2"/>
      <c r="Y242" s="2"/>
      <c r="Z242" s="2"/>
      <c r="AA242" s="5"/>
      <c r="AB242" s="146"/>
      <c r="AC242" s="5"/>
      <c r="AD242" s="5"/>
      <c r="AE242" s="5"/>
      <c r="AF242" s="5"/>
      <c r="AG242" s="5"/>
      <c r="AH242" s="5"/>
    </row>
    <row r="243" spans="13:34">
      <c r="M243" s="2"/>
      <c r="O243" s="2"/>
      <c r="R243" s="2"/>
      <c r="T243" s="2"/>
      <c r="W243" s="2"/>
      <c r="Y243" s="2"/>
      <c r="Z243" s="2"/>
      <c r="AA243" s="5"/>
      <c r="AB243" s="146"/>
      <c r="AC243" s="5"/>
      <c r="AD243" s="5"/>
      <c r="AE243" s="5"/>
      <c r="AF243" s="5"/>
      <c r="AG243" s="5"/>
      <c r="AH243" s="5"/>
    </row>
    <row r="244" spans="13:34">
      <c r="M244" s="2"/>
      <c r="O244" s="2"/>
      <c r="R244" s="2"/>
      <c r="T244" s="2"/>
      <c r="W244" s="2"/>
      <c r="Y244" s="2"/>
      <c r="Z244" s="2"/>
      <c r="AA244" s="5"/>
      <c r="AB244" s="146"/>
      <c r="AC244" s="5"/>
      <c r="AD244" s="5"/>
      <c r="AE244" s="5"/>
      <c r="AF244" s="5"/>
      <c r="AG244" s="5"/>
      <c r="AH244" s="5"/>
    </row>
    <row r="245" spans="13:34">
      <c r="M245" s="2"/>
      <c r="O245" s="2"/>
      <c r="R245" s="2"/>
      <c r="T245" s="2"/>
      <c r="W245" s="2"/>
      <c r="Y245" s="2"/>
      <c r="Z245" s="2"/>
      <c r="AA245" s="5"/>
      <c r="AB245" s="146"/>
      <c r="AC245" s="5"/>
      <c r="AD245" s="5"/>
      <c r="AE245" s="5"/>
      <c r="AF245" s="5"/>
      <c r="AG245" s="5"/>
      <c r="AH245" s="5"/>
    </row>
    <row r="246" spans="13:34">
      <c r="M246" s="2"/>
      <c r="O246" s="2"/>
      <c r="R246" s="2"/>
      <c r="T246" s="2"/>
      <c r="W246" s="2"/>
      <c r="Y246" s="2"/>
      <c r="Z246" s="2"/>
      <c r="AA246" s="5"/>
      <c r="AB246" s="146"/>
      <c r="AC246" s="5"/>
      <c r="AD246" s="5"/>
      <c r="AE246" s="5"/>
      <c r="AF246" s="5"/>
      <c r="AG246" s="5"/>
      <c r="AH246" s="5"/>
    </row>
    <row r="247" spans="13:34">
      <c r="M247" s="2"/>
      <c r="O247" s="2"/>
      <c r="R247" s="2"/>
      <c r="T247" s="2"/>
      <c r="W247" s="2"/>
      <c r="Y247" s="2"/>
      <c r="Z247" s="2"/>
      <c r="AA247" s="5"/>
      <c r="AB247" s="146"/>
      <c r="AC247" s="5"/>
      <c r="AD247" s="5"/>
      <c r="AE247" s="5"/>
      <c r="AF247" s="5"/>
      <c r="AG247" s="5"/>
      <c r="AH247" s="5"/>
    </row>
    <row r="248" spans="13:34">
      <c r="M248" s="2"/>
      <c r="O248" s="2"/>
      <c r="R248" s="2"/>
      <c r="T248" s="2"/>
      <c r="W248" s="2"/>
      <c r="Y248" s="2"/>
      <c r="Z248" s="2"/>
      <c r="AA248" s="5"/>
      <c r="AB248" s="146"/>
      <c r="AC248" s="5"/>
      <c r="AD248" s="5"/>
      <c r="AE248" s="5"/>
      <c r="AF248" s="5"/>
      <c r="AG248" s="5"/>
      <c r="AH248" s="5"/>
    </row>
    <row r="249" spans="13:34">
      <c r="M249" s="2"/>
      <c r="O249" s="2"/>
      <c r="R249" s="2"/>
      <c r="T249" s="2"/>
      <c r="W249" s="2"/>
      <c r="Y249" s="2"/>
      <c r="Z249" s="2"/>
      <c r="AA249" s="5"/>
      <c r="AB249" s="146"/>
      <c r="AC249" s="5"/>
      <c r="AD249" s="5"/>
      <c r="AE249" s="5"/>
      <c r="AF249" s="5"/>
      <c r="AG249" s="5"/>
      <c r="AH249" s="5"/>
    </row>
    <row r="250" spans="13:34">
      <c r="M250" s="2"/>
      <c r="O250" s="2"/>
      <c r="R250" s="2"/>
      <c r="T250" s="2"/>
      <c r="W250" s="2"/>
      <c r="Y250" s="2"/>
      <c r="Z250" s="2"/>
      <c r="AA250" s="5"/>
      <c r="AB250" s="146"/>
      <c r="AC250" s="5"/>
      <c r="AD250" s="5"/>
      <c r="AE250" s="5"/>
      <c r="AF250" s="5"/>
      <c r="AG250" s="5"/>
      <c r="AH250" s="5"/>
    </row>
    <row r="251" spans="13:34">
      <c r="M251" s="2"/>
      <c r="O251" s="2"/>
      <c r="R251" s="2"/>
      <c r="T251" s="2"/>
      <c r="W251" s="2"/>
      <c r="Y251" s="2"/>
      <c r="Z251" s="2"/>
      <c r="AA251" s="5"/>
      <c r="AB251" s="146"/>
      <c r="AC251" s="5"/>
      <c r="AD251" s="5"/>
      <c r="AE251" s="5"/>
      <c r="AF251" s="5"/>
      <c r="AG251" s="5"/>
      <c r="AH251" s="5"/>
    </row>
    <row r="252" spans="13:34">
      <c r="M252" s="2"/>
      <c r="O252" s="2"/>
      <c r="R252" s="2"/>
      <c r="T252" s="2"/>
      <c r="W252" s="2"/>
      <c r="Y252" s="2"/>
      <c r="Z252" s="2"/>
      <c r="AA252" s="5"/>
      <c r="AB252" s="146"/>
      <c r="AC252" s="5"/>
      <c r="AD252" s="5"/>
      <c r="AE252" s="5"/>
      <c r="AF252" s="5"/>
      <c r="AG252" s="5"/>
      <c r="AH252" s="5"/>
    </row>
    <row r="253" spans="13:34">
      <c r="M253" s="2"/>
      <c r="O253" s="2"/>
      <c r="R253" s="2"/>
      <c r="T253" s="2"/>
      <c r="W253" s="2"/>
      <c r="Y253" s="2"/>
      <c r="Z253" s="2"/>
      <c r="AA253" s="5"/>
      <c r="AB253" s="146"/>
      <c r="AC253" s="5"/>
      <c r="AD253" s="5"/>
      <c r="AE253" s="5"/>
      <c r="AF253" s="5"/>
      <c r="AG253" s="5"/>
      <c r="AH253" s="5"/>
    </row>
    <row r="254" spans="13:34">
      <c r="M254" s="2"/>
      <c r="O254" s="2"/>
      <c r="R254" s="2"/>
      <c r="T254" s="2"/>
      <c r="W254" s="2"/>
      <c r="Y254" s="2"/>
      <c r="Z254" s="2"/>
      <c r="AA254" s="5"/>
      <c r="AB254" s="146"/>
      <c r="AC254" s="5"/>
      <c r="AD254" s="5"/>
      <c r="AE254" s="5"/>
      <c r="AF254" s="5"/>
      <c r="AG254" s="5"/>
      <c r="AH254" s="5"/>
    </row>
    <row r="255" spans="13:34">
      <c r="M255" s="2"/>
      <c r="O255" s="2"/>
      <c r="R255" s="2"/>
      <c r="T255" s="2"/>
      <c r="W255" s="2"/>
      <c r="Y255" s="2"/>
      <c r="Z255" s="2"/>
      <c r="AA255" s="5"/>
      <c r="AB255" s="146"/>
      <c r="AC255" s="5"/>
      <c r="AD255" s="5"/>
      <c r="AE255" s="5"/>
      <c r="AF255" s="5"/>
      <c r="AG255" s="5"/>
      <c r="AH255" s="5"/>
    </row>
    <row r="256" spans="13:34">
      <c r="M256" s="2"/>
      <c r="O256" s="2"/>
      <c r="R256" s="2"/>
      <c r="T256" s="2"/>
      <c r="W256" s="2"/>
      <c r="Y256" s="2"/>
      <c r="Z256" s="2"/>
      <c r="AA256" s="5"/>
      <c r="AB256" s="146"/>
      <c r="AC256" s="5"/>
      <c r="AD256" s="5"/>
      <c r="AE256" s="5"/>
      <c r="AF256" s="5"/>
      <c r="AG256" s="5"/>
      <c r="AH256" s="5"/>
    </row>
    <row r="257" spans="13:34">
      <c r="M257" s="2"/>
      <c r="O257" s="2"/>
      <c r="R257" s="2"/>
      <c r="T257" s="2"/>
      <c r="W257" s="2"/>
      <c r="Y257" s="2"/>
      <c r="Z257" s="2"/>
      <c r="AA257" s="5"/>
      <c r="AB257" s="146"/>
      <c r="AC257" s="5"/>
      <c r="AD257" s="5"/>
      <c r="AE257" s="5"/>
      <c r="AF257" s="5"/>
      <c r="AG257" s="5"/>
      <c r="AH257" s="5"/>
    </row>
    <row r="258" spans="13:34">
      <c r="M258" s="2"/>
      <c r="O258" s="2"/>
      <c r="R258" s="2"/>
      <c r="T258" s="2"/>
      <c r="W258" s="2"/>
      <c r="Y258" s="2"/>
      <c r="Z258" s="2"/>
      <c r="AA258" s="5"/>
      <c r="AB258" s="146"/>
      <c r="AC258" s="5"/>
      <c r="AD258" s="5"/>
      <c r="AE258" s="5"/>
      <c r="AF258" s="5"/>
      <c r="AG258" s="5"/>
      <c r="AH258" s="5"/>
    </row>
    <row r="259" spans="13:34">
      <c r="M259" s="2"/>
      <c r="O259" s="2"/>
      <c r="R259" s="2"/>
      <c r="T259" s="2"/>
      <c r="W259" s="2"/>
      <c r="Y259" s="2"/>
      <c r="Z259" s="2"/>
      <c r="AA259" s="5"/>
      <c r="AB259" s="146"/>
      <c r="AC259" s="5"/>
      <c r="AD259" s="5"/>
      <c r="AE259" s="5"/>
      <c r="AF259" s="5"/>
      <c r="AG259" s="5"/>
      <c r="AH259" s="5"/>
    </row>
    <row r="260" spans="13:34">
      <c r="M260" s="2"/>
      <c r="O260" s="2"/>
      <c r="R260" s="2"/>
      <c r="T260" s="2"/>
      <c r="W260" s="2"/>
      <c r="Y260" s="2"/>
      <c r="Z260" s="2"/>
      <c r="AA260" s="5"/>
      <c r="AB260" s="146"/>
      <c r="AC260" s="5"/>
      <c r="AD260" s="5"/>
      <c r="AE260" s="5"/>
      <c r="AF260" s="5"/>
      <c r="AG260" s="5"/>
      <c r="AH260" s="5"/>
    </row>
    <row r="261" spans="13:34">
      <c r="M261" s="2"/>
      <c r="O261" s="2"/>
      <c r="R261" s="2"/>
      <c r="T261" s="2"/>
      <c r="W261" s="2"/>
      <c r="Y261" s="2"/>
      <c r="Z261" s="2"/>
      <c r="AA261" s="5"/>
      <c r="AB261" s="146"/>
      <c r="AC261" s="5"/>
      <c r="AD261" s="5"/>
      <c r="AE261" s="5"/>
      <c r="AF261" s="5"/>
      <c r="AG261" s="5"/>
      <c r="AH261" s="5"/>
    </row>
    <row r="262" spans="13:34">
      <c r="M262" s="2"/>
      <c r="O262" s="2"/>
      <c r="R262" s="2"/>
      <c r="T262" s="2"/>
      <c r="W262" s="2"/>
      <c r="Y262" s="2"/>
      <c r="Z262" s="2"/>
      <c r="AA262" s="5"/>
      <c r="AB262" s="146"/>
      <c r="AC262" s="5"/>
      <c r="AD262" s="5"/>
      <c r="AE262" s="5"/>
      <c r="AF262" s="5"/>
      <c r="AG262" s="5"/>
      <c r="AH262" s="5"/>
    </row>
    <row r="263" spans="13:34">
      <c r="M263" s="2"/>
      <c r="O263" s="2"/>
      <c r="R263" s="2"/>
      <c r="T263" s="2"/>
      <c r="W263" s="2"/>
      <c r="Y263" s="2"/>
      <c r="Z263" s="2"/>
      <c r="AA263" s="5"/>
      <c r="AB263" s="146"/>
      <c r="AC263" s="5"/>
      <c r="AD263" s="5"/>
      <c r="AE263" s="5"/>
      <c r="AF263" s="5"/>
      <c r="AG263" s="5"/>
      <c r="AH263" s="5"/>
    </row>
    <row r="264" spans="13:34">
      <c r="M264" s="2"/>
      <c r="O264" s="2"/>
      <c r="R264" s="2"/>
      <c r="T264" s="2"/>
      <c r="W264" s="2"/>
      <c r="Y264" s="2"/>
      <c r="Z264" s="2"/>
      <c r="AA264" s="5"/>
      <c r="AB264" s="146"/>
      <c r="AC264" s="5"/>
      <c r="AD264" s="5"/>
      <c r="AE264" s="5"/>
      <c r="AF264" s="5"/>
      <c r="AG264" s="5"/>
      <c r="AH264" s="5"/>
    </row>
    <row r="265" spans="13:34">
      <c r="M265" s="2"/>
      <c r="O265" s="2"/>
      <c r="R265" s="2"/>
      <c r="T265" s="2"/>
      <c r="W265" s="2"/>
      <c r="Y265" s="2"/>
      <c r="Z265" s="2"/>
      <c r="AA265" s="5"/>
      <c r="AB265" s="146"/>
      <c r="AC265" s="5"/>
      <c r="AD265" s="5"/>
      <c r="AE265" s="5"/>
      <c r="AF265" s="5"/>
      <c r="AG265" s="5"/>
      <c r="AH265" s="5"/>
    </row>
    <row r="266" spans="13:34">
      <c r="M266" s="2"/>
      <c r="O266" s="2"/>
      <c r="R266" s="2"/>
      <c r="T266" s="2"/>
      <c r="W266" s="2"/>
      <c r="Y266" s="2"/>
      <c r="Z266" s="2"/>
      <c r="AA266" s="5"/>
      <c r="AB266" s="146"/>
      <c r="AC266" s="5"/>
      <c r="AD266" s="5"/>
      <c r="AE266" s="5"/>
      <c r="AF266" s="5"/>
      <c r="AG266" s="5"/>
      <c r="AH266" s="5"/>
    </row>
    <row r="267" spans="13:34">
      <c r="M267" s="2"/>
      <c r="O267" s="2"/>
      <c r="R267" s="2"/>
      <c r="T267" s="2"/>
      <c r="W267" s="2"/>
      <c r="Y267" s="2"/>
      <c r="Z267" s="2"/>
      <c r="AA267" s="5"/>
      <c r="AB267" s="146"/>
      <c r="AC267" s="5"/>
      <c r="AD267" s="5"/>
      <c r="AE267" s="5"/>
      <c r="AF267" s="5"/>
      <c r="AG267" s="5"/>
      <c r="AH267" s="5"/>
    </row>
    <row r="268" spans="13:34">
      <c r="M268" s="2"/>
      <c r="O268" s="2"/>
      <c r="R268" s="2"/>
      <c r="T268" s="2"/>
      <c r="W268" s="2"/>
      <c r="Y268" s="2"/>
      <c r="Z268" s="2"/>
      <c r="AA268" s="5"/>
      <c r="AB268" s="146"/>
      <c r="AC268" s="5"/>
      <c r="AD268" s="5"/>
      <c r="AE268" s="5"/>
      <c r="AF268" s="5"/>
      <c r="AG268" s="5"/>
      <c r="AH268" s="5"/>
    </row>
    <row r="269" spans="13:34">
      <c r="M269" s="2"/>
      <c r="O269" s="2"/>
      <c r="R269" s="2"/>
      <c r="T269" s="2"/>
      <c r="W269" s="2"/>
      <c r="Y269" s="2"/>
      <c r="Z269" s="2"/>
      <c r="AA269" s="5"/>
      <c r="AB269" s="146"/>
      <c r="AC269" s="5"/>
      <c r="AD269" s="5"/>
      <c r="AE269" s="5"/>
      <c r="AF269" s="5"/>
      <c r="AG269" s="5"/>
      <c r="AH269" s="5"/>
    </row>
    <row r="270" spans="13:34">
      <c r="M270" s="2"/>
      <c r="O270" s="2"/>
      <c r="R270" s="2"/>
      <c r="T270" s="2"/>
      <c r="W270" s="2"/>
      <c r="Y270" s="2"/>
      <c r="Z270" s="2"/>
      <c r="AA270" s="5"/>
      <c r="AB270" s="146"/>
      <c r="AC270" s="5"/>
      <c r="AD270" s="5"/>
      <c r="AE270" s="5"/>
      <c r="AF270" s="5"/>
      <c r="AG270" s="5"/>
      <c r="AH270" s="5"/>
    </row>
    <row r="271" spans="13:34">
      <c r="M271" s="2"/>
      <c r="O271" s="2"/>
      <c r="R271" s="2"/>
      <c r="T271" s="2"/>
      <c r="W271" s="2"/>
      <c r="Y271" s="2"/>
      <c r="Z271" s="2"/>
      <c r="AA271" s="5"/>
      <c r="AB271" s="146"/>
      <c r="AC271" s="5"/>
      <c r="AD271" s="5"/>
      <c r="AE271" s="5"/>
      <c r="AF271" s="5"/>
      <c r="AG271" s="5"/>
      <c r="AH271" s="5"/>
    </row>
    <row r="272" spans="13:34">
      <c r="M272" s="2"/>
      <c r="O272" s="2"/>
      <c r="R272" s="2"/>
      <c r="T272" s="2"/>
      <c r="W272" s="2"/>
      <c r="Y272" s="2"/>
      <c r="Z272" s="2"/>
      <c r="AA272" s="5"/>
      <c r="AB272" s="146"/>
      <c r="AC272" s="5"/>
      <c r="AD272" s="5"/>
      <c r="AE272" s="5"/>
      <c r="AF272" s="5"/>
      <c r="AG272" s="5"/>
      <c r="AH272" s="5"/>
    </row>
    <row r="273" spans="13:34">
      <c r="M273" s="2"/>
      <c r="O273" s="2"/>
      <c r="R273" s="2"/>
      <c r="T273" s="2"/>
      <c r="W273" s="2"/>
      <c r="Y273" s="2"/>
      <c r="Z273" s="2"/>
      <c r="AA273" s="5"/>
      <c r="AB273" s="146"/>
      <c r="AC273" s="5"/>
      <c r="AD273" s="5"/>
      <c r="AE273" s="5"/>
      <c r="AF273" s="5"/>
      <c r="AG273" s="5"/>
      <c r="AH273" s="5"/>
    </row>
    <row r="274" spans="13:34">
      <c r="M274" s="2"/>
      <c r="O274" s="2"/>
      <c r="R274" s="2"/>
      <c r="T274" s="2"/>
      <c r="W274" s="2"/>
      <c r="Y274" s="2"/>
      <c r="Z274" s="2"/>
      <c r="AA274" s="5"/>
      <c r="AB274" s="146"/>
      <c r="AC274" s="5"/>
      <c r="AD274" s="5"/>
      <c r="AE274" s="5"/>
      <c r="AF274" s="5"/>
      <c r="AG274" s="5"/>
      <c r="AH274" s="5"/>
    </row>
    <row r="275" spans="13:34">
      <c r="M275" s="2"/>
      <c r="O275" s="2"/>
      <c r="R275" s="2"/>
      <c r="T275" s="2"/>
      <c r="W275" s="2"/>
      <c r="Y275" s="2"/>
      <c r="Z275" s="2"/>
      <c r="AA275" s="5"/>
      <c r="AB275" s="146"/>
      <c r="AC275" s="5"/>
      <c r="AD275" s="5"/>
      <c r="AE275" s="5"/>
      <c r="AF275" s="5"/>
      <c r="AG275" s="5"/>
      <c r="AH275" s="5"/>
    </row>
    <row r="276" spans="13:34">
      <c r="M276" s="2"/>
      <c r="O276" s="2"/>
      <c r="R276" s="2"/>
      <c r="T276" s="2"/>
      <c r="W276" s="2"/>
      <c r="Y276" s="2"/>
      <c r="Z276" s="2"/>
      <c r="AA276" s="5"/>
      <c r="AB276" s="146"/>
      <c r="AC276" s="5"/>
      <c r="AD276" s="5"/>
      <c r="AE276" s="5"/>
      <c r="AF276" s="5"/>
      <c r="AG276" s="5"/>
      <c r="AH276" s="5"/>
    </row>
    <row r="277" spans="13:34">
      <c r="M277" s="2"/>
      <c r="O277" s="2"/>
      <c r="R277" s="2"/>
      <c r="T277" s="2"/>
      <c r="W277" s="2"/>
      <c r="Y277" s="2"/>
      <c r="Z277" s="2"/>
      <c r="AA277" s="5"/>
      <c r="AB277" s="146"/>
      <c r="AC277" s="5"/>
      <c r="AD277" s="5"/>
      <c r="AE277" s="5"/>
      <c r="AF277" s="5"/>
      <c r="AG277" s="5"/>
      <c r="AH277" s="5"/>
    </row>
    <row r="278" spans="13:34">
      <c r="M278" s="2"/>
      <c r="O278" s="2"/>
      <c r="R278" s="2"/>
      <c r="T278" s="2"/>
      <c r="W278" s="2"/>
      <c r="Y278" s="2"/>
      <c r="Z278" s="2"/>
      <c r="AA278" s="5"/>
      <c r="AB278" s="146"/>
      <c r="AC278" s="5"/>
      <c r="AD278" s="5"/>
      <c r="AE278" s="5"/>
      <c r="AF278" s="5"/>
      <c r="AG278" s="5"/>
      <c r="AH278" s="5"/>
    </row>
    <row r="279" spans="13:34">
      <c r="M279" s="2"/>
      <c r="O279" s="2"/>
      <c r="R279" s="2"/>
      <c r="T279" s="2"/>
      <c r="W279" s="2"/>
      <c r="Y279" s="2"/>
      <c r="Z279" s="2"/>
      <c r="AA279" s="5"/>
      <c r="AB279" s="146"/>
      <c r="AC279" s="5"/>
      <c r="AD279" s="5"/>
      <c r="AE279" s="5"/>
      <c r="AF279" s="5"/>
      <c r="AG279" s="5"/>
      <c r="AH279" s="5"/>
    </row>
    <row r="280" spans="13:34">
      <c r="M280" s="2"/>
      <c r="O280" s="2"/>
      <c r="R280" s="2"/>
      <c r="T280" s="2"/>
      <c r="W280" s="2"/>
      <c r="Y280" s="2"/>
      <c r="Z280" s="2"/>
      <c r="AA280" s="5"/>
      <c r="AB280" s="146"/>
      <c r="AC280" s="5"/>
      <c r="AD280" s="5"/>
      <c r="AE280" s="5"/>
      <c r="AF280" s="5"/>
      <c r="AG280" s="5"/>
      <c r="AH280" s="5"/>
    </row>
    <row r="281" spans="13:34">
      <c r="M281" s="2"/>
      <c r="O281" s="2"/>
      <c r="R281" s="2"/>
      <c r="T281" s="2"/>
      <c r="W281" s="2"/>
      <c r="Y281" s="2"/>
      <c r="Z281" s="2"/>
      <c r="AA281" s="5"/>
      <c r="AB281" s="146"/>
      <c r="AC281" s="5"/>
      <c r="AD281" s="5"/>
      <c r="AE281" s="5"/>
      <c r="AF281" s="5"/>
      <c r="AG281" s="5"/>
      <c r="AH281" s="5"/>
    </row>
    <row r="282" spans="13:34">
      <c r="M282" s="2"/>
      <c r="O282" s="2"/>
      <c r="R282" s="2"/>
      <c r="T282" s="2"/>
      <c r="W282" s="2"/>
      <c r="Y282" s="2"/>
      <c r="Z282" s="2"/>
      <c r="AA282" s="5"/>
      <c r="AB282" s="146"/>
      <c r="AC282" s="5"/>
      <c r="AD282" s="5"/>
      <c r="AE282" s="5"/>
      <c r="AF282" s="5"/>
      <c r="AG282" s="5"/>
      <c r="AH282" s="5"/>
    </row>
    <row r="283" spans="13:34">
      <c r="M283" s="2"/>
      <c r="O283" s="2"/>
      <c r="R283" s="2"/>
      <c r="T283" s="2"/>
      <c r="W283" s="2"/>
      <c r="Y283" s="2"/>
      <c r="Z283" s="2"/>
      <c r="AA283" s="5"/>
      <c r="AB283" s="146"/>
      <c r="AC283" s="5"/>
      <c r="AD283" s="5"/>
      <c r="AE283" s="5"/>
      <c r="AF283" s="5"/>
      <c r="AG283" s="5"/>
      <c r="AH283" s="5"/>
    </row>
    <row r="284" spans="13:34">
      <c r="M284" s="2"/>
      <c r="O284" s="2"/>
      <c r="R284" s="2"/>
      <c r="T284" s="2"/>
      <c r="W284" s="2"/>
      <c r="Y284" s="2"/>
      <c r="Z284" s="2"/>
      <c r="AA284" s="5"/>
      <c r="AB284" s="146"/>
      <c r="AC284" s="5"/>
      <c r="AD284" s="5"/>
      <c r="AE284" s="5"/>
      <c r="AF284" s="5"/>
      <c r="AG284" s="5"/>
      <c r="AH284" s="5"/>
    </row>
    <row r="285" spans="13:34">
      <c r="M285" s="2"/>
      <c r="O285" s="2"/>
      <c r="R285" s="2"/>
      <c r="T285" s="2"/>
      <c r="W285" s="2"/>
      <c r="Y285" s="2"/>
      <c r="Z285" s="2"/>
      <c r="AA285" s="5"/>
      <c r="AB285" s="146"/>
      <c r="AC285" s="5"/>
      <c r="AD285" s="5"/>
      <c r="AE285" s="5"/>
      <c r="AF285" s="5"/>
      <c r="AG285" s="5"/>
      <c r="AH285" s="5"/>
    </row>
    <row r="286" spans="13:34">
      <c r="M286" s="2"/>
      <c r="O286" s="2"/>
      <c r="R286" s="2"/>
      <c r="T286" s="2"/>
      <c r="W286" s="2"/>
      <c r="Y286" s="2"/>
      <c r="Z286" s="2"/>
      <c r="AA286" s="5"/>
      <c r="AB286" s="146"/>
      <c r="AC286" s="5"/>
      <c r="AD286" s="5"/>
      <c r="AE286" s="5"/>
      <c r="AF286" s="5"/>
      <c r="AG286" s="5"/>
      <c r="AH286" s="5"/>
    </row>
    <row r="287" spans="13:34">
      <c r="M287" s="2"/>
      <c r="O287" s="2"/>
      <c r="R287" s="2"/>
      <c r="T287" s="2"/>
      <c r="W287" s="2"/>
      <c r="Y287" s="2"/>
      <c r="Z287" s="2"/>
      <c r="AA287" s="5"/>
      <c r="AB287" s="146"/>
      <c r="AC287" s="5"/>
      <c r="AD287" s="5"/>
      <c r="AE287" s="5"/>
      <c r="AF287" s="5"/>
      <c r="AG287" s="5"/>
      <c r="AH287" s="5"/>
    </row>
    <row r="288" spans="13:34">
      <c r="M288" s="2"/>
      <c r="O288" s="2"/>
      <c r="R288" s="2"/>
      <c r="T288" s="2"/>
      <c r="W288" s="2"/>
      <c r="Y288" s="2"/>
      <c r="Z288" s="2"/>
      <c r="AA288" s="5"/>
      <c r="AB288" s="146"/>
      <c r="AC288" s="5"/>
      <c r="AD288" s="5"/>
      <c r="AE288" s="5"/>
      <c r="AF288" s="5"/>
      <c r="AG288" s="5"/>
      <c r="AH288" s="5"/>
    </row>
    <row r="289" spans="13:34">
      <c r="M289" s="2"/>
      <c r="O289" s="2"/>
      <c r="R289" s="2"/>
      <c r="T289" s="2"/>
      <c r="W289" s="2"/>
      <c r="Y289" s="2"/>
      <c r="Z289" s="2"/>
      <c r="AA289" s="5"/>
      <c r="AB289" s="146"/>
      <c r="AC289" s="5"/>
      <c r="AD289" s="5"/>
      <c r="AE289" s="5"/>
      <c r="AF289" s="5"/>
      <c r="AG289" s="5"/>
      <c r="AH289" s="5"/>
    </row>
    <row r="290" spans="13:34">
      <c r="M290" s="2"/>
      <c r="O290" s="2"/>
      <c r="R290" s="2"/>
      <c r="T290" s="2"/>
      <c r="W290" s="2"/>
      <c r="Y290" s="2"/>
      <c r="Z290" s="2"/>
      <c r="AA290" s="5"/>
      <c r="AB290" s="146"/>
      <c r="AC290" s="5"/>
      <c r="AD290" s="5"/>
      <c r="AE290" s="5"/>
      <c r="AF290" s="5"/>
      <c r="AG290" s="5"/>
      <c r="AH290" s="5"/>
    </row>
    <row r="291" spans="13:34">
      <c r="M291" s="2"/>
      <c r="O291" s="2"/>
      <c r="R291" s="2"/>
      <c r="T291" s="2"/>
      <c r="W291" s="2"/>
      <c r="Y291" s="2"/>
      <c r="Z291" s="2"/>
      <c r="AA291" s="5"/>
      <c r="AB291" s="146"/>
      <c r="AC291" s="5"/>
      <c r="AD291" s="5"/>
      <c r="AE291" s="5"/>
      <c r="AF291" s="5"/>
      <c r="AG291" s="5"/>
      <c r="AH291" s="5"/>
    </row>
    <row r="292" spans="13:34">
      <c r="M292" s="2"/>
      <c r="O292" s="2"/>
      <c r="R292" s="2"/>
      <c r="T292" s="2"/>
      <c r="W292" s="2"/>
      <c r="Y292" s="2"/>
      <c r="Z292" s="2"/>
      <c r="AA292" s="5"/>
      <c r="AB292" s="146"/>
      <c r="AC292" s="5"/>
      <c r="AD292" s="5"/>
      <c r="AE292" s="5"/>
      <c r="AF292" s="5"/>
      <c r="AG292" s="5"/>
      <c r="AH292" s="5"/>
    </row>
    <row r="293" spans="13:34">
      <c r="M293" s="2"/>
      <c r="O293" s="2"/>
      <c r="R293" s="2"/>
      <c r="T293" s="2"/>
      <c r="W293" s="2"/>
      <c r="Y293" s="2"/>
      <c r="Z293" s="2"/>
      <c r="AA293" s="5"/>
      <c r="AB293" s="146"/>
      <c r="AC293" s="5"/>
      <c r="AD293" s="5"/>
      <c r="AE293" s="5"/>
      <c r="AF293" s="5"/>
      <c r="AG293" s="5"/>
      <c r="AH293" s="5"/>
    </row>
    <row r="294" spans="13:34">
      <c r="M294" s="2"/>
      <c r="O294" s="2"/>
      <c r="R294" s="2"/>
      <c r="T294" s="2"/>
      <c r="W294" s="2"/>
      <c r="Y294" s="2"/>
      <c r="Z294" s="2"/>
      <c r="AA294" s="5"/>
      <c r="AB294" s="146"/>
      <c r="AC294" s="5"/>
      <c r="AD294" s="5"/>
      <c r="AE294" s="5"/>
      <c r="AF294" s="5"/>
      <c r="AG294" s="5"/>
      <c r="AH294" s="5"/>
    </row>
    <row r="295" spans="13:34">
      <c r="M295" s="2"/>
      <c r="O295" s="2"/>
      <c r="R295" s="2"/>
      <c r="T295" s="2"/>
      <c r="W295" s="2"/>
      <c r="Y295" s="2"/>
      <c r="Z295" s="2"/>
      <c r="AA295" s="5"/>
      <c r="AB295" s="146"/>
      <c r="AC295" s="5"/>
      <c r="AD295" s="5"/>
      <c r="AE295" s="5"/>
      <c r="AF295" s="5"/>
      <c r="AG295" s="5"/>
      <c r="AH295" s="5"/>
    </row>
    <row r="296" spans="13:34">
      <c r="M296" s="2"/>
      <c r="O296" s="2"/>
      <c r="R296" s="2"/>
      <c r="T296" s="2"/>
      <c r="W296" s="2"/>
      <c r="Y296" s="2"/>
      <c r="Z296" s="2"/>
      <c r="AA296" s="5"/>
      <c r="AB296" s="146"/>
      <c r="AC296" s="5"/>
      <c r="AD296" s="5"/>
      <c r="AE296" s="5"/>
      <c r="AF296" s="5"/>
      <c r="AG296" s="5"/>
      <c r="AH296" s="5"/>
    </row>
    <row r="297" spans="13:34">
      <c r="M297" s="2"/>
      <c r="O297" s="2"/>
      <c r="R297" s="2"/>
      <c r="T297" s="2"/>
      <c r="W297" s="2"/>
      <c r="Y297" s="2"/>
      <c r="Z297" s="2"/>
      <c r="AA297" s="5"/>
      <c r="AB297" s="146"/>
      <c r="AC297" s="5"/>
      <c r="AD297" s="5"/>
      <c r="AE297" s="5"/>
      <c r="AF297" s="5"/>
      <c r="AG297" s="5"/>
      <c r="AH297" s="5"/>
    </row>
    <row r="298" spans="13:34">
      <c r="M298" s="2"/>
      <c r="O298" s="2"/>
      <c r="R298" s="2"/>
      <c r="T298" s="2"/>
      <c r="W298" s="2"/>
      <c r="Y298" s="2"/>
      <c r="Z298" s="2"/>
      <c r="AA298" s="5"/>
      <c r="AB298" s="146"/>
      <c r="AC298" s="5"/>
      <c r="AD298" s="5"/>
      <c r="AE298" s="5"/>
      <c r="AF298" s="5"/>
      <c r="AG298" s="5"/>
      <c r="AH298" s="5"/>
    </row>
    <row r="299" spans="13:34">
      <c r="M299" s="2"/>
      <c r="O299" s="2"/>
      <c r="R299" s="2"/>
      <c r="T299" s="2"/>
      <c r="W299" s="2"/>
      <c r="Y299" s="2"/>
      <c r="Z299" s="2"/>
      <c r="AA299" s="5"/>
      <c r="AB299" s="146"/>
      <c r="AC299" s="5"/>
      <c r="AD299" s="5"/>
      <c r="AE299" s="5"/>
      <c r="AF299" s="5"/>
      <c r="AG299" s="5"/>
      <c r="AH299" s="5"/>
    </row>
    <row r="300" spans="13:34">
      <c r="M300" s="2"/>
      <c r="O300" s="2"/>
      <c r="R300" s="2"/>
      <c r="T300" s="2"/>
      <c r="W300" s="2"/>
      <c r="Y300" s="2"/>
      <c r="Z300" s="2"/>
      <c r="AA300" s="5"/>
      <c r="AB300" s="146"/>
      <c r="AC300" s="5"/>
      <c r="AD300" s="5"/>
      <c r="AE300" s="5"/>
      <c r="AF300" s="5"/>
      <c r="AG300" s="5"/>
      <c r="AH300" s="5"/>
    </row>
    <row r="301" spans="13:34">
      <c r="M301" s="2"/>
      <c r="O301" s="2"/>
      <c r="R301" s="2"/>
      <c r="T301" s="2"/>
      <c r="W301" s="2"/>
      <c r="Y301" s="2"/>
      <c r="Z301" s="2"/>
      <c r="AA301" s="5"/>
      <c r="AB301" s="146"/>
      <c r="AC301" s="5"/>
      <c r="AD301" s="5"/>
      <c r="AE301" s="5"/>
      <c r="AF301" s="5"/>
      <c r="AG301" s="5"/>
      <c r="AH301" s="5"/>
    </row>
    <row r="302" spans="13:34">
      <c r="M302" s="2"/>
      <c r="O302" s="2"/>
      <c r="R302" s="2"/>
      <c r="T302" s="2"/>
      <c r="W302" s="2"/>
      <c r="Y302" s="2"/>
      <c r="Z302" s="2"/>
      <c r="AA302" s="5"/>
      <c r="AB302" s="146"/>
      <c r="AC302" s="5"/>
      <c r="AD302" s="5"/>
      <c r="AE302" s="5"/>
      <c r="AF302" s="5"/>
      <c r="AG302" s="5"/>
      <c r="AH302" s="5"/>
    </row>
    <row r="303" spans="13:34">
      <c r="M303" s="2"/>
      <c r="O303" s="2"/>
      <c r="R303" s="2"/>
      <c r="T303" s="2"/>
      <c r="W303" s="2"/>
      <c r="Y303" s="2"/>
      <c r="Z303" s="2"/>
      <c r="AA303" s="5"/>
      <c r="AB303" s="146"/>
      <c r="AC303" s="5"/>
      <c r="AD303" s="5"/>
      <c r="AE303" s="5"/>
      <c r="AF303" s="5"/>
      <c r="AG303" s="5"/>
      <c r="AH303" s="5"/>
    </row>
    <row r="304" spans="13:34">
      <c r="M304" s="2"/>
      <c r="O304" s="2"/>
      <c r="R304" s="2"/>
      <c r="T304" s="2"/>
      <c r="W304" s="2"/>
      <c r="Y304" s="2"/>
      <c r="Z304" s="2"/>
      <c r="AA304" s="5"/>
      <c r="AB304" s="146"/>
      <c r="AC304" s="5"/>
      <c r="AD304" s="5"/>
      <c r="AE304" s="5"/>
      <c r="AF304" s="5"/>
      <c r="AG304" s="5"/>
      <c r="AH304" s="5"/>
    </row>
    <row r="305" spans="13:34">
      <c r="M305" s="2"/>
      <c r="O305" s="2"/>
      <c r="R305" s="2"/>
      <c r="T305" s="2"/>
      <c r="W305" s="2"/>
      <c r="Y305" s="2"/>
      <c r="Z305" s="2"/>
      <c r="AA305" s="5"/>
      <c r="AB305" s="146"/>
      <c r="AC305" s="5"/>
      <c r="AD305" s="5"/>
      <c r="AE305" s="5"/>
      <c r="AF305" s="5"/>
      <c r="AG305" s="5"/>
      <c r="AH305" s="5"/>
    </row>
    <row r="306" spans="13:34">
      <c r="M306" s="2"/>
      <c r="O306" s="2"/>
      <c r="R306" s="2"/>
      <c r="T306" s="2"/>
      <c r="W306" s="2"/>
      <c r="Y306" s="2"/>
      <c r="Z306" s="2"/>
      <c r="AA306" s="5"/>
      <c r="AB306" s="146"/>
      <c r="AC306" s="5"/>
      <c r="AD306" s="5"/>
      <c r="AE306" s="5"/>
      <c r="AF306" s="5"/>
      <c r="AG306" s="5"/>
      <c r="AH306" s="5"/>
    </row>
    <row r="307" spans="13:34">
      <c r="M307" s="2"/>
      <c r="O307" s="2"/>
      <c r="R307" s="2"/>
      <c r="T307" s="2"/>
      <c r="W307" s="2"/>
      <c r="Y307" s="2"/>
      <c r="Z307" s="2"/>
      <c r="AA307" s="5"/>
      <c r="AB307" s="146"/>
      <c r="AC307" s="5"/>
      <c r="AD307" s="5"/>
      <c r="AE307" s="5"/>
      <c r="AF307" s="5"/>
      <c r="AG307" s="5"/>
      <c r="AH307" s="5"/>
    </row>
    <row r="308" spans="13:34">
      <c r="M308" s="2"/>
      <c r="O308" s="2"/>
      <c r="R308" s="2"/>
      <c r="T308" s="2"/>
      <c r="W308" s="2"/>
      <c r="Y308" s="2"/>
      <c r="Z308" s="2"/>
      <c r="AA308" s="5"/>
      <c r="AB308" s="146"/>
      <c r="AC308" s="5"/>
      <c r="AD308" s="5"/>
      <c r="AE308" s="5"/>
      <c r="AF308" s="5"/>
      <c r="AG308" s="5"/>
      <c r="AH308" s="5"/>
    </row>
    <row r="309" spans="13:34">
      <c r="M309" s="2"/>
      <c r="O309" s="2"/>
      <c r="R309" s="2"/>
      <c r="T309" s="2"/>
      <c r="W309" s="2"/>
      <c r="Y309" s="2"/>
      <c r="Z309" s="2"/>
      <c r="AA309" s="5"/>
      <c r="AB309" s="146"/>
      <c r="AC309" s="5"/>
      <c r="AD309" s="5"/>
      <c r="AE309" s="5"/>
      <c r="AF309" s="5"/>
      <c r="AG309" s="5"/>
      <c r="AH309" s="5"/>
    </row>
    <row r="310" spans="13:34">
      <c r="M310" s="2"/>
      <c r="O310" s="2"/>
      <c r="R310" s="2"/>
      <c r="T310" s="2"/>
      <c r="W310" s="2"/>
      <c r="Y310" s="2"/>
      <c r="Z310" s="2"/>
      <c r="AA310" s="5"/>
      <c r="AB310" s="146"/>
      <c r="AC310" s="5"/>
      <c r="AD310" s="5"/>
      <c r="AE310" s="5"/>
      <c r="AF310" s="5"/>
      <c r="AG310" s="5"/>
      <c r="AH310" s="5"/>
    </row>
    <row r="311" spans="13:34">
      <c r="M311" s="2"/>
      <c r="O311" s="2"/>
      <c r="R311" s="2"/>
      <c r="T311" s="2"/>
      <c r="W311" s="2"/>
      <c r="Y311" s="2"/>
      <c r="Z311" s="2"/>
      <c r="AA311" s="5"/>
      <c r="AB311" s="146"/>
      <c r="AC311" s="5"/>
      <c r="AD311" s="5"/>
      <c r="AE311" s="5"/>
      <c r="AF311" s="5"/>
      <c r="AG311" s="5"/>
      <c r="AH311" s="5"/>
    </row>
    <row r="312" spans="13:34">
      <c r="M312" s="2"/>
      <c r="O312" s="2"/>
      <c r="R312" s="2"/>
      <c r="T312" s="2"/>
      <c r="W312" s="2"/>
      <c r="Y312" s="2"/>
      <c r="Z312" s="2"/>
      <c r="AA312" s="5"/>
      <c r="AB312" s="146"/>
      <c r="AC312" s="5"/>
      <c r="AD312" s="5"/>
      <c r="AE312" s="5"/>
      <c r="AF312" s="5"/>
      <c r="AG312" s="5"/>
      <c r="AH312" s="5"/>
    </row>
    <row r="313" spans="13:34">
      <c r="M313" s="2"/>
      <c r="O313" s="2"/>
      <c r="R313" s="2"/>
      <c r="T313" s="2"/>
      <c r="W313" s="2"/>
      <c r="Y313" s="2"/>
      <c r="Z313" s="2"/>
      <c r="AA313" s="5"/>
      <c r="AB313" s="146"/>
      <c r="AC313" s="5"/>
      <c r="AD313" s="5"/>
      <c r="AE313" s="5"/>
      <c r="AF313" s="5"/>
      <c r="AG313" s="5"/>
      <c r="AH313" s="5"/>
    </row>
    <row r="314" spans="13:34">
      <c r="M314" s="2"/>
      <c r="O314" s="2"/>
      <c r="R314" s="2"/>
      <c r="T314" s="2"/>
      <c r="W314" s="2"/>
      <c r="Y314" s="2"/>
      <c r="Z314" s="2"/>
      <c r="AA314" s="5"/>
      <c r="AB314" s="146"/>
      <c r="AC314" s="5"/>
      <c r="AD314" s="5"/>
      <c r="AE314" s="5"/>
      <c r="AF314" s="5"/>
      <c r="AG314" s="5"/>
      <c r="AH314" s="5"/>
    </row>
    <row r="315" spans="13:34">
      <c r="M315" s="2"/>
      <c r="O315" s="2"/>
      <c r="R315" s="2"/>
      <c r="T315" s="2"/>
      <c r="W315" s="2"/>
      <c r="Y315" s="2"/>
      <c r="Z315" s="2"/>
      <c r="AA315" s="5"/>
      <c r="AB315" s="146"/>
      <c r="AC315" s="5"/>
      <c r="AD315" s="5"/>
      <c r="AE315" s="5"/>
      <c r="AF315" s="5"/>
      <c r="AG315" s="5"/>
      <c r="AH315" s="5"/>
    </row>
    <row r="316" spans="13:34">
      <c r="M316" s="2"/>
      <c r="O316" s="2"/>
      <c r="R316" s="2"/>
      <c r="T316" s="2"/>
      <c r="W316" s="2"/>
      <c r="Y316" s="2"/>
      <c r="Z316" s="2"/>
      <c r="AA316" s="5"/>
      <c r="AB316" s="146"/>
      <c r="AC316" s="5"/>
      <c r="AD316" s="5"/>
      <c r="AE316" s="5"/>
      <c r="AF316" s="5"/>
      <c r="AG316" s="5"/>
      <c r="AH316" s="5"/>
    </row>
    <row r="317" spans="13:34">
      <c r="M317" s="2"/>
      <c r="O317" s="2"/>
      <c r="R317" s="2"/>
      <c r="T317" s="2"/>
      <c r="W317" s="2"/>
      <c r="Y317" s="2"/>
      <c r="Z317" s="2"/>
      <c r="AA317" s="5"/>
      <c r="AB317" s="146"/>
      <c r="AC317" s="5"/>
      <c r="AD317" s="5"/>
      <c r="AE317" s="5"/>
      <c r="AF317" s="5"/>
      <c r="AG317" s="5"/>
      <c r="AH317" s="5"/>
    </row>
    <row r="318" spans="13:34">
      <c r="M318" s="2"/>
      <c r="O318" s="2"/>
      <c r="R318" s="2"/>
      <c r="T318" s="2"/>
      <c r="W318" s="2"/>
      <c r="Y318" s="2"/>
      <c r="Z318" s="2"/>
      <c r="AA318" s="5"/>
      <c r="AB318" s="146"/>
      <c r="AC318" s="5"/>
      <c r="AD318" s="5"/>
      <c r="AE318" s="5"/>
      <c r="AF318" s="5"/>
      <c r="AG318" s="5"/>
      <c r="AH318" s="5"/>
    </row>
    <row r="319" spans="13:34">
      <c r="M319" s="2"/>
      <c r="O319" s="2"/>
      <c r="R319" s="2"/>
      <c r="T319" s="2"/>
      <c r="W319" s="2"/>
      <c r="Y319" s="2"/>
      <c r="Z319" s="2"/>
      <c r="AA319" s="5"/>
      <c r="AB319" s="146"/>
      <c r="AC319" s="5"/>
      <c r="AD319" s="5"/>
      <c r="AE319" s="5"/>
      <c r="AF319" s="5"/>
      <c r="AG319" s="5"/>
      <c r="AH319" s="5"/>
    </row>
    <row r="320" spans="13:34">
      <c r="M320" s="2"/>
      <c r="O320" s="2"/>
      <c r="R320" s="2"/>
      <c r="T320" s="2"/>
      <c r="W320" s="2"/>
      <c r="Y320" s="2"/>
      <c r="Z320" s="2"/>
      <c r="AA320" s="5"/>
      <c r="AB320" s="146"/>
      <c r="AC320" s="5"/>
      <c r="AD320" s="5"/>
      <c r="AE320" s="5"/>
      <c r="AF320" s="5"/>
      <c r="AG320" s="5"/>
      <c r="AH320" s="5"/>
    </row>
    <row r="321" spans="13:34">
      <c r="M321" s="2"/>
      <c r="O321" s="2"/>
      <c r="R321" s="2"/>
      <c r="T321" s="2"/>
      <c r="W321" s="2"/>
      <c r="Y321" s="2"/>
      <c r="Z321" s="2"/>
      <c r="AA321" s="5"/>
      <c r="AB321" s="146"/>
      <c r="AC321" s="5"/>
      <c r="AD321" s="5"/>
      <c r="AE321" s="5"/>
      <c r="AF321" s="5"/>
      <c r="AG321" s="5"/>
      <c r="AH321" s="5"/>
    </row>
    <row r="322" spans="13:34">
      <c r="M322" s="2"/>
      <c r="O322" s="2"/>
      <c r="R322" s="2"/>
      <c r="T322" s="2"/>
      <c r="W322" s="2"/>
      <c r="Y322" s="2"/>
      <c r="Z322" s="2"/>
      <c r="AA322" s="5"/>
      <c r="AB322" s="146"/>
      <c r="AC322" s="5"/>
      <c r="AD322" s="5"/>
      <c r="AE322" s="5"/>
      <c r="AF322" s="5"/>
      <c r="AG322" s="5"/>
      <c r="AH322" s="5"/>
    </row>
    <row r="323" spans="13:34">
      <c r="M323" s="2"/>
      <c r="O323" s="2"/>
      <c r="R323" s="2"/>
      <c r="T323" s="2"/>
      <c r="W323" s="2"/>
      <c r="Y323" s="2"/>
      <c r="Z323" s="2"/>
      <c r="AA323" s="5"/>
      <c r="AB323" s="146"/>
      <c r="AC323" s="5"/>
      <c r="AD323" s="5"/>
      <c r="AE323" s="5"/>
      <c r="AF323" s="5"/>
      <c r="AG323" s="5"/>
      <c r="AH323" s="5"/>
    </row>
    <row r="324" spans="13:34">
      <c r="M324" s="2"/>
      <c r="O324" s="2"/>
      <c r="R324" s="2"/>
      <c r="T324" s="2"/>
      <c r="W324" s="2"/>
      <c r="Y324" s="2"/>
      <c r="Z324" s="2"/>
      <c r="AA324" s="5"/>
      <c r="AB324" s="146"/>
      <c r="AC324" s="5"/>
      <c r="AD324" s="5"/>
      <c r="AE324" s="5"/>
      <c r="AF324" s="5"/>
      <c r="AG324" s="5"/>
      <c r="AH324" s="5"/>
    </row>
    <row r="325" spans="13:34">
      <c r="M325" s="2"/>
      <c r="O325" s="2"/>
      <c r="R325" s="2"/>
      <c r="T325" s="2"/>
      <c r="W325" s="2"/>
      <c r="Y325" s="2"/>
      <c r="Z325" s="2"/>
      <c r="AA325" s="5"/>
      <c r="AB325" s="146"/>
      <c r="AC325" s="5"/>
      <c r="AD325" s="5"/>
      <c r="AE325" s="5"/>
      <c r="AF325" s="5"/>
      <c r="AG325" s="5"/>
      <c r="AH325" s="5"/>
    </row>
    <row r="326" spans="13:34">
      <c r="M326" s="2"/>
      <c r="O326" s="2"/>
      <c r="R326" s="2"/>
      <c r="T326" s="2"/>
      <c r="W326" s="2"/>
      <c r="Y326" s="2"/>
      <c r="Z326" s="2"/>
      <c r="AA326" s="5"/>
      <c r="AB326" s="146"/>
      <c r="AC326" s="5"/>
      <c r="AD326" s="5"/>
      <c r="AE326" s="5"/>
      <c r="AF326" s="5"/>
      <c r="AG326" s="5"/>
      <c r="AH326" s="5"/>
    </row>
    <row r="327" spans="13:34">
      <c r="M327" s="2"/>
      <c r="O327" s="2"/>
      <c r="R327" s="2"/>
      <c r="T327" s="2"/>
      <c r="W327" s="2"/>
      <c r="Y327" s="2"/>
      <c r="Z327" s="2"/>
      <c r="AA327" s="5"/>
      <c r="AB327" s="146"/>
      <c r="AC327" s="5"/>
      <c r="AD327" s="5"/>
      <c r="AE327" s="5"/>
      <c r="AF327" s="5"/>
      <c r="AG327" s="5"/>
      <c r="AH327" s="5"/>
    </row>
    <row r="328" spans="13:34">
      <c r="M328" s="2"/>
      <c r="O328" s="2"/>
      <c r="R328" s="2"/>
      <c r="T328" s="2"/>
      <c r="W328" s="2"/>
      <c r="Y328" s="2"/>
      <c r="Z328" s="2"/>
      <c r="AA328" s="5"/>
      <c r="AB328" s="146"/>
      <c r="AC328" s="5"/>
      <c r="AD328" s="5"/>
      <c r="AE328" s="5"/>
      <c r="AF328" s="5"/>
      <c r="AG328" s="5"/>
      <c r="AH328" s="5"/>
    </row>
    <row r="329" spans="13:34">
      <c r="M329" s="2"/>
      <c r="O329" s="2"/>
      <c r="R329" s="2"/>
      <c r="T329" s="2"/>
      <c r="W329" s="2"/>
      <c r="Y329" s="2"/>
      <c r="Z329" s="2"/>
      <c r="AA329" s="5"/>
      <c r="AB329" s="146"/>
      <c r="AC329" s="5"/>
      <c r="AD329" s="5"/>
      <c r="AE329" s="5"/>
      <c r="AF329" s="5"/>
      <c r="AG329" s="5"/>
      <c r="AH329" s="5"/>
    </row>
    <row r="330" spans="13:34">
      <c r="M330" s="2"/>
      <c r="O330" s="2"/>
      <c r="R330" s="2"/>
      <c r="T330" s="2"/>
      <c r="W330" s="2"/>
      <c r="Y330" s="2"/>
      <c r="Z330" s="2"/>
      <c r="AA330" s="5"/>
      <c r="AB330" s="146"/>
      <c r="AC330" s="5"/>
      <c r="AD330" s="5"/>
      <c r="AE330" s="5"/>
      <c r="AF330" s="5"/>
      <c r="AG330" s="5"/>
      <c r="AH330" s="5"/>
    </row>
    <row r="331" spans="13:34">
      <c r="M331" s="2"/>
      <c r="O331" s="2"/>
      <c r="R331" s="2"/>
      <c r="T331" s="2"/>
      <c r="W331" s="2"/>
      <c r="Y331" s="2"/>
      <c r="Z331" s="2"/>
      <c r="AA331" s="5"/>
      <c r="AB331" s="146"/>
      <c r="AC331" s="5"/>
      <c r="AD331" s="5"/>
      <c r="AE331" s="5"/>
      <c r="AF331" s="5"/>
      <c r="AG331" s="5"/>
      <c r="AH331" s="5"/>
    </row>
    <row r="332" spans="13:34">
      <c r="M332" s="2"/>
      <c r="O332" s="2"/>
      <c r="R332" s="2"/>
      <c r="T332" s="2"/>
      <c r="W332" s="2"/>
      <c r="Y332" s="2"/>
      <c r="Z332" s="2"/>
      <c r="AA332" s="5"/>
      <c r="AB332" s="146"/>
      <c r="AC332" s="5"/>
      <c r="AD332" s="5"/>
      <c r="AE332" s="5"/>
      <c r="AF332" s="5"/>
      <c r="AG332" s="5"/>
      <c r="AH332" s="5"/>
    </row>
    <row r="333" spans="13:34">
      <c r="M333" s="2"/>
      <c r="O333" s="2"/>
      <c r="R333" s="2"/>
      <c r="T333" s="2"/>
      <c r="W333" s="2"/>
      <c r="Y333" s="2"/>
      <c r="Z333" s="2"/>
      <c r="AA333" s="5"/>
      <c r="AB333" s="146"/>
      <c r="AC333" s="5"/>
      <c r="AD333" s="5"/>
      <c r="AE333" s="5"/>
      <c r="AF333" s="5"/>
      <c r="AG333" s="5"/>
      <c r="AH333" s="5"/>
    </row>
    <row r="334" spans="13:34">
      <c r="M334" s="2"/>
      <c r="O334" s="2"/>
      <c r="R334" s="2"/>
      <c r="T334" s="2"/>
      <c r="W334" s="2"/>
      <c r="Y334" s="2"/>
      <c r="Z334" s="2"/>
      <c r="AA334" s="5"/>
      <c r="AB334" s="146"/>
      <c r="AC334" s="5"/>
      <c r="AD334" s="5"/>
      <c r="AE334" s="5"/>
      <c r="AF334" s="5"/>
      <c r="AG334" s="5"/>
      <c r="AH334" s="5"/>
    </row>
    <row r="335" spans="13:34">
      <c r="M335" s="2"/>
      <c r="O335" s="2"/>
      <c r="R335" s="2"/>
      <c r="T335" s="2"/>
      <c r="W335" s="2"/>
      <c r="Y335" s="2"/>
      <c r="Z335" s="2"/>
      <c r="AA335" s="5"/>
      <c r="AB335" s="146"/>
      <c r="AC335" s="5"/>
      <c r="AD335" s="5"/>
      <c r="AE335" s="5"/>
      <c r="AF335" s="5"/>
      <c r="AG335" s="5"/>
      <c r="AH335" s="5"/>
    </row>
    <row r="336" spans="13:34">
      <c r="M336" s="2"/>
      <c r="O336" s="2"/>
      <c r="R336" s="2"/>
      <c r="T336" s="2"/>
      <c r="W336" s="2"/>
      <c r="Y336" s="2"/>
      <c r="Z336" s="2"/>
      <c r="AA336" s="5"/>
      <c r="AB336" s="146"/>
      <c r="AC336" s="5"/>
      <c r="AD336" s="5"/>
      <c r="AE336" s="5"/>
      <c r="AF336" s="5"/>
      <c r="AG336" s="5"/>
      <c r="AH336" s="5"/>
    </row>
    <row r="337" spans="13:34">
      <c r="M337" s="2"/>
      <c r="O337" s="2"/>
      <c r="R337" s="2"/>
      <c r="T337" s="2"/>
      <c r="W337" s="2"/>
      <c r="Y337" s="2"/>
      <c r="Z337" s="2"/>
      <c r="AA337" s="5"/>
      <c r="AB337" s="146"/>
      <c r="AC337" s="5"/>
      <c r="AD337" s="5"/>
      <c r="AE337" s="5"/>
      <c r="AF337" s="5"/>
      <c r="AG337" s="5"/>
      <c r="AH337" s="5"/>
    </row>
    <row r="338" spans="13:34">
      <c r="M338" s="2"/>
      <c r="O338" s="2"/>
      <c r="R338" s="2"/>
      <c r="T338" s="2"/>
      <c r="W338" s="2"/>
      <c r="Y338" s="2"/>
      <c r="Z338" s="2"/>
      <c r="AA338" s="5"/>
      <c r="AB338" s="146"/>
      <c r="AC338" s="5"/>
      <c r="AD338" s="5"/>
      <c r="AE338" s="5"/>
      <c r="AF338" s="5"/>
      <c r="AG338" s="5"/>
      <c r="AH338" s="5"/>
    </row>
    <row r="339" spans="13:34">
      <c r="M339" s="2"/>
      <c r="O339" s="2"/>
      <c r="R339" s="2"/>
      <c r="T339" s="2"/>
      <c r="W339" s="2"/>
      <c r="Y339" s="2"/>
      <c r="Z339" s="2"/>
      <c r="AA339" s="5"/>
      <c r="AB339" s="146"/>
      <c r="AC339" s="5"/>
      <c r="AD339" s="5"/>
      <c r="AE339" s="5"/>
      <c r="AF339" s="5"/>
      <c r="AG339" s="5"/>
      <c r="AH339" s="5"/>
    </row>
    <row r="340" spans="13:34">
      <c r="M340" s="2"/>
      <c r="O340" s="2"/>
      <c r="R340" s="2"/>
      <c r="T340" s="2"/>
      <c r="W340" s="2"/>
      <c r="Y340" s="2"/>
      <c r="Z340" s="2"/>
      <c r="AA340" s="5"/>
      <c r="AB340" s="146"/>
      <c r="AC340" s="5"/>
      <c r="AD340" s="5"/>
      <c r="AE340" s="5"/>
      <c r="AF340" s="5"/>
      <c r="AG340" s="5"/>
      <c r="AH340" s="5"/>
    </row>
    <row r="341" spans="13:34">
      <c r="M341" s="2"/>
      <c r="O341" s="2"/>
      <c r="R341" s="2"/>
      <c r="T341" s="2"/>
      <c r="W341" s="2"/>
      <c r="Y341" s="2"/>
      <c r="Z341" s="2"/>
      <c r="AA341" s="5"/>
      <c r="AB341" s="146"/>
      <c r="AC341" s="5"/>
      <c r="AD341" s="5"/>
      <c r="AE341" s="5"/>
      <c r="AF341" s="5"/>
      <c r="AG341" s="5"/>
      <c r="AH341" s="5"/>
    </row>
    <row r="342" spans="13:34">
      <c r="M342" s="2"/>
      <c r="O342" s="2"/>
      <c r="R342" s="2"/>
      <c r="T342" s="2"/>
      <c r="W342" s="2"/>
      <c r="Y342" s="2"/>
      <c r="Z342" s="2"/>
      <c r="AA342" s="5"/>
      <c r="AB342" s="146"/>
      <c r="AC342" s="5"/>
      <c r="AD342" s="5"/>
      <c r="AE342" s="5"/>
      <c r="AF342" s="5"/>
      <c r="AG342" s="5"/>
      <c r="AH342" s="5"/>
    </row>
    <row r="343" spans="13:34">
      <c r="M343" s="2"/>
      <c r="O343" s="2"/>
      <c r="R343" s="2"/>
      <c r="T343" s="2"/>
      <c r="W343" s="2"/>
      <c r="Y343" s="2"/>
      <c r="Z343" s="2"/>
      <c r="AA343" s="5"/>
      <c r="AB343" s="146"/>
      <c r="AC343" s="5"/>
      <c r="AD343" s="5"/>
      <c r="AE343" s="5"/>
      <c r="AF343" s="5"/>
      <c r="AG343" s="5"/>
      <c r="AH343" s="5"/>
    </row>
    <row r="344" spans="13:34">
      <c r="M344" s="2"/>
      <c r="O344" s="2"/>
      <c r="R344" s="2"/>
      <c r="T344" s="2"/>
      <c r="W344" s="2"/>
      <c r="Y344" s="2"/>
      <c r="Z344" s="2"/>
      <c r="AA344" s="5"/>
      <c r="AB344" s="146"/>
      <c r="AC344" s="5"/>
      <c r="AD344" s="5"/>
      <c r="AE344" s="5"/>
      <c r="AF344" s="5"/>
      <c r="AG344" s="5"/>
      <c r="AH344" s="5"/>
    </row>
    <row r="345" spans="13:34">
      <c r="M345" s="2"/>
      <c r="O345" s="2"/>
      <c r="R345" s="2"/>
      <c r="T345" s="2"/>
      <c r="W345" s="2"/>
      <c r="Y345" s="2"/>
      <c r="Z345" s="2"/>
      <c r="AA345" s="5"/>
      <c r="AB345" s="146"/>
      <c r="AC345" s="5"/>
      <c r="AD345" s="5"/>
      <c r="AE345" s="5"/>
      <c r="AF345" s="5"/>
      <c r="AG345" s="5"/>
      <c r="AH345" s="5"/>
    </row>
    <row r="346" spans="13:34">
      <c r="M346" s="2"/>
      <c r="O346" s="2"/>
      <c r="R346" s="2"/>
      <c r="T346" s="2"/>
      <c r="W346" s="2"/>
      <c r="Y346" s="2"/>
      <c r="Z346" s="2"/>
      <c r="AA346" s="5"/>
      <c r="AB346" s="146"/>
      <c r="AC346" s="5"/>
      <c r="AD346" s="5"/>
      <c r="AE346" s="5"/>
      <c r="AF346" s="5"/>
      <c r="AG346" s="5"/>
      <c r="AH346" s="5"/>
    </row>
    <row r="347" spans="13:34">
      <c r="M347" s="2"/>
      <c r="O347" s="2"/>
      <c r="R347" s="2"/>
      <c r="T347" s="2"/>
      <c r="W347" s="2"/>
      <c r="Y347" s="2"/>
      <c r="Z347" s="2"/>
      <c r="AA347" s="5"/>
      <c r="AB347" s="146"/>
      <c r="AC347" s="5"/>
      <c r="AD347" s="5"/>
      <c r="AE347" s="5"/>
      <c r="AF347" s="5"/>
      <c r="AG347" s="5"/>
      <c r="AH347" s="5"/>
    </row>
    <row r="348" spans="13:34">
      <c r="M348" s="2"/>
      <c r="O348" s="2"/>
      <c r="R348" s="2"/>
      <c r="T348" s="2"/>
      <c r="W348" s="2"/>
      <c r="Y348" s="2"/>
      <c r="Z348" s="2"/>
      <c r="AA348" s="5"/>
      <c r="AB348" s="146"/>
      <c r="AC348" s="5"/>
      <c r="AD348" s="5"/>
      <c r="AE348" s="5"/>
      <c r="AF348" s="5"/>
      <c r="AG348" s="5"/>
      <c r="AH348" s="5"/>
    </row>
    <row r="349" spans="13:34">
      <c r="M349" s="2"/>
      <c r="O349" s="2"/>
      <c r="R349" s="2"/>
      <c r="T349" s="2"/>
      <c r="W349" s="2"/>
      <c r="Y349" s="2"/>
      <c r="Z349" s="2"/>
      <c r="AA349" s="5"/>
      <c r="AB349" s="146"/>
      <c r="AC349" s="5"/>
      <c r="AD349" s="5"/>
      <c r="AE349" s="5"/>
      <c r="AF349" s="5"/>
      <c r="AG349" s="5"/>
      <c r="AH349" s="5"/>
    </row>
    <row r="350" spans="13:34">
      <c r="M350" s="2"/>
      <c r="O350" s="2"/>
      <c r="R350" s="2"/>
      <c r="T350" s="2"/>
      <c r="W350" s="2"/>
      <c r="Y350" s="2"/>
      <c r="Z350" s="2"/>
      <c r="AA350" s="5"/>
      <c r="AB350" s="146"/>
      <c r="AC350" s="5"/>
      <c r="AD350" s="5"/>
      <c r="AE350" s="5"/>
      <c r="AF350" s="5"/>
      <c r="AG350" s="5"/>
      <c r="AH350" s="5"/>
    </row>
    <row r="351" spans="13:34">
      <c r="M351" s="2"/>
      <c r="O351" s="2"/>
      <c r="R351" s="2"/>
      <c r="T351" s="2"/>
      <c r="W351" s="2"/>
      <c r="Y351" s="2"/>
      <c r="Z351" s="2"/>
      <c r="AA351" s="5"/>
      <c r="AB351" s="146"/>
      <c r="AC351" s="5"/>
      <c r="AD351" s="5"/>
      <c r="AE351" s="5"/>
      <c r="AF351" s="5"/>
      <c r="AG351" s="5"/>
      <c r="AH351" s="5"/>
    </row>
    <row r="352" spans="13:34">
      <c r="M352" s="2"/>
      <c r="O352" s="2"/>
      <c r="R352" s="2"/>
      <c r="T352" s="2"/>
      <c r="W352" s="2"/>
      <c r="Y352" s="2"/>
      <c r="Z352" s="2"/>
      <c r="AA352" s="5"/>
      <c r="AB352" s="146"/>
      <c r="AC352" s="5"/>
      <c r="AD352" s="5"/>
      <c r="AE352" s="5"/>
      <c r="AF352" s="5"/>
      <c r="AG352" s="5"/>
      <c r="AH352" s="5"/>
    </row>
    <row r="353" spans="13:34">
      <c r="M353" s="2"/>
      <c r="O353" s="2"/>
      <c r="R353" s="2"/>
      <c r="T353" s="2"/>
      <c r="W353" s="2"/>
      <c r="Y353" s="2"/>
      <c r="Z353" s="2"/>
      <c r="AA353" s="5"/>
      <c r="AB353" s="146"/>
      <c r="AC353" s="5"/>
      <c r="AD353" s="5"/>
      <c r="AE353" s="5"/>
      <c r="AF353" s="5"/>
      <c r="AG353" s="5"/>
      <c r="AH353" s="5"/>
    </row>
    <row r="354" spans="13:34">
      <c r="M354" s="2"/>
      <c r="O354" s="2"/>
      <c r="R354" s="2"/>
      <c r="T354" s="2"/>
      <c r="W354" s="2"/>
      <c r="Y354" s="2"/>
      <c r="Z354" s="2"/>
      <c r="AA354" s="5"/>
      <c r="AB354" s="146"/>
      <c r="AC354" s="5"/>
      <c r="AD354" s="5"/>
      <c r="AE354" s="5"/>
      <c r="AF354" s="5"/>
      <c r="AG354" s="5"/>
      <c r="AH354" s="5"/>
    </row>
    <row r="355" spans="13:34">
      <c r="M355" s="2"/>
      <c r="O355" s="2"/>
      <c r="R355" s="2"/>
      <c r="T355" s="2"/>
      <c r="W355" s="2"/>
      <c r="Y355" s="2"/>
      <c r="Z355" s="2"/>
      <c r="AA355" s="5"/>
      <c r="AB355" s="146"/>
      <c r="AC355" s="5"/>
      <c r="AD355" s="5"/>
      <c r="AE355" s="5"/>
      <c r="AF355" s="5"/>
      <c r="AG355" s="5"/>
      <c r="AH355" s="5"/>
    </row>
    <row r="356" spans="13:34">
      <c r="M356" s="2"/>
      <c r="O356" s="2"/>
      <c r="R356" s="2"/>
      <c r="T356" s="2"/>
      <c r="W356" s="2"/>
      <c r="Y356" s="2"/>
      <c r="Z356" s="2"/>
      <c r="AA356" s="5"/>
      <c r="AB356" s="146"/>
      <c r="AC356" s="5"/>
      <c r="AD356" s="5"/>
      <c r="AE356" s="5"/>
      <c r="AF356" s="5"/>
      <c r="AG356" s="5"/>
      <c r="AH356" s="5"/>
    </row>
    <row r="357" spans="13:34">
      <c r="M357" s="2"/>
      <c r="O357" s="2"/>
      <c r="R357" s="2"/>
      <c r="T357" s="2"/>
      <c r="W357" s="2"/>
      <c r="Y357" s="2"/>
      <c r="Z357" s="2"/>
      <c r="AA357" s="5"/>
      <c r="AB357" s="146"/>
      <c r="AC357" s="5"/>
      <c r="AD357" s="5"/>
      <c r="AE357" s="5"/>
      <c r="AF357" s="5"/>
      <c r="AG357" s="5"/>
      <c r="AH357" s="5"/>
    </row>
    <row r="358" spans="13:34">
      <c r="M358" s="2"/>
      <c r="O358" s="2"/>
      <c r="R358" s="2"/>
      <c r="T358" s="2"/>
      <c r="W358" s="2"/>
      <c r="Y358" s="2"/>
      <c r="Z358" s="2"/>
      <c r="AA358" s="5"/>
      <c r="AB358" s="146"/>
      <c r="AC358" s="5"/>
      <c r="AD358" s="5"/>
      <c r="AE358" s="5"/>
      <c r="AF358" s="5"/>
      <c r="AG358" s="5"/>
      <c r="AH358" s="5"/>
    </row>
    <row r="359" spans="13:34">
      <c r="M359" s="2"/>
      <c r="O359" s="2"/>
      <c r="R359" s="2"/>
      <c r="T359" s="2"/>
      <c r="W359" s="2"/>
      <c r="Y359" s="2"/>
      <c r="Z359" s="2"/>
      <c r="AA359" s="5"/>
      <c r="AB359" s="146"/>
      <c r="AC359" s="5"/>
      <c r="AD359" s="5"/>
      <c r="AE359" s="5"/>
      <c r="AF359" s="5"/>
      <c r="AG359" s="5"/>
      <c r="AH359" s="5"/>
    </row>
    <row r="360" spans="13:34">
      <c r="M360" s="2"/>
      <c r="O360" s="2"/>
      <c r="R360" s="2"/>
      <c r="T360" s="2"/>
      <c r="W360" s="2"/>
      <c r="Y360" s="2"/>
      <c r="Z360" s="2"/>
      <c r="AA360" s="5"/>
      <c r="AB360" s="146"/>
      <c r="AC360" s="5"/>
      <c r="AD360" s="5"/>
      <c r="AE360" s="5"/>
      <c r="AF360" s="5"/>
      <c r="AG360" s="5"/>
      <c r="AH360" s="5"/>
    </row>
    <row r="361" spans="13:34">
      <c r="M361" s="2"/>
      <c r="O361" s="2"/>
      <c r="R361" s="2"/>
      <c r="T361" s="2"/>
      <c r="W361" s="2"/>
      <c r="Y361" s="2"/>
      <c r="Z361" s="2"/>
      <c r="AA361" s="5"/>
      <c r="AB361" s="146"/>
      <c r="AC361" s="5"/>
      <c r="AD361" s="5"/>
      <c r="AE361" s="5"/>
      <c r="AF361" s="5"/>
      <c r="AG361" s="5"/>
      <c r="AH361" s="5"/>
    </row>
    <row r="362" spans="13:34">
      <c r="M362" s="2"/>
      <c r="O362" s="2"/>
      <c r="R362" s="2"/>
      <c r="T362" s="2"/>
      <c r="W362" s="2"/>
      <c r="Y362" s="2"/>
      <c r="Z362" s="2"/>
      <c r="AA362" s="5"/>
      <c r="AB362" s="146"/>
      <c r="AC362" s="5"/>
      <c r="AD362" s="5"/>
      <c r="AE362" s="5"/>
      <c r="AF362" s="5"/>
      <c r="AG362" s="5"/>
      <c r="AH362" s="5"/>
    </row>
    <row r="363" spans="13:34">
      <c r="M363" s="2"/>
      <c r="O363" s="2"/>
      <c r="R363" s="2"/>
      <c r="T363" s="2"/>
      <c r="W363" s="2"/>
      <c r="Y363" s="2"/>
      <c r="Z363" s="2"/>
      <c r="AA363" s="5"/>
      <c r="AB363" s="146"/>
      <c r="AC363" s="5"/>
      <c r="AD363" s="5"/>
      <c r="AE363" s="5"/>
      <c r="AF363" s="5"/>
      <c r="AG363" s="5"/>
      <c r="AH363" s="5"/>
    </row>
    <row r="364" spans="13:34">
      <c r="M364" s="2"/>
      <c r="O364" s="2"/>
      <c r="R364" s="2"/>
      <c r="T364" s="2"/>
      <c r="W364" s="2"/>
      <c r="Y364" s="2"/>
      <c r="Z364" s="2"/>
      <c r="AA364" s="5"/>
      <c r="AB364" s="146"/>
      <c r="AC364" s="5"/>
      <c r="AD364" s="5"/>
      <c r="AE364" s="5"/>
      <c r="AF364" s="5"/>
      <c r="AG364" s="5"/>
      <c r="AH364" s="5"/>
    </row>
    <row r="365" spans="13:34">
      <c r="M365" s="2"/>
      <c r="O365" s="2"/>
      <c r="R365" s="2"/>
      <c r="T365" s="2"/>
      <c r="W365" s="2"/>
      <c r="Y365" s="2"/>
      <c r="Z365" s="2"/>
      <c r="AA365" s="5"/>
      <c r="AB365" s="146"/>
      <c r="AC365" s="5"/>
      <c r="AD365" s="5"/>
      <c r="AE365" s="5"/>
      <c r="AF365" s="5"/>
      <c r="AG365" s="5"/>
      <c r="AH365" s="5"/>
    </row>
    <row r="366" spans="13:34">
      <c r="M366" s="2"/>
      <c r="O366" s="2"/>
      <c r="R366" s="2"/>
      <c r="T366" s="2"/>
      <c r="W366" s="2"/>
      <c r="Y366" s="2"/>
      <c r="Z366" s="2"/>
      <c r="AA366" s="5"/>
      <c r="AB366" s="146"/>
      <c r="AC366" s="5"/>
      <c r="AD366" s="5"/>
      <c r="AE366" s="5"/>
      <c r="AF366" s="5"/>
      <c r="AG366" s="5"/>
      <c r="AH366" s="5"/>
    </row>
    <row r="367" spans="13:34">
      <c r="M367" s="2"/>
      <c r="O367" s="2"/>
      <c r="R367" s="2"/>
      <c r="T367" s="2"/>
      <c r="W367" s="2"/>
      <c r="Y367" s="2"/>
      <c r="Z367" s="2"/>
      <c r="AA367" s="5"/>
      <c r="AB367" s="146"/>
      <c r="AC367" s="5"/>
      <c r="AD367" s="5"/>
      <c r="AE367" s="5"/>
      <c r="AF367" s="5"/>
      <c r="AG367" s="5"/>
      <c r="AH367" s="5"/>
    </row>
    <row r="368" spans="13:34">
      <c r="M368" s="2"/>
      <c r="O368" s="2"/>
      <c r="R368" s="2"/>
      <c r="T368" s="2"/>
      <c r="W368" s="2"/>
      <c r="Y368" s="2"/>
      <c r="Z368" s="2"/>
      <c r="AA368" s="5"/>
      <c r="AB368" s="146"/>
      <c r="AC368" s="5"/>
      <c r="AD368" s="5"/>
      <c r="AE368" s="5"/>
      <c r="AF368" s="5"/>
      <c r="AG368" s="5"/>
      <c r="AH368" s="5"/>
    </row>
    <row r="369" spans="13:34">
      <c r="M369" s="2"/>
      <c r="O369" s="2"/>
      <c r="R369" s="2"/>
      <c r="T369" s="2"/>
      <c r="W369" s="2"/>
      <c r="Y369" s="2"/>
      <c r="Z369" s="2"/>
      <c r="AA369" s="5"/>
      <c r="AB369" s="146"/>
      <c r="AC369" s="5"/>
      <c r="AD369" s="5"/>
      <c r="AE369" s="5"/>
      <c r="AF369" s="5"/>
      <c r="AG369" s="5"/>
      <c r="AH369" s="5"/>
    </row>
    <row r="370" spans="13:34">
      <c r="M370" s="2"/>
      <c r="O370" s="2"/>
      <c r="R370" s="2"/>
      <c r="T370" s="2"/>
      <c r="W370" s="2"/>
      <c r="Y370" s="2"/>
      <c r="Z370" s="2"/>
      <c r="AA370" s="5"/>
      <c r="AB370" s="146"/>
      <c r="AC370" s="5"/>
      <c r="AD370" s="5"/>
      <c r="AE370" s="5"/>
      <c r="AF370" s="5"/>
      <c r="AG370" s="5"/>
      <c r="AH370" s="5"/>
    </row>
    <row r="371" spans="13:34">
      <c r="M371" s="2"/>
      <c r="O371" s="2"/>
      <c r="R371" s="2"/>
      <c r="T371" s="2"/>
      <c r="W371" s="2"/>
      <c r="Y371" s="2"/>
      <c r="Z371" s="2"/>
      <c r="AA371" s="5"/>
      <c r="AB371" s="146"/>
      <c r="AC371" s="5"/>
      <c r="AD371" s="5"/>
      <c r="AE371" s="5"/>
      <c r="AF371" s="5"/>
      <c r="AG371" s="5"/>
      <c r="AH371" s="5"/>
    </row>
    <row r="372" spans="13:34">
      <c r="M372" s="2"/>
      <c r="O372" s="2"/>
      <c r="R372" s="2"/>
      <c r="T372" s="2"/>
      <c r="W372" s="2"/>
      <c r="Y372" s="2"/>
      <c r="Z372" s="2"/>
      <c r="AA372" s="5"/>
      <c r="AB372" s="146"/>
      <c r="AC372" s="5"/>
      <c r="AD372" s="5"/>
      <c r="AE372" s="5"/>
      <c r="AF372" s="5"/>
      <c r="AG372" s="5"/>
      <c r="AH372" s="5"/>
    </row>
    <row r="373" spans="13:34">
      <c r="M373" s="2"/>
      <c r="O373" s="2"/>
      <c r="R373" s="2"/>
      <c r="T373" s="2"/>
      <c r="W373" s="2"/>
      <c r="Y373" s="2"/>
      <c r="Z373" s="2"/>
      <c r="AA373" s="5"/>
      <c r="AB373" s="146"/>
      <c r="AC373" s="5"/>
      <c r="AD373" s="5"/>
      <c r="AE373" s="5"/>
      <c r="AF373" s="5"/>
      <c r="AG373" s="5"/>
      <c r="AH373" s="5"/>
    </row>
    <row r="374" spans="13:34">
      <c r="M374" s="2"/>
      <c r="O374" s="2"/>
      <c r="R374" s="2"/>
      <c r="T374" s="2"/>
      <c r="W374" s="2"/>
      <c r="Y374" s="2"/>
      <c r="Z374" s="2"/>
      <c r="AA374" s="5"/>
      <c r="AB374" s="146"/>
      <c r="AC374" s="5"/>
      <c r="AD374" s="5"/>
      <c r="AE374" s="5"/>
      <c r="AF374" s="5"/>
      <c r="AG374" s="5"/>
      <c r="AH374" s="5"/>
    </row>
    <row r="375" spans="13:34">
      <c r="M375" s="2"/>
      <c r="O375" s="2"/>
      <c r="R375" s="2"/>
      <c r="T375" s="2"/>
      <c r="W375" s="2"/>
      <c r="Y375" s="2"/>
      <c r="Z375" s="2"/>
      <c r="AA375" s="5"/>
      <c r="AB375" s="146"/>
      <c r="AC375" s="5"/>
      <c r="AD375" s="5"/>
      <c r="AE375" s="5"/>
      <c r="AF375" s="5"/>
      <c r="AG375" s="5"/>
      <c r="AH375" s="5"/>
    </row>
    <row r="376" spans="13:34">
      <c r="M376" s="2"/>
      <c r="O376" s="2"/>
      <c r="R376" s="2"/>
      <c r="T376" s="2"/>
      <c r="W376" s="2"/>
      <c r="Y376" s="2"/>
      <c r="Z376" s="2"/>
      <c r="AA376" s="5"/>
      <c r="AB376" s="146"/>
      <c r="AC376" s="5"/>
      <c r="AD376" s="5"/>
      <c r="AE376" s="5"/>
      <c r="AF376" s="5"/>
      <c r="AG376" s="5"/>
      <c r="AH376" s="5"/>
    </row>
    <row r="377" spans="13:34">
      <c r="M377" s="2"/>
      <c r="O377" s="2"/>
      <c r="R377" s="2"/>
      <c r="T377" s="2"/>
      <c r="W377" s="2"/>
      <c r="Y377" s="2"/>
      <c r="Z377" s="2"/>
      <c r="AA377" s="5"/>
      <c r="AB377" s="146"/>
      <c r="AC377" s="5"/>
      <c r="AD377" s="5"/>
      <c r="AE377" s="5"/>
      <c r="AF377" s="5"/>
      <c r="AG377" s="5"/>
      <c r="AH377" s="5"/>
    </row>
    <row r="378" spans="13:34">
      <c r="M378" s="2"/>
      <c r="O378" s="2"/>
      <c r="R378" s="2"/>
      <c r="T378" s="2"/>
      <c r="W378" s="2"/>
      <c r="Y378" s="2"/>
      <c r="Z378" s="2"/>
      <c r="AA378" s="5"/>
      <c r="AB378" s="146"/>
      <c r="AC378" s="5"/>
      <c r="AD378" s="5"/>
      <c r="AE378" s="5"/>
      <c r="AF378" s="5"/>
      <c r="AG378" s="5"/>
      <c r="AH378" s="5"/>
    </row>
    <row r="379" spans="13:34">
      <c r="M379" s="2"/>
      <c r="O379" s="2"/>
      <c r="R379" s="2"/>
      <c r="T379" s="2"/>
      <c r="W379" s="2"/>
      <c r="Y379" s="2"/>
      <c r="Z379" s="2"/>
      <c r="AA379" s="5"/>
      <c r="AB379" s="146"/>
      <c r="AC379" s="5"/>
      <c r="AD379" s="5"/>
      <c r="AE379" s="5"/>
      <c r="AF379" s="5"/>
      <c r="AG379" s="5"/>
      <c r="AH379" s="5"/>
    </row>
    <row r="380" spans="13:34">
      <c r="M380" s="2"/>
      <c r="O380" s="2"/>
      <c r="R380" s="2"/>
      <c r="T380" s="2"/>
      <c r="W380" s="2"/>
      <c r="Y380" s="2"/>
      <c r="Z380" s="2"/>
      <c r="AA380" s="5"/>
      <c r="AB380" s="146"/>
      <c r="AC380" s="5"/>
      <c r="AD380" s="5"/>
      <c r="AE380" s="5"/>
      <c r="AF380" s="5"/>
      <c r="AG380" s="5"/>
      <c r="AH380" s="5"/>
    </row>
    <row r="381" spans="13:34">
      <c r="M381" s="2"/>
      <c r="O381" s="2"/>
      <c r="R381" s="2"/>
      <c r="T381" s="2"/>
      <c r="W381" s="2"/>
      <c r="Y381" s="2"/>
      <c r="Z381" s="2"/>
      <c r="AA381" s="5"/>
      <c r="AB381" s="146"/>
      <c r="AC381" s="5"/>
      <c r="AD381" s="5"/>
      <c r="AE381" s="5"/>
      <c r="AF381" s="5"/>
      <c r="AG381" s="5"/>
      <c r="AH381" s="5"/>
    </row>
    <row r="382" spans="13:34">
      <c r="M382" s="2"/>
      <c r="O382" s="2"/>
      <c r="R382" s="2"/>
      <c r="T382" s="2"/>
      <c r="W382" s="2"/>
      <c r="Y382" s="2"/>
      <c r="Z382" s="2"/>
      <c r="AA382" s="5"/>
      <c r="AB382" s="146"/>
      <c r="AC382" s="5"/>
      <c r="AD382" s="5"/>
      <c r="AE382" s="5"/>
      <c r="AF382" s="5"/>
      <c r="AG382" s="5"/>
      <c r="AH382" s="5"/>
    </row>
    <row r="383" spans="13:34">
      <c r="M383" s="2"/>
      <c r="O383" s="2"/>
      <c r="R383" s="2"/>
      <c r="T383" s="2"/>
      <c r="W383" s="2"/>
      <c r="Y383" s="2"/>
      <c r="Z383" s="2"/>
      <c r="AA383" s="5"/>
      <c r="AB383" s="146"/>
      <c r="AC383" s="5"/>
      <c r="AD383" s="5"/>
      <c r="AE383" s="5"/>
      <c r="AF383" s="5"/>
      <c r="AG383" s="5"/>
      <c r="AH383" s="5"/>
    </row>
    <row r="384" spans="13:34">
      <c r="M384" s="2"/>
      <c r="O384" s="2"/>
      <c r="R384" s="2"/>
      <c r="T384" s="2"/>
      <c r="W384" s="2"/>
      <c r="Y384" s="2"/>
      <c r="Z384" s="2"/>
      <c r="AA384" s="5"/>
      <c r="AB384" s="146"/>
      <c r="AC384" s="5"/>
      <c r="AD384" s="5"/>
      <c r="AE384" s="5"/>
      <c r="AF384" s="5"/>
      <c r="AG384" s="5"/>
      <c r="AH384" s="5"/>
    </row>
    <row r="385" spans="13:34">
      <c r="M385" s="2"/>
      <c r="O385" s="2"/>
      <c r="R385" s="2"/>
      <c r="T385" s="2"/>
      <c r="W385" s="2"/>
      <c r="Y385" s="2"/>
      <c r="Z385" s="2"/>
      <c r="AA385" s="5"/>
      <c r="AB385" s="146"/>
      <c r="AC385" s="5"/>
      <c r="AD385" s="5"/>
      <c r="AE385" s="5"/>
      <c r="AF385" s="5"/>
      <c r="AG385" s="5"/>
      <c r="AH385" s="5"/>
    </row>
    <row r="386" spans="13:34">
      <c r="M386" s="2"/>
      <c r="O386" s="2"/>
      <c r="R386" s="2"/>
      <c r="T386" s="2"/>
      <c r="W386" s="2"/>
      <c r="Y386" s="2"/>
      <c r="Z386" s="2"/>
      <c r="AA386" s="5"/>
      <c r="AB386" s="146"/>
      <c r="AC386" s="5"/>
      <c r="AD386" s="5"/>
      <c r="AE386" s="5"/>
      <c r="AF386" s="5"/>
      <c r="AG386" s="5"/>
      <c r="AH386" s="5"/>
    </row>
    <row r="387" spans="13:34">
      <c r="M387" s="2"/>
      <c r="O387" s="2"/>
      <c r="R387" s="2"/>
      <c r="T387" s="2"/>
      <c r="W387" s="2"/>
      <c r="Y387" s="2"/>
      <c r="Z387" s="2"/>
      <c r="AA387" s="5"/>
      <c r="AB387" s="146"/>
      <c r="AC387" s="5"/>
      <c r="AD387" s="5"/>
      <c r="AE387" s="5"/>
      <c r="AF387" s="5"/>
      <c r="AG387" s="5"/>
      <c r="AH387" s="5"/>
    </row>
    <row r="388" spans="13:34">
      <c r="M388" s="2"/>
      <c r="O388" s="2"/>
      <c r="R388" s="2"/>
      <c r="T388" s="2"/>
      <c r="W388" s="2"/>
      <c r="Y388" s="2"/>
      <c r="Z388" s="2"/>
      <c r="AA388" s="5"/>
      <c r="AB388" s="146"/>
      <c r="AC388" s="5"/>
      <c r="AD388" s="5"/>
      <c r="AE388" s="5"/>
      <c r="AF388" s="5"/>
      <c r="AG388" s="5"/>
      <c r="AH388" s="5"/>
    </row>
    <row r="389" spans="13:34">
      <c r="M389" s="2"/>
      <c r="O389" s="2"/>
      <c r="R389" s="2"/>
      <c r="T389" s="2"/>
      <c r="W389" s="2"/>
      <c r="Y389" s="2"/>
      <c r="Z389" s="2"/>
      <c r="AA389" s="5"/>
      <c r="AB389" s="146"/>
      <c r="AC389" s="5"/>
      <c r="AD389" s="5"/>
      <c r="AE389" s="5"/>
      <c r="AF389" s="5"/>
      <c r="AG389" s="5"/>
      <c r="AH389" s="5"/>
    </row>
    <row r="390" spans="13:34">
      <c r="M390" s="2"/>
      <c r="O390" s="2"/>
      <c r="R390" s="2"/>
      <c r="T390" s="2"/>
      <c r="W390" s="2"/>
      <c r="Y390" s="2"/>
      <c r="Z390" s="2"/>
      <c r="AA390" s="5"/>
      <c r="AB390" s="146"/>
      <c r="AC390" s="5"/>
      <c r="AD390" s="5"/>
      <c r="AE390" s="5"/>
      <c r="AF390" s="5"/>
      <c r="AG390" s="5"/>
      <c r="AH390" s="5"/>
    </row>
    <row r="391" spans="13:34">
      <c r="M391" s="2"/>
      <c r="O391" s="2"/>
      <c r="R391" s="2"/>
      <c r="T391" s="2"/>
      <c r="W391" s="2"/>
      <c r="Y391" s="2"/>
      <c r="Z391" s="2"/>
      <c r="AA391" s="5"/>
      <c r="AB391" s="146"/>
      <c r="AC391" s="5"/>
      <c r="AD391" s="5"/>
      <c r="AE391" s="5"/>
      <c r="AF391" s="5"/>
      <c r="AG391" s="5"/>
      <c r="AH391" s="5"/>
    </row>
    <row r="392" spans="13:34">
      <c r="M392" s="2"/>
      <c r="O392" s="2"/>
      <c r="R392" s="2"/>
      <c r="T392" s="2"/>
      <c r="W392" s="2"/>
      <c r="Y392" s="2"/>
      <c r="Z392" s="2"/>
      <c r="AA392" s="5"/>
      <c r="AB392" s="146"/>
      <c r="AC392" s="5"/>
      <c r="AD392" s="5"/>
      <c r="AE392" s="5"/>
      <c r="AF392" s="5"/>
      <c r="AG392" s="5"/>
      <c r="AH392" s="5"/>
    </row>
    <row r="393" spans="13:34">
      <c r="M393" s="2"/>
      <c r="O393" s="2"/>
      <c r="R393" s="2"/>
      <c r="T393" s="2"/>
      <c r="W393" s="2"/>
      <c r="Y393" s="2"/>
      <c r="Z393" s="2"/>
      <c r="AA393" s="5"/>
      <c r="AB393" s="146"/>
      <c r="AC393" s="5"/>
      <c r="AD393" s="5"/>
      <c r="AE393" s="5"/>
      <c r="AF393" s="5"/>
      <c r="AG393" s="5"/>
      <c r="AH393" s="5"/>
    </row>
    <row r="394" spans="13:34">
      <c r="M394" s="2"/>
      <c r="O394" s="2"/>
      <c r="R394" s="2"/>
      <c r="T394" s="2"/>
      <c r="W394" s="2"/>
      <c r="Y394" s="2"/>
      <c r="Z394" s="2"/>
      <c r="AA394" s="5"/>
      <c r="AB394" s="146"/>
      <c r="AC394" s="5"/>
      <c r="AD394" s="5"/>
      <c r="AE394" s="5"/>
      <c r="AF394" s="5"/>
      <c r="AG394" s="5"/>
      <c r="AH394" s="5"/>
    </row>
    <row r="395" spans="13:34">
      <c r="M395" s="2"/>
      <c r="O395" s="2"/>
      <c r="R395" s="2"/>
      <c r="T395" s="2"/>
      <c r="W395" s="2"/>
      <c r="Y395" s="2"/>
      <c r="Z395" s="2"/>
      <c r="AA395" s="5"/>
      <c r="AB395" s="146"/>
      <c r="AC395" s="5"/>
      <c r="AD395" s="5"/>
      <c r="AE395" s="5"/>
      <c r="AF395" s="5"/>
      <c r="AG395" s="5"/>
      <c r="AH395" s="5"/>
    </row>
    <row r="396" spans="13:34">
      <c r="M396" s="2"/>
      <c r="O396" s="2"/>
      <c r="R396" s="2"/>
      <c r="T396" s="2"/>
      <c r="W396" s="2"/>
      <c r="Y396" s="2"/>
      <c r="Z396" s="2"/>
      <c r="AA396" s="5"/>
      <c r="AB396" s="146"/>
      <c r="AC396" s="5"/>
      <c r="AD396" s="5"/>
      <c r="AE396" s="5"/>
      <c r="AF396" s="5"/>
      <c r="AG396" s="5"/>
      <c r="AH396" s="5"/>
    </row>
    <row r="397" spans="13:34">
      <c r="M397" s="2"/>
      <c r="O397" s="2"/>
      <c r="R397" s="2"/>
      <c r="T397" s="2"/>
      <c r="W397" s="2"/>
      <c r="Y397" s="2"/>
      <c r="Z397" s="2"/>
      <c r="AA397" s="5"/>
      <c r="AB397" s="146"/>
      <c r="AC397" s="5"/>
      <c r="AD397" s="5"/>
      <c r="AE397" s="5"/>
      <c r="AF397" s="5"/>
      <c r="AG397" s="5"/>
      <c r="AH397" s="5"/>
    </row>
    <row r="398" spans="13:34">
      <c r="M398" s="2"/>
      <c r="O398" s="2"/>
      <c r="R398" s="2"/>
      <c r="T398" s="2"/>
      <c r="W398" s="2"/>
      <c r="Y398" s="2"/>
      <c r="Z398" s="2"/>
      <c r="AA398" s="5"/>
      <c r="AB398" s="146"/>
      <c r="AC398" s="5"/>
      <c r="AD398" s="5"/>
      <c r="AE398" s="5"/>
      <c r="AF398" s="5"/>
      <c r="AG398" s="5"/>
      <c r="AH398" s="5"/>
    </row>
    <row r="399" spans="13:34">
      <c r="M399" s="2"/>
      <c r="O399" s="2"/>
      <c r="R399" s="2"/>
      <c r="T399" s="2"/>
      <c r="W399" s="2"/>
      <c r="Y399" s="2"/>
      <c r="Z399" s="2"/>
      <c r="AA399" s="5"/>
      <c r="AB399" s="146"/>
      <c r="AC399" s="5"/>
      <c r="AD399" s="5"/>
      <c r="AE399" s="5"/>
      <c r="AF399" s="5"/>
      <c r="AG399" s="5"/>
      <c r="AH399" s="5"/>
    </row>
    <row r="400" spans="13:34">
      <c r="M400" s="2"/>
      <c r="O400" s="2"/>
      <c r="R400" s="2"/>
      <c r="T400" s="2"/>
      <c r="W400" s="2"/>
      <c r="Y400" s="2"/>
      <c r="Z400" s="2"/>
      <c r="AA400" s="5"/>
      <c r="AB400" s="146"/>
      <c r="AC400" s="5"/>
      <c r="AD400" s="5"/>
      <c r="AE400" s="5"/>
      <c r="AF400" s="5"/>
      <c r="AG400" s="5"/>
      <c r="AH400" s="5"/>
    </row>
    <row r="401" spans="13:34">
      <c r="M401" s="2"/>
      <c r="O401" s="2"/>
      <c r="R401" s="2"/>
      <c r="T401" s="2"/>
      <c r="W401" s="2"/>
      <c r="Y401" s="2"/>
      <c r="Z401" s="2"/>
      <c r="AA401" s="5"/>
      <c r="AB401" s="146"/>
      <c r="AC401" s="5"/>
      <c r="AD401" s="5"/>
      <c r="AE401" s="5"/>
      <c r="AF401" s="5"/>
      <c r="AG401" s="5"/>
      <c r="AH401" s="5"/>
    </row>
    <row r="402" spans="13:34">
      <c r="M402" s="2"/>
      <c r="O402" s="2"/>
      <c r="R402" s="2"/>
      <c r="T402" s="2"/>
      <c r="W402" s="2"/>
      <c r="Y402" s="2"/>
      <c r="Z402" s="2"/>
      <c r="AA402" s="5"/>
      <c r="AB402" s="146"/>
      <c r="AC402" s="5"/>
      <c r="AD402" s="5"/>
      <c r="AE402" s="5"/>
      <c r="AF402" s="5"/>
      <c r="AG402" s="5"/>
      <c r="AH402" s="5"/>
    </row>
    <row r="403" spans="13:34">
      <c r="M403" s="2"/>
      <c r="O403" s="2"/>
      <c r="R403" s="2"/>
      <c r="T403" s="2"/>
      <c r="W403" s="2"/>
      <c r="Y403" s="2"/>
      <c r="Z403" s="2"/>
      <c r="AA403" s="5"/>
      <c r="AB403" s="146"/>
      <c r="AC403" s="5"/>
      <c r="AD403" s="5"/>
      <c r="AE403" s="5"/>
      <c r="AF403" s="5"/>
      <c r="AG403" s="5"/>
      <c r="AH403" s="5"/>
    </row>
    <row r="404" spans="13:34">
      <c r="M404" s="2"/>
      <c r="O404" s="2"/>
      <c r="R404" s="2"/>
      <c r="T404" s="2"/>
      <c r="W404" s="2"/>
      <c r="Y404" s="2"/>
      <c r="Z404" s="2"/>
      <c r="AA404" s="5"/>
      <c r="AB404" s="146"/>
      <c r="AC404" s="5"/>
      <c r="AD404" s="5"/>
      <c r="AE404" s="5"/>
      <c r="AF404" s="5"/>
      <c r="AG404" s="5"/>
      <c r="AH404" s="5"/>
    </row>
    <row r="405" spans="13:34">
      <c r="M405" s="2"/>
      <c r="O405" s="2"/>
      <c r="R405" s="2"/>
      <c r="T405" s="2"/>
      <c r="W405" s="2"/>
      <c r="Y405" s="2"/>
      <c r="Z405" s="2"/>
      <c r="AA405" s="5"/>
      <c r="AB405" s="146"/>
      <c r="AC405" s="5"/>
      <c r="AD405" s="5"/>
      <c r="AE405" s="5"/>
      <c r="AF405" s="5"/>
      <c r="AG405" s="5"/>
      <c r="AH405" s="5"/>
    </row>
    <row r="406" spans="13:34">
      <c r="M406" s="2"/>
      <c r="O406" s="2"/>
      <c r="R406" s="2"/>
      <c r="T406" s="2"/>
      <c r="W406" s="2"/>
      <c r="Y406" s="2"/>
      <c r="Z406" s="2"/>
      <c r="AA406" s="5"/>
      <c r="AB406" s="146"/>
      <c r="AC406" s="5"/>
      <c r="AD406" s="5"/>
      <c r="AE406" s="5"/>
      <c r="AF406" s="5"/>
      <c r="AG406" s="5"/>
      <c r="AH406" s="5"/>
    </row>
    <row r="407" spans="13:34">
      <c r="M407" s="2"/>
      <c r="O407" s="2"/>
      <c r="R407" s="2"/>
      <c r="T407" s="2"/>
      <c r="W407" s="2"/>
      <c r="Y407" s="2"/>
      <c r="Z407" s="2"/>
      <c r="AA407" s="5"/>
      <c r="AB407" s="146"/>
      <c r="AC407" s="5"/>
      <c r="AD407" s="5"/>
      <c r="AE407" s="5"/>
      <c r="AF407" s="5"/>
      <c r="AG407" s="5"/>
      <c r="AH407" s="5"/>
    </row>
    <row r="408" spans="13:34">
      <c r="M408" s="2"/>
      <c r="O408" s="2"/>
      <c r="R408" s="2"/>
      <c r="T408" s="2"/>
      <c r="W408" s="2"/>
      <c r="Y408" s="2"/>
      <c r="Z408" s="2"/>
      <c r="AA408" s="5"/>
      <c r="AB408" s="146"/>
      <c r="AC408" s="5"/>
      <c r="AD408" s="5"/>
      <c r="AE408" s="5"/>
      <c r="AF408" s="5"/>
      <c r="AG408" s="5"/>
      <c r="AH408" s="5"/>
    </row>
    <row r="409" spans="13:34">
      <c r="M409" s="2"/>
      <c r="O409" s="2"/>
      <c r="R409" s="2"/>
      <c r="T409" s="2"/>
      <c r="W409" s="2"/>
      <c r="Y409" s="2"/>
      <c r="Z409" s="2"/>
      <c r="AA409" s="5"/>
      <c r="AB409" s="146"/>
      <c r="AC409" s="5"/>
      <c r="AD409" s="5"/>
      <c r="AE409" s="5"/>
      <c r="AF409" s="5"/>
      <c r="AG409" s="5"/>
      <c r="AH409" s="5"/>
    </row>
    <row r="410" spans="13:34">
      <c r="M410" s="2"/>
      <c r="O410" s="2"/>
      <c r="R410" s="2"/>
      <c r="T410" s="2"/>
      <c r="W410" s="2"/>
      <c r="Y410" s="2"/>
      <c r="Z410" s="2"/>
      <c r="AA410" s="5"/>
      <c r="AB410" s="146"/>
      <c r="AC410" s="5"/>
      <c r="AD410" s="5"/>
      <c r="AE410" s="5"/>
      <c r="AF410" s="5"/>
      <c r="AG410" s="5"/>
      <c r="AH410" s="5"/>
    </row>
    <row r="411" spans="13:34">
      <c r="M411" s="2"/>
      <c r="O411" s="2"/>
      <c r="R411" s="2"/>
      <c r="T411" s="2"/>
      <c r="W411" s="2"/>
      <c r="Y411" s="2"/>
      <c r="Z411" s="2"/>
      <c r="AA411" s="5"/>
      <c r="AB411" s="146"/>
      <c r="AC411" s="5"/>
      <c r="AD411" s="5"/>
      <c r="AE411" s="5"/>
      <c r="AF411" s="5"/>
      <c r="AG411" s="5"/>
      <c r="AH411" s="5"/>
    </row>
    <row r="412" spans="13:34">
      <c r="M412" s="2"/>
      <c r="O412" s="2"/>
      <c r="R412" s="2"/>
      <c r="T412" s="2"/>
      <c r="W412" s="2"/>
      <c r="Y412" s="2"/>
      <c r="Z412" s="2"/>
      <c r="AA412" s="5"/>
      <c r="AB412" s="146"/>
      <c r="AC412" s="5"/>
      <c r="AD412" s="5"/>
      <c r="AE412" s="5"/>
      <c r="AF412" s="5"/>
      <c r="AG412" s="5"/>
      <c r="AH412" s="5"/>
    </row>
    <row r="413" spans="13:34">
      <c r="M413" s="2"/>
      <c r="O413" s="2"/>
      <c r="R413" s="2"/>
      <c r="T413" s="2"/>
      <c r="W413" s="2"/>
      <c r="Y413" s="2"/>
      <c r="Z413" s="2"/>
      <c r="AA413" s="5"/>
      <c r="AB413" s="146"/>
      <c r="AC413" s="5"/>
      <c r="AD413" s="5"/>
      <c r="AE413" s="5"/>
      <c r="AF413" s="5"/>
      <c r="AG413" s="5"/>
      <c r="AH413" s="5"/>
    </row>
    <row r="414" spans="13:34">
      <c r="M414" s="2"/>
      <c r="O414" s="2"/>
      <c r="R414" s="2"/>
      <c r="T414" s="2"/>
      <c r="W414" s="2"/>
      <c r="Y414" s="2"/>
      <c r="Z414" s="2"/>
      <c r="AA414" s="5"/>
      <c r="AB414" s="146"/>
      <c r="AC414" s="5"/>
      <c r="AD414" s="5"/>
      <c r="AE414" s="5"/>
      <c r="AF414" s="5"/>
      <c r="AG414" s="5"/>
      <c r="AH414" s="5"/>
    </row>
    <row r="415" spans="13:34">
      <c r="M415" s="2"/>
      <c r="O415" s="2"/>
      <c r="R415" s="2"/>
      <c r="T415" s="2"/>
      <c r="W415" s="2"/>
      <c r="Y415" s="2"/>
      <c r="Z415" s="2"/>
      <c r="AA415" s="5"/>
      <c r="AB415" s="146"/>
      <c r="AC415" s="5"/>
      <c r="AD415" s="5"/>
      <c r="AE415" s="5"/>
      <c r="AF415" s="5"/>
      <c r="AG415" s="5"/>
      <c r="AH415" s="5"/>
    </row>
    <row r="416" spans="13:34">
      <c r="M416" s="2"/>
      <c r="O416" s="2"/>
      <c r="R416" s="2"/>
      <c r="T416" s="2"/>
      <c r="W416" s="2"/>
      <c r="Y416" s="2"/>
      <c r="Z416" s="2"/>
      <c r="AA416" s="5"/>
      <c r="AB416" s="146"/>
      <c r="AC416" s="5"/>
      <c r="AD416" s="5"/>
      <c r="AE416" s="5"/>
      <c r="AF416" s="5"/>
      <c r="AG416" s="5"/>
      <c r="AH416" s="5"/>
    </row>
    <row r="417" spans="13:34">
      <c r="M417" s="2"/>
      <c r="O417" s="2"/>
      <c r="R417" s="2"/>
      <c r="T417" s="2"/>
      <c r="W417" s="2"/>
      <c r="Y417" s="2"/>
      <c r="Z417" s="2"/>
      <c r="AA417" s="5"/>
      <c r="AB417" s="146"/>
      <c r="AC417" s="5"/>
      <c r="AD417" s="5"/>
      <c r="AE417" s="5"/>
      <c r="AF417" s="5"/>
      <c r="AG417" s="5"/>
      <c r="AH417" s="5"/>
    </row>
    <row r="418" spans="13:34">
      <c r="M418" s="2"/>
      <c r="O418" s="2"/>
      <c r="R418" s="2"/>
      <c r="T418" s="2"/>
      <c r="W418" s="2"/>
      <c r="Y418" s="2"/>
      <c r="Z418" s="2"/>
      <c r="AA418" s="5"/>
      <c r="AB418" s="146"/>
      <c r="AC418" s="5"/>
      <c r="AD418" s="5"/>
      <c r="AE418" s="5"/>
      <c r="AF418" s="5"/>
      <c r="AG418" s="5"/>
      <c r="AH418" s="5"/>
    </row>
    <row r="419" spans="13:34">
      <c r="M419" s="2"/>
      <c r="O419" s="2"/>
      <c r="R419" s="2"/>
      <c r="T419" s="2"/>
      <c r="W419" s="2"/>
      <c r="Y419" s="2"/>
      <c r="Z419" s="2"/>
      <c r="AA419" s="5"/>
      <c r="AB419" s="146"/>
      <c r="AC419" s="5"/>
      <c r="AD419" s="5"/>
      <c r="AE419" s="5"/>
      <c r="AF419" s="5"/>
      <c r="AG419" s="5"/>
      <c r="AH419" s="5"/>
    </row>
    <row r="420" spans="13:34">
      <c r="M420" s="2"/>
      <c r="O420" s="2"/>
      <c r="R420" s="2"/>
      <c r="T420" s="2"/>
      <c r="W420" s="2"/>
      <c r="Y420" s="2"/>
      <c r="Z420" s="2"/>
      <c r="AA420" s="5"/>
      <c r="AB420" s="146"/>
      <c r="AC420" s="5"/>
      <c r="AD420" s="5"/>
      <c r="AE420" s="5"/>
      <c r="AF420" s="5"/>
      <c r="AG420" s="5"/>
      <c r="AH420" s="5"/>
    </row>
    <row r="421" spans="13:34">
      <c r="M421" s="2"/>
      <c r="O421" s="2"/>
      <c r="R421" s="2"/>
      <c r="T421" s="2"/>
      <c r="W421" s="2"/>
      <c r="Y421" s="2"/>
      <c r="Z421" s="2"/>
      <c r="AA421" s="5"/>
      <c r="AB421" s="146"/>
      <c r="AC421" s="5"/>
      <c r="AD421" s="5"/>
      <c r="AE421" s="5"/>
      <c r="AF421" s="5"/>
      <c r="AG421" s="5"/>
      <c r="AH421" s="5"/>
    </row>
    <row r="422" spans="13:34">
      <c r="M422" s="2"/>
      <c r="O422" s="2"/>
      <c r="R422" s="2"/>
      <c r="T422" s="2"/>
      <c r="W422" s="2"/>
      <c r="Y422" s="2"/>
      <c r="Z422" s="2"/>
      <c r="AA422" s="5"/>
      <c r="AB422" s="146"/>
      <c r="AC422" s="5"/>
      <c r="AD422" s="5"/>
      <c r="AE422" s="5"/>
      <c r="AF422" s="5"/>
      <c r="AG422" s="5"/>
      <c r="AH422" s="5"/>
    </row>
    <row r="423" spans="13:34">
      <c r="M423" s="2"/>
      <c r="O423" s="2"/>
      <c r="R423" s="2"/>
      <c r="T423" s="2"/>
      <c r="W423" s="2"/>
      <c r="Y423" s="2"/>
      <c r="Z423" s="2"/>
      <c r="AA423" s="5"/>
      <c r="AB423" s="146"/>
      <c r="AC423" s="5"/>
      <c r="AD423" s="5"/>
      <c r="AE423" s="5"/>
      <c r="AF423" s="5"/>
      <c r="AG423" s="5"/>
      <c r="AH423" s="5"/>
    </row>
    <row r="424" spans="13:34">
      <c r="M424" s="2"/>
      <c r="O424" s="2"/>
      <c r="R424" s="2"/>
      <c r="T424" s="2"/>
      <c r="W424" s="2"/>
      <c r="Y424" s="2"/>
      <c r="Z424" s="2"/>
      <c r="AA424" s="5"/>
      <c r="AB424" s="146"/>
      <c r="AC424" s="5"/>
      <c r="AD424" s="5"/>
      <c r="AE424" s="5"/>
      <c r="AF424" s="5"/>
      <c r="AG424" s="5"/>
      <c r="AH424" s="5"/>
    </row>
    <row r="425" spans="13:34">
      <c r="M425" s="2"/>
      <c r="O425" s="2"/>
      <c r="R425" s="2"/>
      <c r="T425" s="2"/>
      <c r="W425" s="2"/>
      <c r="Y425" s="2"/>
      <c r="Z425" s="2"/>
      <c r="AA425" s="5"/>
      <c r="AB425" s="146"/>
      <c r="AC425" s="5"/>
      <c r="AD425" s="5"/>
      <c r="AE425" s="5"/>
      <c r="AF425" s="5"/>
      <c r="AG425" s="5"/>
      <c r="AH425" s="5"/>
    </row>
    <row r="426" spans="13:34">
      <c r="M426" s="2"/>
      <c r="O426" s="2"/>
      <c r="R426" s="2"/>
      <c r="T426" s="2"/>
      <c r="W426" s="2"/>
      <c r="Y426" s="2"/>
      <c r="Z426" s="2"/>
      <c r="AA426" s="5"/>
      <c r="AB426" s="146"/>
      <c r="AC426" s="5"/>
      <c r="AD426" s="5"/>
      <c r="AE426" s="5"/>
      <c r="AF426" s="5"/>
      <c r="AG426" s="5"/>
      <c r="AH426" s="5"/>
    </row>
    <row r="427" spans="13:34">
      <c r="M427" s="2"/>
      <c r="O427" s="2"/>
      <c r="R427" s="2"/>
      <c r="T427" s="2"/>
      <c r="W427" s="2"/>
      <c r="Y427" s="2"/>
      <c r="Z427" s="2"/>
      <c r="AA427" s="5"/>
      <c r="AB427" s="146"/>
      <c r="AC427" s="5"/>
      <c r="AD427" s="5"/>
      <c r="AE427" s="5"/>
      <c r="AF427" s="5"/>
      <c r="AG427" s="5"/>
      <c r="AH427" s="5"/>
    </row>
    <row r="428" spans="13:34">
      <c r="M428" s="2"/>
      <c r="O428" s="2"/>
      <c r="R428" s="2"/>
      <c r="T428" s="2"/>
      <c r="W428" s="2"/>
      <c r="Y428" s="2"/>
      <c r="Z428" s="2"/>
      <c r="AA428" s="5"/>
      <c r="AB428" s="146"/>
      <c r="AC428" s="5"/>
      <c r="AD428" s="5"/>
      <c r="AE428" s="5"/>
      <c r="AF428" s="5"/>
      <c r="AG428" s="5"/>
      <c r="AH428" s="5"/>
    </row>
    <row r="429" spans="13:34">
      <c r="M429" s="2"/>
      <c r="O429" s="2"/>
      <c r="R429" s="2"/>
      <c r="T429" s="2"/>
      <c r="W429" s="2"/>
      <c r="Y429" s="2"/>
      <c r="Z429" s="2"/>
      <c r="AA429" s="5"/>
      <c r="AB429" s="146"/>
      <c r="AC429" s="5"/>
      <c r="AD429" s="5"/>
      <c r="AE429" s="5"/>
      <c r="AF429" s="5"/>
      <c r="AG429" s="5"/>
      <c r="AH429" s="5"/>
    </row>
    <row r="430" spans="13:34">
      <c r="M430" s="2"/>
      <c r="O430" s="2"/>
      <c r="R430" s="2"/>
      <c r="T430" s="2"/>
      <c r="W430" s="2"/>
      <c r="Y430" s="2"/>
      <c r="Z430" s="2"/>
      <c r="AA430" s="5"/>
      <c r="AB430" s="146"/>
      <c r="AC430" s="5"/>
      <c r="AD430" s="5"/>
      <c r="AE430" s="5"/>
      <c r="AF430" s="5"/>
      <c r="AG430" s="5"/>
      <c r="AH430" s="5"/>
    </row>
    <row r="431" spans="13:34">
      <c r="M431" s="2"/>
      <c r="O431" s="2"/>
      <c r="R431" s="2"/>
      <c r="T431" s="2"/>
      <c r="W431" s="2"/>
      <c r="Y431" s="2"/>
      <c r="Z431" s="2"/>
      <c r="AA431" s="5"/>
      <c r="AB431" s="146"/>
      <c r="AC431" s="5"/>
      <c r="AD431" s="5"/>
      <c r="AE431" s="5"/>
      <c r="AF431" s="5"/>
      <c r="AG431" s="5"/>
      <c r="AH431" s="5"/>
    </row>
    <row r="432" spans="13:34">
      <c r="M432" s="2"/>
      <c r="O432" s="2"/>
      <c r="R432" s="2"/>
      <c r="T432" s="2"/>
      <c r="W432" s="2"/>
      <c r="Y432" s="2"/>
      <c r="Z432" s="2"/>
      <c r="AA432" s="5"/>
      <c r="AB432" s="146"/>
      <c r="AC432" s="5"/>
      <c r="AD432" s="5"/>
      <c r="AE432" s="5"/>
      <c r="AF432" s="5"/>
      <c r="AG432" s="5"/>
      <c r="AH432" s="5"/>
    </row>
    <row r="433" spans="13:34">
      <c r="M433" s="2"/>
      <c r="O433" s="2"/>
      <c r="R433" s="2"/>
      <c r="T433" s="2"/>
      <c r="W433" s="2"/>
      <c r="Y433" s="2"/>
      <c r="Z433" s="2"/>
      <c r="AA433" s="5"/>
      <c r="AB433" s="146"/>
      <c r="AC433" s="5"/>
      <c r="AD433" s="5"/>
      <c r="AE433" s="5"/>
      <c r="AF433" s="5"/>
      <c r="AG433" s="5"/>
      <c r="AH433" s="5"/>
    </row>
    <row r="434" spans="13:34">
      <c r="M434" s="2"/>
      <c r="O434" s="2"/>
      <c r="R434" s="2"/>
      <c r="T434" s="2"/>
      <c r="W434" s="2"/>
      <c r="Y434" s="2"/>
      <c r="Z434" s="2"/>
      <c r="AA434" s="5"/>
      <c r="AB434" s="146"/>
      <c r="AC434" s="5"/>
      <c r="AD434" s="5"/>
      <c r="AE434" s="5"/>
      <c r="AF434" s="5"/>
      <c r="AG434" s="5"/>
      <c r="AH434" s="5"/>
    </row>
    <row r="435" spans="13:34">
      <c r="M435" s="2"/>
      <c r="O435" s="2"/>
      <c r="R435" s="2"/>
      <c r="T435" s="2"/>
      <c r="W435" s="2"/>
      <c r="Y435" s="2"/>
      <c r="Z435" s="2"/>
      <c r="AA435" s="5"/>
      <c r="AB435" s="146"/>
      <c r="AC435" s="5"/>
      <c r="AD435" s="5"/>
      <c r="AE435" s="5"/>
      <c r="AF435" s="5"/>
      <c r="AG435" s="5"/>
      <c r="AH435" s="5"/>
    </row>
    <row r="436" spans="13:34">
      <c r="M436" s="2"/>
      <c r="O436" s="2"/>
      <c r="R436" s="2"/>
      <c r="T436" s="2"/>
      <c r="W436" s="2"/>
      <c r="Y436" s="2"/>
      <c r="Z436" s="2"/>
      <c r="AA436" s="5"/>
      <c r="AB436" s="146"/>
      <c r="AC436" s="5"/>
      <c r="AD436" s="5"/>
      <c r="AE436" s="5"/>
      <c r="AF436" s="5"/>
      <c r="AG436" s="5"/>
      <c r="AH436" s="5"/>
    </row>
    <row r="437" spans="13:34">
      <c r="M437" s="2"/>
      <c r="O437" s="2"/>
      <c r="R437" s="2"/>
      <c r="T437" s="2"/>
      <c r="W437" s="2"/>
      <c r="Y437" s="2"/>
      <c r="Z437" s="2"/>
      <c r="AA437" s="5"/>
      <c r="AB437" s="146"/>
      <c r="AC437" s="5"/>
      <c r="AD437" s="5"/>
      <c r="AE437" s="5"/>
      <c r="AF437" s="5"/>
      <c r="AG437" s="5"/>
      <c r="AH437" s="5"/>
    </row>
    <row r="438" spans="13:34">
      <c r="M438" s="2"/>
      <c r="O438" s="2"/>
      <c r="R438" s="2"/>
      <c r="T438" s="2"/>
      <c r="W438" s="2"/>
      <c r="Y438" s="2"/>
      <c r="Z438" s="2"/>
      <c r="AA438" s="5"/>
      <c r="AB438" s="146"/>
      <c r="AC438" s="5"/>
      <c r="AD438" s="5"/>
      <c r="AE438" s="5"/>
      <c r="AF438" s="5"/>
      <c r="AG438" s="5"/>
      <c r="AH438" s="5"/>
    </row>
    <row r="439" spans="13:34">
      <c r="M439" s="2"/>
      <c r="O439" s="2"/>
      <c r="R439" s="2"/>
      <c r="T439" s="2"/>
      <c r="W439" s="2"/>
      <c r="Y439" s="2"/>
      <c r="Z439" s="2"/>
      <c r="AA439" s="5"/>
      <c r="AB439" s="146"/>
      <c r="AC439" s="5"/>
      <c r="AD439" s="5"/>
      <c r="AE439" s="5"/>
      <c r="AF439" s="5"/>
      <c r="AG439" s="5"/>
      <c r="AH439" s="5"/>
    </row>
    <row r="440" spans="13:34">
      <c r="M440" s="2"/>
      <c r="O440" s="2"/>
      <c r="R440" s="2"/>
      <c r="T440" s="2"/>
      <c r="W440" s="2"/>
      <c r="Y440" s="2"/>
      <c r="Z440" s="2"/>
      <c r="AA440" s="5"/>
      <c r="AB440" s="146"/>
      <c r="AC440" s="5"/>
      <c r="AD440" s="5"/>
      <c r="AE440" s="5"/>
      <c r="AF440" s="5"/>
      <c r="AG440" s="5"/>
      <c r="AH440" s="5"/>
    </row>
    <row r="441" spans="13:34">
      <c r="M441" s="2"/>
      <c r="O441" s="2"/>
      <c r="R441" s="2"/>
      <c r="T441" s="2"/>
      <c r="W441" s="2"/>
      <c r="Y441" s="2"/>
      <c r="Z441" s="2"/>
      <c r="AA441" s="5"/>
      <c r="AB441" s="146"/>
      <c r="AC441" s="5"/>
      <c r="AD441" s="5"/>
      <c r="AE441" s="5"/>
      <c r="AF441" s="5"/>
      <c r="AG441" s="5"/>
      <c r="AH441" s="5"/>
    </row>
    <row r="442" spans="13:34">
      <c r="M442" s="2"/>
      <c r="O442" s="2"/>
      <c r="R442" s="2"/>
      <c r="T442" s="2"/>
      <c r="W442" s="2"/>
      <c r="Y442" s="2"/>
      <c r="Z442" s="2"/>
      <c r="AA442" s="5"/>
      <c r="AB442" s="146"/>
      <c r="AC442" s="5"/>
      <c r="AD442" s="5"/>
      <c r="AE442" s="5"/>
      <c r="AF442" s="5"/>
      <c r="AG442" s="5"/>
      <c r="AH442" s="5"/>
    </row>
    <row r="443" spans="13:34">
      <c r="M443" s="2"/>
      <c r="O443" s="2"/>
      <c r="R443" s="2"/>
      <c r="T443" s="2"/>
      <c r="W443" s="2"/>
      <c r="Y443" s="2"/>
      <c r="Z443" s="2"/>
      <c r="AA443" s="5"/>
      <c r="AB443" s="146"/>
      <c r="AC443" s="5"/>
      <c r="AD443" s="5"/>
      <c r="AE443" s="5"/>
      <c r="AF443" s="5"/>
      <c r="AG443" s="5"/>
      <c r="AH443" s="5"/>
    </row>
    <row r="444" spans="13:34">
      <c r="M444" s="2"/>
      <c r="O444" s="2"/>
      <c r="R444" s="2"/>
      <c r="T444" s="2"/>
      <c r="W444" s="2"/>
      <c r="Y444" s="2"/>
      <c r="Z444" s="2"/>
      <c r="AA444" s="5"/>
      <c r="AB444" s="146"/>
      <c r="AC444" s="5"/>
      <c r="AD444" s="5"/>
      <c r="AE444" s="5"/>
      <c r="AF444" s="5"/>
      <c r="AG444" s="5"/>
      <c r="AH444" s="5"/>
    </row>
    <row r="445" spans="13:34">
      <c r="M445" s="2"/>
      <c r="O445" s="2"/>
      <c r="R445" s="2"/>
      <c r="T445" s="2"/>
      <c r="W445" s="2"/>
      <c r="Y445" s="2"/>
      <c r="Z445" s="2"/>
      <c r="AA445" s="5"/>
      <c r="AB445" s="146"/>
      <c r="AC445" s="5"/>
      <c r="AD445" s="5"/>
      <c r="AE445" s="5"/>
      <c r="AF445" s="5"/>
      <c r="AG445" s="5"/>
      <c r="AH445" s="5"/>
    </row>
    <row r="446" spans="13:34">
      <c r="M446" s="2"/>
      <c r="O446" s="2"/>
      <c r="R446" s="2"/>
      <c r="T446" s="2"/>
      <c r="W446" s="2"/>
      <c r="Y446" s="2"/>
      <c r="Z446" s="2"/>
      <c r="AA446" s="5"/>
      <c r="AB446" s="146"/>
      <c r="AC446" s="5"/>
      <c r="AD446" s="5"/>
      <c r="AE446" s="5"/>
      <c r="AF446" s="5"/>
      <c r="AG446" s="5"/>
      <c r="AH446" s="5"/>
    </row>
    <row r="447" spans="13:34">
      <c r="M447" s="2"/>
      <c r="O447" s="2"/>
      <c r="R447" s="2"/>
      <c r="T447" s="2"/>
      <c r="W447" s="2"/>
      <c r="Y447" s="2"/>
      <c r="Z447" s="2"/>
      <c r="AA447" s="5"/>
      <c r="AB447" s="146"/>
      <c r="AC447" s="5"/>
      <c r="AD447" s="5"/>
      <c r="AE447" s="5"/>
      <c r="AF447" s="5"/>
      <c r="AG447" s="5"/>
      <c r="AH447" s="5"/>
    </row>
    <row r="448" spans="13:34">
      <c r="M448" s="2"/>
      <c r="O448" s="2"/>
      <c r="R448" s="2"/>
      <c r="T448" s="2"/>
      <c r="W448" s="2"/>
      <c r="Y448" s="2"/>
      <c r="Z448" s="2"/>
      <c r="AA448" s="5"/>
      <c r="AB448" s="146"/>
      <c r="AC448" s="5"/>
      <c r="AD448" s="5"/>
      <c r="AE448" s="5"/>
      <c r="AF448" s="5"/>
      <c r="AG448" s="5"/>
      <c r="AH448" s="5"/>
    </row>
    <row r="449" spans="13:34">
      <c r="M449" s="2"/>
      <c r="O449" s="2"/>
      <c r="R449" s="2"/>
      <c r="T449" s="2"/>
      <c r="W449" s="2"/>
      <c r="Y449" s="2"/>
      <c r="Z449" s="2"/>
      <c r="AA449" s="5"/>
      <c r="AB449" s="146"/>
      <c r="AC449" s="5"/>
      <c r="AD449" s="5"/>
      <c r="AE449" s="5"/>
      <c r="AF449" s="5"/>
      <c r="AG449" s="5"/>
      <c r="AH449" s="5"/>
    </row>
    <row r="450" spans="13:34">
      <c r="M450" s="2"/>
      <c r="O450" s="2"/>
      <c r="R450" s="2"/>
      <c r="T450" s="2"/>
      <c r="W450" s="2"/>
      <c r="Y450" s="2"/>
      <c r="Z450" s="2"/>
      <c r="AA450" s="5"/>
      <c r="AB450" s="146"/>
      <c r="AC450" s="5"/>
      <c r="AD450" s="5"/>
      <c r="AE450" s="5"/>
      <c r="AF450" s="5"/>
      <c r="AG450" s="5"/>
      <c r="AH450" s="5"/>
    </row>
    <row r="451" spans="13:34">
      <c r="M451" s="2"/>
      <c r="O451" s="2"/>
      <c r="R451" s="2"/>
      <c r="T451" s="2"/>
      <c r="W451" s="2"/>
      <c r="Y451" s="2"/>
      <c r="Z451" s="2"/>
      <c r="AA451" s="5"/>
      <c r="AB451" s="146"/>
      <c r="AC451" s="5"/>
      <c r="AD451" s="5"/>
      <c r="AE451" s="5"/>
      <c r="AF451" s="5"/>
      <c r="AG451" s="5"/>
      <c r="AH451" s="5"/>
    </row>
    <row r="452" spans="13:34">
      <c r="M452" s="2"/>
      <c r="O452" s="2"/>
      <c r="R452" s="2"/>
      <c r="T452" s="2"/>
      <c r="W452" s="2"/>
      <c r="Y452" s="2"/>
      <c r="Z452" s="2"/>
      <c r="AA452" s="5"/>
      <c r="AB452" s="146"/>
      <c r="AC452" s="5"/>
      <c r="AD452" s="5"/>
      <c r="AE452" s="5"/>
      <c r="AF452" s="5"/>
      <c r="AG452" s="5"/>
      <c r="AH452" s="5"/>
    </row>
    <row r="453" spans="13:34">
      <c r="M453" s="2"/>
      <c r="O453" s="2"/>
      <c r="R453" s="2"/>
      <c r="T453" s="2"/>
      <c r="W453" s="2"/>
      <c r="Y453" s="2"/>
      <c r="Z453" s="2"/>
      <c r="AA453" s="5"/>
      <c r="AB453" s="146"/>
      <c r="AC453" s="5"/>
      <c r="AD453" s="5"/>
      <c r="AE453" s="5"/>
      <c r="AF453" s="5"/>
      <c r="AG453" s="5"/>
      <c r="AH453" s="5"/>
    </row>
    <row r="454" spans="13:34">
      <c r="M454" s="2"/>
      <c r="O454" s="2"/>
      <c r="R454" s="2"/>
      <c r="T454" s="2"/>
      <c r="W454" s="2"/>
      <c r="Y454" s="2"/>
      <c r="Z454" s="2"/>
      <c r="AA454" s="5"/>
      <c r="AB454" s="146"/>
      <c r="AC454" s="5"/>
      <c r="AD454" s="5"/>
      <c r="AE454" s="5"/>
      <c r="AF454" s="5"/>
      <c r="AG454" s="5"/>
      <c r="AH454" s="5"/>
    </row>
    <row r="455" spans="13:34">
      <c r="M455" s="2"/>
      <c r="O455" s="2"/>
      <c r="R455" s="2"/>
      <c r="T455" s="2"/>
      <c r="W455" s="2"/>
      <c r="Y455" s="2"/>
      <c r="Z455" s="2"/>
      <c r="AA455" s="5"/>
      <c r="AB455" s="146"/>
      <c r="AC455" s="5"/>
      <c r="AD455" s="5"/>
      <c r="AE455" s="5"/>
      <c r="AF455" s="5"/>
      <c r="AG455" s="5"/>
      <c r="AH455" s="5"/>
    </row>
    <row r="456" spans="13:34">
      <c r="M456" s="2"/>
      <c r="O456" s="2"/>
      <c r="R456" s="2"/>
      <c r="T456" s="2"/>
      <c r="W456" s="2"/>
      <c r="Y456" s="2"/>
      <c r="Z456" s="2"/>
      <c r="AA456" s="5"/>
      <c r="AB456" s="146"/>
      <c r="AC456" s="5"/>
      <c r="AD456" s="5"/>
      <c r="AE456" s="5"/>
      <c r="AF456" s="5"/>
      <c r="AG456" s="5"/>
      <c r="AH456" s="5"/>
    </row>
    <row r="457" spans="13:34">
      <c r="M457" s="2"/>
      <c r="O457" s="2"/>
      <c r="R457" s="2"/>
      <c r="T457" s="2"/>
      <c r="W457" s="2"/>
      <c r="Y457" s="2"/>
      <c r="Z457" s="2"/>
      <c r="AA457" s="5"/>
      <c r="AB457" s="146"/>
      <c r="AC457" s="5"/>
      <c r="AD457" s="5"/>
      <c r="AE457" s="5"/>
      <c r="AF457" s="5"/>
      <c r="AG457" s="5"/>
      <c r="AH457" s="5"/>
    </row>
    <row r="458" spans="13:34">
      <c r="M458" s="2"/>
      <c r="O458" s="2"/>
      <c r="R458" s="2"/>
      <c r="T458" s="2"/>
      <c r="W458" s="2"/>
      <c r="Y458" s="2"/>
      <c r="Z458" s="2"/>
      <c r="AA458" s="5"/>
      <c r="AB458" s="146"/>
      <c r="AC458" s="5"/>
      <c r="AD458" s="5"/>
      <c r="AE458" s="5"/>
      <c r="AF458" s="5"/>
      <c r="AG458" s="5"/>
      <c r="AH458" s="5"/>
    </row>
    <row r="459" spans="13:34">
      <c r="M459" s="2"/>
      <c r="O459" s="2"/>
      <c r="R459" s="2"/>
      <c r="T459" s="2"/>
      <c r="W459" s="2"/>
      <c r="Y459" s="2"/>
      <c r="Z459" s="2"/>
      <c r="AA459" s="5"/>
      <c r="AB459" s="146"/>
      <c r="AC459" s="5"/>
      <c r="AD459" s="5"/>
      <c r="AE459" s="5"/>
      <c r="AF459" s="5"/>
      <c r="AG459" s="5"/>
      <c r="AH459" s="5"/>
    </row>
    <row r="460" spans="13:34">
      <c r="M460" s="2"/>
      <c r="O460" s="2"/>
      <c r="R460" s="2"/>
      <c r="T460" s="2"/>
      <c r="W460" s="2"/>
      <c r="Y460" s="2"/>
      <c r="Z460" s="2"/>
      <c r="AA460" s="5"/>
      <c r="AB460" s="146"/>
      <c r="AC460" s="5"/>
      <c r="AD460" s="5"/>
      <c r="AE460" s="5"/>
      <c r="AF460" s="5"/>
      <c r="AG460" s="5"/>
      <c r="AH460" s="5"/>
    </row>
    <row r="461" spans="13:34">
      <c r="M461" s="2"/>
      <c r="O461" s="2"/>
      <c r="R461" s="2"/>
      <c r="T461" s="2"/>
      <c r="W461" s="2"/>
      <c r="Y461" s="2"/>
      <c r="Z461" s="2"/>
      <c r="AA461" s="5"/>
      <c r="AB461" s="146"/>
      <c r="AC461" s="5"/>
      <c r="AD461" s="5"/>
      <c r="AE461" s="5"/>
      <c r="AF461" s="5"/>
      <c r="AG461" s="5"/>
      <c r="AH461" s="5"/>
    </row>
    <row r="462" spans="13:34">
      <c r="M462" s="2"/>
      <c r="O462" s="2"/>
      <c r="R462" s="2"/>
      <c r="T462" s="2"/>
      <c r="W462" s="2"/>
      <c r="Y462" s="2"/>
      <c r="Z462" s="2"/>
      <c r="AA462" s="5"/>
      <c r="AB462" s="146"/>
      <c r="AC462" s="5"/>
      <c r="AD462" s="5"/>
      <c r="AE462" s="5"/>
      <c r="AF462" s="5"/>
      <c r="AG462" s="5"/>
      <c r="AH462" s="5"/>
    </row>
    <row r="463" spans="13:34">
      <c r="M463" s="2"/>
      <c r="O463" s="2"/>
      <c r="R463" s="2"/>
      <c r="T463" s="2"/>
      <c r="W463" s="2"/>
      <c r="Y463" s="2"/>
      <c r="Z463" s="2"/>
      <c r="AA463" s="5"/>
      <c r="AB463" s="146"/>
      <c r="AC463" s="5"/>
      <c r="AD463" s="5"/>
      <c r="AE463" s="5"/>
      <c r="AF463" s="5"/>
      <c r="AG463" s="5"/>
      <c r="AH463" s="5"/>
    </row>
    <row r="464" spans="13:34">
      <c r="M464" s="2"/>
      <c r="O464" s="2"/>
      <c r="R464" s="2"/>
      <c r="T464" s="2"/>
      <c r="W464" s="2"/>
      <c r="Y464" s="2"/>
      <c r="Z464" s="2"/>
      <c r="AA464" s="5"/>
      <c r="AB464" s="146"/>
      <c r="AC464" s="5"/>
      <c r="AD464" s="5"/>
      <c r="AE464" s="5"/>
      <c r="AF464" s="5"/>
      <c r="AG464" s="5"/>
      <c r="AH464" s="5"/>
    </row>
    <row r="465" spans="13:34">
      <c r="M465" s="2"/>
      <c r="O465" s="2"/>
      <c r="R465" s="2"/>
      <c r="T465" s="2"/>
      <c r="W465" s="2"/>
      <c r="Y465" s="2"/>
      <c r="Z465" s="2"/>
      <c r="AA465" s="5"/>
      <c r="AB465" s="146"/>
      <c r="AC465" s="5"/>
      <c r="AD465" s="5"/>
      <c r="AE465" s="5"/>
      <c r="AF465" s="5"/>
      <c r="AG465" s="5"/>
      <c r="AH465" s="5"/>
    </row>
    <row r="466" spans="13:34">
      <c r="M466" s="2"/>
      <c r="O466" s="2"/>
      <c r="R466" s="2"/>
      <c r="T466" s="2"/>
      <c r="W466" s="2"/>
      <c r="Y466" s="2"/>
      <c r="Z466" s="2"/>
      <c r="AA466" s="5"/>
      <c r="AB466" s="146"/>
      <c r="AC466" s="5"/>
      <c r="AD466" s="5"/>
      <c r="AE466" s="5"/>
      <c r="AF466" s="5"/>
      <c r="AG466" s="5"/>
      <c r="AH466" s="5"/>
    </row>
    <row r="467" spans="13:34">
      <c r="M467" s="2"/>
      <c r="O467" s="2"/>
      <c r="R467" s="2"/>
      <c r="T467" s="2"/>
      <c r="W467" s="2"/>
      <c r="Y467" s="2"/>
      <c r="Z467" s="2"/>
      <c r="AA467" s="5"/>
      <c r="AB467" s="146"/>
      <c r="AC467" s="5"/>
      <c r="AD467" s="5"/>
      <c r="AE467" s="5"/>
      <c r="AF467" s="5"/>
      <c r="AG467" s="5"/>
      <c r="AH467" s="5"/>
    </row>
    <row r="468" spans="13:34">
      <c r="M468" s="2"/>
      <c r="O468" s="2"/>
      <c r="R468" s="2"/>
      <c r="T468" s="2"/>
      <c r="W468" s="2"/>
      <c r="Y468" s="2"/>
      <c r="Z468" s="2"/>
      <c r="AA468" s="5"/>
      <c r="AB468" s="146"/>
      <c r="AC468" s="5"/>
      <c r="AD468" s="5"/>
      <c r="AE468" s="5"/>
      <c r="AF468" s="5"/>
      <c r="AG468" s="5"/>
      <c r="AH468" s="5"/>
    </row>
    <row r="469" spans="13:34">
      <c r="M469" s="2"/>
      <c r="O469" s="2"/>
      <c r="R469" s="2"/>
      <c r="T469" s="2"/>
      <c r="W469" s="2"/>
      <c r="Y469" s="2"/>
      <c r="Z469" s="2"/>
      <c r="AA469" s="5"/>
      <c r="AB469" s="146"/>
      <c r="AC469" s="5"/>
      <c r="AD469" s="5"/>
      <c r="AE469" s="5"/>
      <c r="AF469" s="5"/>
      <c r="AG469" s="5"/>
      <c r="AH469" s="5"/>
    </row>
    <row r="470" spans="13:34">
      <c r="M470" s="2"/>
      <c r="O470" s="2"/>
      <c r="R470" s="2"/>
      <c r="T470" s="2"/>
      <c r="W470" s="2"/>
      <c r="Y470" s="2"/>
      <c r="Z470" s="2"/>
      <c r="AA470" s="5"/>
      <c r="AB470" s="146"/>
      <c r="AC470" s="5"/>
      <c r="AD470" s="5"/>
      <c r="AE470" s="5"/>
      <c r="AF470" s="5"/>
      <c r="AG470" s="5"/>
      <c r="AH470" s="5"/>
    </row>
    <row r="471" spans="13:34">
      <c r="M471" s="2"/>
      <c r="O471" s="2"/>
      <c r="R471" s="2"/>
      <c r="T471" s="2"/>
      <c r="W471" s="2"/>
      <c r="Y471" s="2"/>
      <c r="Z471" s="2"/>
      <c r="AA471" s="5"/>
      <c r="AB471" s="146"/>
      <c r="AC471" s="5"/>
      <c r="AD471" s="5"/>
      <c r="AE471" s="5"/>
      <c r="AF471" s="5"/>
      <c r="AG471" s="5"/>
      <c r="AH471" s="5"/>
    </row>
    <row r="472" spans="13:34">
      <c r="M472" s="2"/>
      <c r="O472" s="2"/>
      <c r="R472" s="2"/>
      <c r="T472" s="2"/>
      <c r="W472" s="2"/>
      <c r="Y472" s="2"/>
      <c r="Z472" s="2"/>
      <c r="AA472" s="5"/>
      <c r="AB472" s="146"/>
      <c r="AC472" s="5"/>
      <c r="AD472" s="5"/>
      <c r="AE472" s="5"/>
      <c r="AF472" s="5"/>
      <c r="AG472" s="5"/>
      <c r="AH472" s="5"/>
    </row>
    <row r="473" spans="13:34">
      <c r="M473" s="2"/>
      <c r="O473" s="2"/>
      <c r="R473" s="2"/>
      <c r="T473" s="2"/>
      <c r="W473" s="2"/>
      <c r="Y473" s="2"/>
    </row>
    <row r="474" spans="13:34">
      <c r="M474" s="2"/>
      <c r="O474" s="2"/>
      <c r="R474" s="2"/>
      <c r="T474" s="2"/>
      <c r="W474" s="2"/>
      <c r="Y474" s="2"/>
    </row>
    <row r="475" spans="13:34">
      <c r="M475" s="2"/>
      <c r="O475" s="2"/>
      <c r="R475" s="2"/>
      <c r="T475" s="2"/>
      <c r="W475" s="2"/>
      <c r="Y475" s="2"/>
    </row>
    <row r="476" spans="13:34">
      <c r="M476" s="2"/>
      <c r="O476" s="2"/>
      <c r="R476" s="2"/>
      <c r="T476" s="2"/>
      <c r="W476" s="2"/>
      <c r="Y476" s="2"/>
    </row>
    <row r="477" spans="13:34">
      <c r="M477" s="2"/>
      <c r="O477" s="2"/>
      <c r="R477" s="2"/>
      <c r="T477" s="2"/>
      <c r="W477" s="2"/>
      <c r="Y477" s="2"/>
    </row>
    <row r="478" spans="13:34">
      <c r="M478" s="2"/>
      <c r="O478" s="2"/>
      <c r="R478" s="2"/>
      <c r="T478" s="2"/>
      <c r="W478" s="2"/>
      <c r="Y478" s="2"/>
    </row>
    <row r="479" spans="13:34">
      <c r="M479" s="2"/>
      <c r="O479" s="2"/>
      <c r="R479" s="2"/>
      <c r="T479" s="2"/>
      <c r="W479" s="2"/>
      <c r="Y479" s="2"/>
    </row>
    <row r="480" spans="13:34">
      <c r="M480" s="2"/>
      <c r="O480" s="2"/>
      <c r="R480" s="2"/>
      <c r="T480" s="2"/>
      <c r="W480" s="2"/>
      <c r="Y480" s="2"/>
    </row>
    <row r="481" spans="13:25">
      <c r="M481" s="2"/>
      <c r="O481" s="2"/>
      <c r="R481" s="2"/>
      <c r="T481" s="2"/>
      <c r="W481" s="2"/>
      <c r="Y481" s="2"/>
    </row>
    <row r="482" spans="13:25">
      <c r="M482" s="2"/>
      <c r="O482" s="2"/>
      <c r="R482" s="2"/>
      <c r="T482" s="2"/>
      <c r="W482" s="2"/>
      <c r="Y482" s="2"/>
    </row>
    <row r="483" spans="13:25">
      <c r="M483" s="2"/>
      <c r="O483" s="2"/>
      <c r="R483" s="2"/>
      <c r="T483" s="2"/>
      <c r="W483" s="2"/>
      <c r="Y483" s="2"/>
    </row>
    <row r="484" spans="13:25">
      <c r="M484" s="2"/>
      <c r="O484" s="2"/>
      <c r="R484" s="2"/>
      <c r="T484" s="2"/>
      <c r="W484" s="2"/>
      <c r="Y484" s="2"/>
    </row>
    <row r="485" spans="13:25">
      <c r="M485" s="2"/>
      <c r="O485" s="2"/>
      <c r="R485" s="2"/>
      <c r="T485" s="2"/>
      <c r="W485" s="2"/>
      <c r="Y485" s="2"/>
    </row>
    <row r="486" spans="13:25">
      <c r="M486" s="2"/>
      <c r="O486" s="2"/>
      <c r="R486" s="2"/>
      <c r="T486" s="2"/>
      <c r="W486" s="2"/>
      <c r="Y486" s="2"/>
    </row>
    <row r="487" spans="13:25">
      <c r="M487" s="2"/>
      <c r="O487" s="2"/>
      <c r="R487" s="2"/>
      <c r="T487" s="2"/>
      <c r="W487" s="2"/>
      <c r="Y487" s="2"/>
    </row>
    <row r="488" spans="13:25">
      <c r="M488" s="2"/>
      <c r="O488" s="2"/>
      <c r="R488" s="2"/>
      <c r="T488" s="2"/>
      <c r="W488" s="2"/>
      <c r="Y488" s="2"/>
    </row>
    <row r="489" spans="13:25">
      <c r="M489" s="2"/>
      <c r="O489" s="2"/>
      <c r="R489" s="2"/>
      <c r="T489" s="2"/>
      <c r="W489" s="2"/>
      <c r="Y489" s="2"/>
    </row>
    <row r="490" spans="13:25">
      <c r="M490" s="2"/>
      <c r="O490" s="2"/>
      <c r="R490" s="2"/>
      <c r="T490" s="2"/>
      <c r="W490" s="2"/>
      <c r="Y490" s="2"/>
    </row>
    <row r="491" spans="13:25">
      <c r="M491" s="2"/>
      <c r="O491" s="2"/>
      <c r="R491" s="2"/>
      <c r="T491" s="2"/>
      <c r="W491" s="2"/>
      <c r="Y491" s="2"/>
    </row>
    <row r="492" spans="13:25">
      <c r="M492" s="2"/>
      <c r="O492" s="2"/>
      <c r="R492" s="2"/>
      <c r="T492" s="2"/>
      <c r="W492" s="2"/>
      <c r="Y492" s="2"/>
    </row>
    <row r="493" spans="13:25">
      <c r="M493" s="2"/>
      <c r="O493" s="2"/>
      <c r="R493" s="2"/>
      <c r="T493" s="2"/>
      <c r="W493" s="2"/>
      <c r="Y493" s="2"/>
    </row>
    <row r="494" spans="13:25">
      <c r="M494" s="2"/>
      <c r="O494" s="2"/>
      <c r="R494" s="2"/>
      <c r="T494" s="2"/>
      <c r="W494" s="2"/>
      <c r="Y494" s="2"/>
    </row>
    <row r="495" spans="13:25">
      <c r="M495" s="2"/>
      <c r="O495" s="2"/>
      <c r="R495" s="2"/>
      <c r="T495" s="2"/>
      <c r="W495" s="2"/>
      <c r="Y495" s="2"/>
    </row>
    <row r="496" spans="13:25">
      <c r="M496" s="2"/>
      <c r="O496" s="2"/>
      <c r="R496" s="2"/>
      <c r="T496" s="2"/>
      <c r="W496" s="2"/>
      <c r="Y496" s="2"/>
    </row>
    <row r="497" spans="13:25">
      <c r="M497" s="2"/>
      <c r="O497" s="2"/>
      <c r="R497" s="2"/>
      <c r="T497" s="2"/>
      <c r="W497" s="2"/>
      <c r="Y497" s="2"/>
    </row>
    <row r="498" spans="13:25">
      <c r="M498" s="2"/>
      <c r="O498" s="2"/>
      <c r="R498" s="2"/>
      <c r="T498" s="2"/>
      <c r="W498" s="2"/>
      <c r="Y498" s="2"/>
    </row>
    <row r="499" spans="13:25">
      <c r="M499" s="2"/>
      <c r="O499" s="2"/>
      <c r="R499" s="2"/>
      <c r="T499" s="2"/>
      <c r="W499" s="2"/>
      <c r="Y499" s="2"/>
    </row>
    <row r="500" spans="13:25">
      <c r="M500" s="2"/>
      <c r="O500" s="2"/>
      <c r="R500" s="2"/>
      <c r="T500" s="2"/>
      <c r="W500" s="2"/>
      <c r="Y500" s="2"/>
    </row>
    <row r="501" spans="13:25">
      <c r="M501" s="2"/>
      <c r="O501" s="2"/>
      <c r="R501" s="2"/>
      <c r="T501" s="2"/>
      <c r="W501" s="2"/>
      <c r="Y501" s="2"/>
    </row>
    <row r="502" spans="13:25">
      <c r="M502" s="2"/>
      <c r="O502" s="2"/>
      <c r="R502" s="2"/>
      <c r="T502" s="2"/>
      <c r="W502" s="2"/>
      <c r="Y502" s="2"/>
    </row>
    <row r="503" spans="13:25">
      <c r="M503" s="2"/>
      <c r="O503" s="2"/>
      <c r="R503" s="2"/>
      <c r="T503" s="2"/>
      <c r="W503" s="2"/>
      <c r="Y503" s="2"/>
    </row>
    <row r="504" spans="13:25">
      <c r="M504" s="2"/>
      <c r="O504" s="2"/>
      <c r="R504" s="2"/>
      <c r="T504" s="2"/>
      <c r="W504" s="2"/>
      <c r="Y504" s="2"/>
    </row>
    <row r="505" spans="13:25">
      <c r="M505" s="2"/>
      <c r="O505" s="2"/>
      <c r="R505" s="2"/>
      <c r="T505" s="2"/>
      <c r="W505" s="2"/>
      <c r="Y505" s="2"/>
    </row>
    <row r="506" spans="13:25">
      <c r="M506" s="2"/>
      <c r="O506" s="2"/>
      <c r="R506" s="2"/>
      <c r="T506" s="2"/>
      <c r="W506" s="2"/>
      <c r="Y506" s="2"/>
    </row>
    <row r="507" spans="13:25">
      <c r="M507" s="2"/>
      <c r="O507" s="2"/>
      <c r="R507" s="2"/>
      <c r="T507" s="2"/>
      <c r="W507" s="2"/>
      <c r="Y507" s="2"/>
    </row>
    <row r="508" spans="13:25">
      <c r="M508" s="2"/>
      <c r="O508" s="2"/>
      <c r="R508" s="2"/>
      <c r="T508" s="2"/>
      <c r="W508" s="2"/>
      <c r="Y508" s="2"/>
    </row>
    <row r="509" spans="13:25">
      <c r="M509" s="2"/>
      <c r="O509" s="2"/>
      <c r="R509" s="2"/>
      <c r="T509" s="2"/>
      <c r="W509" s="2"/>
      <c r="Y509" s="2"/>
    </row>
    <row r="510" spans="13:25">
      <c r="M510" s="2"/>
      <c r="O510" s="2"/>
      <c r="R510" s="2"/>
      <c r="T510" s="2"/>
      <c r="W510" s="2"/>
      <c r="Y510" s="2"/>
    </row>
    <row r="511" spans="13:25">
      <c r="M511" s="2"/>
      <c r="O511" s="2"/>
      <c r="R511" s="2"/>
      <c r="T511" s="2"/>
      <c r="W511" s="2"/>
      <c r="Y511" s="2"/>
    </row>
    <row r="512" spans="13:25">
      <c r="M512" s="2"/>
      <c r="O512" s="2"/>
      <c r="R512" s="2"/>
      <c r="T512" s="2"/>
      <c r="W512" s="2"/>
      <c r="Y512" s="2"/>
    </row>
    <row r="513" spans="13:25">
      <c r="M513" s="2"/>
      <c r="O513" s="2"/>
      <c r="R513" s="2"/>
      <c r="T513" s="2"/>
      <c r="W513" s="2"/>
      <c r="Y513" s="2"/>
    </row>
    <row r="514" spans="13:25">
      <c r="M514" s="2"/>
      <c r="O514" s="2"/>
      <c r="R514" s="2"/>
      <c r="T514" s="2"/>
      <c r="W514" s="2"/>
      <c r="Y514" s="2"/>
    </row>
    <row r="515" spans="13:25">
      <c r="M515" s="2"/>
      <c r="O515" s="2"/>
      <c r="R515" s="2"/>
      <c r="T515" s="2"/>
      <c r="W515" s="2"/>
      <c r="Y515" s="2"/>
    </row>
    <row r="516" spans="13:25">
      <c r="M516" s="2"/>
      <c r="O516" s="2"/>
      <c r="R516" s="2"/>
      <c r="T516" s="2"/>
      <c r="W516" s="2"/>
      <c r="Y516" s="2"/>
    </row>
    <row r="517" spans="13:25">
      <c r="M517" s="2"/>
      <c r="O517" s="2"/>
      <c r="R517" s="2"/>
      <c r="T517" s="2"/>
      <c r="W517" s="2"/>
      <c r="Y517" s="2"/>
    </row>
    <row r="518" spans="13:25">
      <c r="M518" s="2"/>
      <c r="O518" s="2"/>
      <c r="R518" s="2"/>
      <c r="T518" s="2"/>
      <c r="W518" s="2"/>
      <c r="Y518" s="2"/>
    </row>
    <row r="519" spans="13:25">
      <c r="M519" s="2"/>
      <c r="O519" s="2"/>
      <c r="R519" s="2"/>
      <c r="T519" s="2"/>
      <c r="W519" s="2"/>
      <c r="Y519" s="2"/>
    </row>
    <row r="520" spans="13:25">
      <c r="M520" s="2"/>
      <c r="O520" s="2"/>
      <c r="R520" s="2"/>
      <c r="T520" s="2"/>
      <c r="W520" s="2"/>
      <c r="Y520" s="2"/>
    </row>
    <row r="521" spans="13:25">
      <c r="M521" s="2"/>
      <c r="O521" s="2"/>
      <c r="R521" s="2"/>
      <c r="T521" s="2"/>
      <c r="W521" s="2"/>
      <c r="Y521" s="2"/>
    </row>
    <row r="522" spans="13:25">
      <c r="M522" s="2"/>
      <c r="O522" s="2"/>
      <c r="R522" s="2"/>
      <c r="T522" s="2"/>
      <c r="W522" s="2"/>
      <c r="Y522" s="2"/>
    </row>
    <row r="523" spans="13:25">
      <c r="M523" s="2"/>
      <c r="O523" s="2"/>
      <c r="R523" s="2"/>
      <c r="T523" s="2"/>
      <c r="W523" s="2"/>
      <c r="Y523" s="2"/>
    </row>
    <row r="524" spans="13:25">
      <c r="M524" s="2"/>
      <c r="O524" s="2"/>
      <c r="R524" s="2"/>
      <c r="T524" s="2"/>
      <c r="W524" s="2"/>
      <c r="Y524" s="2"/>
    </row>
    <row r="525" spans="13:25">
      <c r="M525" s="2"/>
      <c r="O525" s="2"/>
      <c r="R525" s="2"/>
      <c r="T525" s="2"/>
      <c r="W525" s="2"/>
      <c r="Y525" s="2"/>
    </row>
    <row r="526" spans="13:25">
      <c r="M526" s="2"/>
      <c r="O526" s="2"/>
      <c r="R526" s="2"/>
      <c r="T526" s="2"/>
      <c r="W526" s="2"/>
      <c r="Y526" s="2"/>
    </row>
    <row r="527" spans="13:25">
      <c r="M527" s="2"/>
      <c r="O527" s="2"/>
      <c r="R527" s="2"/>
      <c r="T527" s="2"/>
      <c r="W527" s="2"/>
      <c r="Y527" s="2"/>
    </row>
    <row r="528" spans="13:25">
      <c r="M528" s="2"/>
      <c r="O528" s="2"/>
      <c r="R528" s="2"/>
      <c r="T528" s="2"/>
      <c r="W528" s="2"/>
      <c r="Y528" s="2"/>
    </row>
    <row r="529" spans="13:25">
      <c r="M529" s="2"/>
      <c r="O529" s="2"/>
      <c r="R529" s="2"/>
      <c r="T529" s="2"/>
      <c r="W529" s="2"/>
      <c r="Y529" s="2"/>
    </row>
    <row r="530" spans="13:25">
      <c r="M530" s="2"/>
      <c r="O530" s="2"/>
      <c r="R530" s="2"/>
      <c r="T530" s="2"/>
      <c r="W530" s="2"/>
      <c r="Y530" s="2"/>
    </row>
    <row r="531" spans="13:25">
      <c r="M531" s="2"/>
      <c r="O531" s="2"/>
      <c r="R531" s="2"/>
      <c r="T531" s="2"/>
      <c r="W531" s="2"/>
      <c r="Y531" s="2"/>
    </row>
    <row r="532" spans="13:25">
      <c r="M532" s="2"/>
      <c r="O532" s="2"/>
      <c r="R532" s="2"/>
      <c r="T532" s="2"/>
      <c r="W532" s="2"/>
      <c r="Y532" s="2"/>
    </row>
    <row r="533" spans="13:25">
      <c r="M533" s="2"/>
      <c r="O533" s="2"/>
      <c r="R533" s="2"/>
      <c r="T533" s="2"/>
      <c r="W533" s="2"/>
      <c r="Y533" s="2"/>
    </row>
    <row r="534" spans="13:25">
      <c r="M534" s="2"/>
      <c r="O534" s="2"/>
      <c r="R534" s="2"/>
      <c r="T534" s="2"/>
      <c r="W534" s="2"/>
      <c r="Y534" s="2"/>
    </row>
    <row r="535" spans="13:25">
      <c r="M535" s="2"/>
      <c r="O535" s="2"/>
      <c r="R535" s="2"/>
      <c r="T535" s="2"/>
      <c r="W535" s="2"/>
      <c r="Y535" s="2"/>
    </row>
    <row r="536" spans="13:25">
      <c r="M536" s="2"/>
      <c r="O536" s="2"/>
      <c r="R536" s="2"/>
      <c r="T536" s="2"/>
      <c r="W536" s="2"/>
      <c r="Y536" s="2"/>
    </row>
    <row r="537" spans="13:25">
      <c r="M537" s="2"/>
      <c r="O537" s="2"/>
      <c r="R537" s="2"/>
      <c r="T537" s="2"/>
      <c r="W537" s="2"/>
      <c r="Y537" s="2"/>
    </row>
    <row r="538" spans="13:25">
      <c r="M538" s="2"/>
      <c r="O538" s="2"/>
      <c r="R538" s="2"/>
      <c r="T538" s="2"/>
      <c r="W538" s="2"/>
      <c r="Y538" s="2"/>
    </row>
    <row r="539" spans="13:25">
      <c r="M539" s="2"/>
      <c r="O539" s="2"/>
      <c r="R539" s="2"/>
      <c r="T539" s="2"/>
      <c r="W539" s="2"/>
      <c r="Y539" s="2"/>
    </row>
    <row r="540" spans="13:25">
      <c r="M540" s="2"/>
      <c r="O540" s="2"/>
      <c r="R540" s="2"/>
      <c r="T540" s="2"/>
      <c r="W540" s="2"/>
      <c r="Y540" s="2"/>
    </row>
    <row r="541" spans="13:25">
      <c r="M541" s="2"/>
      <c r="O541" s="2"/>
      <c r="R541" s="2"/>
      <c r="T541" s="2"/>
      <c r="W541" s="2"/>
      <c r="Y541" s="2"/>
    </row>
    <row r="542" spans="13:25">
      <c r="M542" s="2"/>
      <c r="O542" s="2"/>
      <c r="R542" s="2"/>
      <c r="T542" s="2"/>
      <c r="W542" s="2"/>
      <c r="Y542" s="2"/>
    </row>
    <row r="543" spans="13:25">
      <c r="M543" s="2"/>
      <c r="O543" s="2"/>
      <c r="R543" s="2"/>
      <c r="T543" s="2"/>
      <c r="W543" s="2"/>
      <c r="Y543" s="2"/>
    </row>
    <row r="544" spans="13:25">
      <c r="M544" s="2"/>
      <c r="O544" s="2"/>
      <c r="R544" s="2"/>
      <c r="T544" s="2"/>
      <c r="W544" s="2"/>
      <c r="Y544" s="2"/>
    </row>
    <row r="545" spans="13:25">
      <c r="M545" s="2"/>
      <c r="O545" s="2"/>
      <c r="R545" s="2"/>
      <c r="T545" s="2"/>
      <c r="W545" s="2"/>
      <c r="Y545" s="2"/>
    </row>
    <row r="546" spans="13:25">
      <c r="M546" s="2"/>
      <c r="O546" s="2"/>
      <c r="R546" s="2"/>
      <c r="T546" s="2"/>
      <c r="W546" s="2"/>
      <c r="Y546" s="2"/>
    </row>
    <row r="547" spans="13:25">
      <c r="M547" s="2"/>
      <c r="O547" s="2"/>
      <c r="R547" s="2"/>
      <c r="T547" s="2"/>
      <c r="W547" s="2"/>
      <c r="Y547" s="2"/>
    </row>
    <row r="548" spans="13:25">
      <c r="M548" s="2"/>
      <c r="O548" s="2"/>
      <c r="R548" s="2"/>
      <c r="T548" s="2"/>
      <c r="W548" s="2"/>
      <c r="Y548" s="2"/>
    </row>
    <row r="549" spans="13:25">
      <c r="M549" s="2"/>
      <c r="O549" s="2"/>
      <c r="R549" s="2"/>
      <c r="T549" s="2"/>
      <c r="W549" s="2"/>
      <c r="Y549" s="2"/>
    </row>
    <row r="550" spans="13:25">
      <c r="M550" s="2"/>
      <c r="O550" s="2"/>
      <c r="R550" s="2"/>
      <c r="T550" s="2"/>
      <c r="W550" s="2"/>
      <c r="Y550" s="2"/>
    </row>
    <row r="551" spans="13:25">
      <c r="M551" s="2"/>
      <c r="O551" s="2"/>
      <c r="R551" s="2"/>
      <c r="T551" s="2"/>
      <c r="W551" s="2"/>
      <c r="Y551" s="2"/>
    </row>
    <row r="552" spans="13:25">
      <c r="M552" s="2"/>
      <c r="O552" s="2"/>
      <c r="R552" s="2"/>
      <c r="T552" s="2"/>
      <c r="W552" s="2"/>
      <c r="Y552" s="2"/>
    </row>
    <row r="553" spans="13:25">
      <c r="M553" s="2"/>
      <c r="O553" s="2"/>
      <c r="R553" s="2"/>
      <c r="T553" s="2"/>
      <c r="W553" s="2"/>
      <c r="Y553" s="2"/>
    </row>
    <row r="554" spans="13:25">
      <c r="M554" s="2"/>
      <c r="O554" s="2"/>
      <c r="R554" s="2"/>
      <c r="T554" s="2"/>
      <c r="W554" s="2"/>
      <c r="Y554" s="2"/>
    </row>
    <row r="555" spans="13:25">
      <c r="M555" s="2"/>
      <c r="O555" s="2"/>
      <c r="R555" s="2"/>
      <c r="T555" s="2"/>
      <c r="W555" s="2"/>
      <c r="Y555" s="2"/>
    </row>
    <row r="556" spans="13:25">
      <c r="M556" s="2"/>
      <c r="O556" s="2"/>
      <c r="R556" s="2"/>
      <c r="T556" s="2"/>
      <c r="W556" s="2"/>
      <c r="Y556" s="2"/>
    </row>
    <row r="557" spans="13:25">
      <c r="M557" s="2"/>
      <c r="O557" s="2"/>
      <c r="R557" s="2"/>
      <c r="T557" s="2"/>
      <c r="W557" s="2"/>
      <c r="Y557" s="2"/>
    </row>
    <row r="558" spans="13:25">
      <c r="M558" s="2"/>
      <c r="O558" s="2"/>
      <c r="R558" s="2"/>
      <c r="T558" s="2"/>
      <c r="W558" s="2"/>
      <c r="Y558" s="2"/>
    </row>
    <row r="559" spans="13:25">
      <c r="M559" s="2"/>
      <c r="O559" s="2"/>
      <c r="R559" s="2"/>
      <c r="T559" s="2"/>
      <c r="W559" s="2"/>
      <c r="Y559" s="2"/>
    </row>
    <row r="560" spans="13:25">
      <c r="M560" s="2"/>
      <c r="O560" s="2"/>
      <c r="R560" s="2"/>
      <c r="T560" s="2"/>
      <c r="W560" s="2"/>
      <c r="Y560" s="2"/>
    </row>
    <row r="561" spans="13:25">
      <c r="M561" s="2"/>
      <c r="O561" s="2"/>
      <c r="R561" s="2"/>
      <c r="T561" s="2"/>
      <c r="W561" s="2"/>
      <c r="Y561" s="2"/>
    </row>
    <row r="562" spans="13:25">
      <c r="M562" s="2"/>
      <c r="O562" s="2"/>
      <c r="R562" s="2"/>
      <c r="T562" s="2"/>
      <c r="W562" s="2"/>
      <c r="Y562" s="2"/>
    </row>
    <row r="563" spans="13:25">
      <c r="M563" s="2"/>
      <c r="O563" s="2"/>
      <c r="R563" s="2"/>
      <c r="T563" s="2"/>
      <c r="W563" s="2"/>
      <c r="Y563" s="2"/>
    </row>
    <row r="564" spans="13:25">
      <c r="M564" s="2"/>
      <c r="O564" s="2"/>
      <c r="R564" s="2"/>
      <c r="T564" s="2"/>
      <c r="W564" s="2"/>
      <c r="Y564" s="2"/>
    </row>
    <row r="565" spans="13:25">
      <c r="M565" s="2"/>
      <c r="O565" s="2"/>
      <c r="R565" s="2"/>
      <c r="T565" s="2"/>
      <c r="W565" s="2"/>
      <c r="Y565" s="2"/>
    </row>
    <row r="566" spans="13:25">
      <c r="M566" s="2"/>
      <c r="O566" s="2"/>
      <c r="R566" s="2"/>
      <c r="T566" s="2"/>
      <c r="W566" s="2"/>
      <c r="Y566" s="2"/>
    </row>
    <row r="567" spans="13:25">
      <c r="M567" s="2"/>
      <c r="O567" s="2"/>
      <c r="R567" s="2"/>
      <c r="T567" s="2"/>
      <c r="W567" s="2"/>
      <c r="Y567" s="2"/>
    </row>
    <row r="568" spans="13:25">
      <c r="M568" s="2"/>
      <c r="O568" s="2"/>
      <c r="R568" s="2"/>
      <c r="T568" s="2"/>
      <c r="W568" s="2"/>
      <c r="Y568" s="2"/>
    </row>
    <row r="569" spans="13:25">
      <c r="M569" s="2"/>
      <c r="O569" s="2"/>
      <c r="R569" s="2"/>
      <c r="T569" s="2"/>
      <c r="W569" s="2"/>
      <c r="Y569" s="2"/>
    </row>
    <row r="570" spans="13:25">
      <c r="M570" s="2"/>
      <c r="O570" s="2"/>
      <c r="R570" s="2"/>
      <c r="T570" s="2"/>
      <c r="W570" s="2"/>
      <c r="Y570" s="2"/>
    </row>
    <row r="571" spans="13:25">
      <c r="M571" s="2"/>
      <c r="O571" s="2"/>
      <c r="R571" s="2"/>
      <c r="T571" s="2"/>
      <c r="W571" s="2"/>
      <c r="Y571" s="2"/>
    </row>
    <row r="572" spans="13:25">
      <c r="M572" s="2"/>
      <c r="O572" s="2"/>
      <c r="R572" s="2"/>
      <c r="T572" s="2"/>
      <c r="W572" s="2"/>
      <c r="Y572" s="2"/>
    </row>
    <row r="573" spans="13:25">
      <c r="M573" s="2"/>
      <c r="O573" s="2"/>
      <c r="R573" s="2"/>
      <c r="T573" s="2"/>
      <c r="W573" s="2"/>
      <c r="Y573" s="2"/>
    </row>
    <row r="574" spans="13:25">
      <c r="M574" s="2"/>
      <c r="O574" s="2"/>
      <c r="R574" s="2"/>
      <c r="T574" s="2"/>
      <c r="W574" s="2"/>
      <c r="Y574" s="2"/>
    </row>
    <row r="575" spans="13:25">
      <c r="M575" s="2"/>
      <c r="O575" s="2"/>
      <c r="R575" s="2"/>
      <c r="T575" s="2"/>
      <c r="W575" s="2"/>
      <c r="Y575" s="2"/>
    </row>
    <row r="576" spans="13:25">
      <c r="M576" s="2"/>
      <c r="O576" s="2"/>
      <c r="R576" s="2"/>
      <c r="T576" s="2"/>
      <c r="W576" s="2"/>
      <c r="Y576" s="2"/>
    </row>
    <row r="577" spans="13:25">
      <c r="M577" s="2"/>
      <c r="O577" s="2"/>
      <c r="R577" s="2"/>
      <c r="T577" s="2"/>
      <c r="W577" s="2"/>
      <c r="Y577" s="2"/>
    </row>
    <row r="578" spans="13:25">
      <c r="M578" s="2"/>
      <c r="O578" s="2"/>
      <c r="R578" s="2"/>
      <c r="T578" s="2"/>
      <c r="W578" s="2"/>
      <c r="Y578" s="2"/>
    </row>
    <row r="579" spans="13:25">
      <c r="M579" s="2"/>
      <c r="O579" s="2"/>
      <c r="R579" s="2"/>
      <c r="T579" s="2"/>
      <c r="W579" s="2"/>
      <c r="Y579" s="2"/>
    </row>
    <row r="580" spans="13:25">
      <c r="M580" s="2"/>
      <c r="O580" s="2"/>
      <c r="R580" s="2"/>
      <c r="T580" s="2"/>
      <c r="W580" s="2"/>
      <c r="Y580" s="2"/>
    </row>
    <row r="581" spans="13:25">
      <c r="M581" s="2"/>
      <c r="O581" s="2"/>
      <c r="R581" s="2"/>
      <c r="T581" s="2"/>
      <c r="W581" s="2"/>
      <c r="Y581" s="2"/>
    </row>
    <row r="582" spans="13:25">
      <c r="M582" s="2"/>
      <c r="O582" s="2"/>
      <c r="R582" s="2"/>
      <c r="T582" s="2"/>
      <c r="W582" s="2"/>
      <c r="Y582" s="2"/>
    </row>
    <row r="583" spans="13:25">
      <c r="M583" s="2"/>
      <c r="O583" s="2"/>
      <c r="R583" s="2"/>
      <c r="T583" s="2"/>
      <c r="W583" s="2"/>
      <c r="Y583" s="2"/>
    </row>
    <row r="584" spans="13:25">
      <c r="M584" s="2"/>
      <c r="O584" s="2"/>
      <c r="R584" s="2"/>
      <c r="T584" s="2"/>
      <c r="W584" s="2"/>
      <c r="Y584" s="2"/>
    </row>
    <row r="585" spans="13:25">
      <c r="M585" s="2"/>
      <c r="O585" s="2"/>
      <c r="R585" s="2"/>
      <c r="T585" s="2"/>
      <c r="W585" s="2"/>
      <c r="Y585" s="2"/>
    </row>
    <row r="586" spans="13:25">
      <c r="M586" s="2"/>
      <c r="O586" s="2"/>
      <c r="R586" s="2"/>
      <c r="T586" s="2"/>
      <c r="W586" s="2"/>
      <c r="Y586" s="2"/>
    </row>
    <row r="587" spans="13:25">
      <c r="M587" s="2"/>
      <c r="O587" s="2"/>
      <c r="R587" s="2"/>
      <c r="T587" s="2"/>
      <c r="W587" s="2"/>
      <c r="Y587" s="2"/>
    </row>
    <row r="588" spans="13:25">
      <c r="M588" s="2"/>
      <c r="O588" s="2"/>
      <c r="R588" s="2"/>
      <c r="T588" s="2"/>
      <c r="W588" s="2"/>
      <c r="Y588" s="2"/>
    </row>
    <row r="589" spans="13:25">
      <c r="M589" s="2"/>
      <c r="O589" s="2"/>
      <c r="R589" s="2"/>
      <c r="T589" s="2"/>
      <c r="W589" s="2"/>
      <c r="Y589" s="2"/>
    </row>
    <row r="590" spans="13:25">
      <c r="M590" s="2"/>
      <c r="O590" s="2"/>
      <c r="R590" s="2"/>
      <c r="T590" s="2"/>
      <c r="W590" s="2"/>
      <c r="Y590" s="2"/>
    </row>
    <row r="591" spans="13:25">
      <c r="M591" s="2"/>
      <c r="O591" s="2"/>
      <c r="R591" s="2"/>
      <c r="T591" s="2"/>
      <c r="W591" s="2"/>
      <c r="Y591" s="2"/>
    </row>
    <row r="592" spans="13:25">
      <c r="M592" s="2"/>
      <c r="O592" s="2"/>
      <c r="R592" s="2"/>
      <c r="T592" s="2"/>
      <c r="W592" s="2"/>
      <c r="Y592" s="2"/>
    </row>
    <row r="593" spans="13:25">
      <c r="M593" s="2"/>
      <c r="O593" s="2"/>
      <c r="R593" s="2"/>
      <c r="T593" s="2"/>
      <c r="W593" s="2"/>
      <c r="Y593" s="2"/>
    </row>
    <row r="594" spans="13:25">
      <c r="M594" s="2"/>
      <c r="O594" s="2"/>
      <c r="R594" s="2"/>
      <c r="T594" s="2"/>
      <c r="W594" s="2"/>
      <c r="Y594" s="2"/>
    </row>
    <row r="595" spans="13:25">
      <c r="M595" s="2"/>
      <c r="O595" s="2"/>
      <c r="R595" s="2"/>
      <c r="T595" s="2"/>
      <c r="W595" s="2"/>
      <c r="Y595" s="2"/>
    </row>
    <row r="596" spans="13:25">
      <c r="M596" s="2"/>
      <c r="O596" s="2"/>
      <c r="R596" s="2"/>
      <c r="T596" s="2"/>
      <c r="W596" s="2"/>
      <c r="Y596" s="2"/>
    </row>
    <row r="597" spans="13:25">
      <c r="M597" s="2"/>
      <c r="O597" s="2"/>
      <c r="R597" s="2"/>
      <c r="T597" s="2"/>
      <c r="W597" s="2"/>
      <c r="Y597" s="2"/>
    </row>
    <row r="598" spans="13:25">
      <c r="M598" s="2"/>
      <c r="O598" s="2"/>
      <c r="R598" s="2"/>
      <c r="T598" s="2"/>
      <c r="W598" s="2"/>
      <c r="Y598" s="2"/>
    </row>
    <row r="599" spans="13:25">
      <c r="M599" s="2"/>
      <c r="O599" s="2"/>
      <c r="R599" s="2"/>
      <c r="T599" s="2"/>
      <c r="W599" s="2"/>
      <c r="Y599" s="2"/>
    </row>
    <row r="600" spans="13:25">
      <c r="M600" s="2"/>
      <c r="O600" s="2"/>
      <c r="R600" s="2"/>
      <c r="T600" s="2"/>
      <c r="W600" s="2"/>
      <c r="Y600" s="2"/>
    </row>
    <row r="601" spans="13:25">
      <c r="M601" s="2"/>
      <c r="O601" s="2"/>
      <c r="R601" s="2"/>
      <c r="T601" s="2"/>
      <c r="W601" s="2"/>
      <c r="Y601" s="2"/>
    </row>
    <row r="602" spans="13:25">
      <c r="M602" s="2"/>
      <c r="O602" s="2"/>
      <c r="R602" s="2"/>
      <c r="T602" s="2"/>
      <c r="W602" s="2"/>
      <c r="Y602" s="2"/>
    </row>
    <row r="603" spans="13:25">
      <c r="M603" s="2"/>
      <c r="O603" s="2"/>
      <c r="R603" s="2"/>
      <c r="T603" s="2"/>
      <c r="W603" s="2"/>
      <c r="Y603" s="2"/>
    </row>
    <row r="604" spans="13:25">
      <c r="M604" s="2"/>
      <c r="O604" s="2"/>
      <c r="R604" s="2"/>
      <c r="T604" s="2"/>
      <c r="W604" s="2"/>
      <c r="Y604" s="2"/>
    </row>
    <row r="605" spans="13:25">
      <c r="M605" s="2"/>
      <c r="O605" s="2"/>
      <c r="R605" s="2"/>
      <c r="T605" s="2"/>
      <c r="W605" s="2"/>
      <c r="Y605" s="2"/>
    </row>
    <row r="606" spans="13:25">
      <c r="M606" s="2"/>
      <c r="O606" s="2"/>
      <c r="R606" s="2"/>
      <c r="T606" s="2"/>
      <c r="W606" s="2"/>
      <c r="Y606" s="2"/>
    </row>
    <row r="607" spans="13:25">
      <c r="M607" s="2"/>
      <c r="O607" s="2"/>
      <c r="R607" s="2"/>
      <c r="T607" s="2"/>
      <c r="W607" s="2"/>
      <c r="Y607" s="2"/>
    </row>
    <row r="608" spans="13:25">
      <c r="M608" s="2"/>
      <c r="O608" s="2"/>
      <c r="R608" s="2"/>
      <c r="T608" s="2"/>
      <c r="W608" s="2"/>
      <c r="Y608" s="2"/>
    </row>
    <row r="609" spans="13:25">
      <c r="M609" s="2"/>
      <c r="O609" s="2"/>
      <c r="R609" s="2"/>
      <c r="T609" s="2"/>
      <c r="W609" s="2"/>
      <c r="Y609" s="2"/>
    </row>
    <row r="610" spans="13:25">
      <c r="M610" s="2"/>
      <c r="O610" s="2"/>
      <c r="R610" s="2"/>
      <c r="T610" s="2"/>
      <c r="W610" s="2"/>
      <c r="Y610" s="2"/>
    </row>
    <row r="611" spans="13:25">
      <c r="M611" s="2"/>
      <c r="O611" s="2"/>
      <c r="R611" s="2"/>
      <c r="T611" s="2"/>
      <c r="W611" s="2"/>
      <c r="Y611" s="2"/>
    </row>
    <row r="612" spans="13:25">
      <c r="M612" s="2"/>
      <c r="O612" s="2"/>
      <c r="R612" s="2"/>
      <c r="T612" s="2"/>
      <c r="W612" s="2"/>
      <c r="Y612" s="2"/>
    </row>
    <row r="613" spans="13:25">
      <c r="M613" s="2"/>
      <c r="O613" s="2"/>
      <c r="R613" s="2"/>
      <c r="T613" s="2"/>
      <c r="W613" s="2"/>
      <c r="Y613" s="2"/>
    </row>
    <row r="614" spans="13:25">
      <c r="M614" s="2"/>
      <c r="O614" s="2"/>
      <c r="R614" s="2"/>
      <c r="T614" s="2"/>
      <c r="W614" s="2"/>
      <c r="Y614" s="2"/>
    </row>
    <row r="615" spans="13:25">
      <c r="M615" s="2"/>
      <c r="O615" s="2"/>
      <c r="R615" s="2"/>
      <c r="T615" s="2"/>
      <c r="W615" s="2"/>
      <c r="Y615" s="2"/>
    </row>
    <row r="616" spans="13:25">
      <c r="M616" s="2"/>
      <c r="O616" s="2"/>
      <c r="R616" s="2"/>
      <c r="T616" s="2"/>
      <c r="W616" s="2"/>
      <c r="Y616" s="2"/>
    </row>
    <row r="617" spans="13:25">
      <c r="M617" s="2"/>
      <c r="O617" s="2"/>
      <c r="R617" s="2"/>
      <c r="T617" s="2"/>
      <c r="W617" s="2"/>
      <c r="Y617" s="2"/>
    </row>
    <row r="618" spans="13:25">
      <c r="M618" s="2"/>
      <c r="O618" s="2"/>
      <c r="R618" s="2"/>
      <c r="T618" s="2"/>
      <c r="W618" s="2"/>
      <c r="Y618" s="2"/>
    </row>
    <row r="619" spans="13:25">
      <c r="M619" s="2"/>
      <c r="O619" s="2"/>
      <c r="R619" s="2"/>
      <c r="T619" s="2"/>
      <c r="W619" s="2"/>
      <c r="Y619" s="2"/>
    </row>
    <row r="620" spans="13:25">
      <c r="M620" s="2"/>
      <c r="O620" s="2"/>
      <c r="R620" s="2"/>
      <c r="T620" s="2"/>
      <c r="W620" s="2"/>
      <c r="Y620" s="2"/>
    </row>
    <row r="621" spans="13:25">
      <c r="M621" s="2"/>
      <c r="O621" s="2"/>
      <c r="R621" s="2"/>
      <c r="T621" s="2"/>
      <c r="W621" s="2"/>
      <c r="Y621" s="2"/>
    </row>
    <row r="622" spans="13:25">
      <c r="M622" s="2"/>
      <c r="O622" s="2"/>
      <c r="R622" s="2"/>
      <c r="T622" s="2"/>
      <c r="W622" s="2"/>
      <c r="Y622" s="2"/>
    </row>
    <row r="623" spans="13:25">
      <c r="M623" s="2"/>
      <c r="O623" s="2"/>
      <c r="R623" s="2"/>
      <c r="T623" s="2"/>
      <c r="W623" s="2"/>
      <c r="Y623" s="2"/>
    </row>
    <row r="624" spans="13:25">
      <c r="M624" s="2"/>
      <c r="O624" s="2"/>
      <c r="R624" s="2"/>
      <c r="T624" s="2"/>
      <c r="W624" s="2"/>
      <c r="Y624" s="2"/>
    </row>
    <row r="625" spans="13:25">
      <c r="M625" s="2"/>
      <c r="O625" s="2"/>
      <c r="R625" s="2"/>
      <c r="T625" s="2"/>
      <c r="W625" s="2"/>
      <c r="Y625" s="2"/>
    </row>
    <row r="626" spans="13:25">
      <c r="M626" s="2"/>
      <c r="O626" s="2"/>
      <c r="R626" s="2"/>
      <c r="T626" s="2"/>
      <c r="W626" s="2"/>
      <c r="Y626" s="2"/>
    </row>
    <row r="627" spans="13:25">
      <c r="M627" s="2"/>
      <c r="O627" s="2"/>
      <c r="R627" s="2"/>
      <c r="T627" s="2"/>
      <c r="W627" s="2"/>
      <c r="Y627" s="2"/>
    </row>
    <row r="628" spans="13:25">
      <c r="M628" s="2"/>
      <c r="O628" s="2"/>
      <c r="R628" s="2"/>
      <c r="T628" s="2"/>
      <c r="W628" s="2"/>
      <c r="Y628" s="2"/>
    </row>
    <row r="629" spans="13:25">
      <c r="M629" s="2"/>
      <c r="O629" s="2"/>
      <c r="R629" s="2"/>
      <c r="T629" s="2"/>
      <c r="W629" s="2"/>
      <c r="Y629" s="2"/>
    </row>
    <row r="630" spans="13:25">
      <c r="M630" s="2"/>
      <c r="O630" s="2"/>
      <c r="R630" s="2"/>
      <c r="T630" s="2"/>
      <c r="W630" s="2"/>
      <c r="Y630" s="2"/>
    </row>
    <row r="631" spans="13:25">
      <c r="M631" s="2"/>
      <c r="O631" s="2"/>
      <c r="R631" s="2"/>
      <c r="T631" s="2"/>
      <c r="W631" s="2"/>
      <c r="Y631" s="2"/>
    </row>
    <row r="632" spans="13:25">
      <c r="M632" s="2"/>
      <c r="O632" s="2"/>
      <c r="R632" s="2"/>
      <c r="T632" s="2"/>
      <c r="W632" s="2"/>
      <c r="Y632" s="2"/>
    </row>
    <row r="633" spans="13:25">
      <c r="M633" s="2"/>
      <c r="O633" s="2"/>
      <c r="R633" s="2"/>
      <c r="T633" s="2"/>
      <c r="W633" s="2"/>
      <c r="Y633" s="2"/>
    </row>
    <row r="634" spans="13:25">
      <c r="M634" s="2"/>
      <c r="O634" s="2"/>
      <c r="R634" s="2"/>
      <c r="T634" s="2"/>
      <c r="W634" s="2"/>
      <c r="Y634" s="2"/>
    </row>
    <row r="635" spans="13:25">
      <c r="M635" s="2"/>
      <c r="O635" s="2"/>
      <c r="R635" s="2"/>
      <c r="T635" s="2"/>
      <c r="W635" s="2"/>
      <c r="Y635" s="2"/>
    </row>
    <row r="636" spans="13:25">
      <c r="M636" s="2"/>
      <c r="O636" s="2"/>
      <c r="R636" s="2"/>
      <c r="T636" s="2"/>
      <c r="W636" s="2"/>
      <c r="Y636" s="2"/>
    </row>
    <row r="637" spans="13:25">
      <c r="M637" s="2"/>
      <c r="O637" s="2"/>
      <c r="R637" s="2"/>
      <c r="T637" s="2"/>
      <c r="W637" s="2"/>
      <c r="Y637" s="2"/>
    </row>
    <row r="638" spans="13:25">
      <c r="M638" s="2"/>
      <c r="O638" s="2"/>
      <c r="R638" s="2"/>
      <c r="T638" s="2"/>
      <c r="W638" s="2"/>
      <c r="Y638" s="2"/>
    </row>
    <row r="639" spans="13:25">
      <c r="M639" s="2"/>
      <c r="O639" s="2"/>
      <c r="R639" s="2"/>
      <c r="T639" s="2"/>
      <c r="W639" s="2"/>
      <c r="Y639" s="2"/>
    </row>
    <row r="640" spans="13:25">
      <c r="M640" s="2"/>
      <c r="O640" s="2"/>
      <c r="R640" s="2"/>
      <c r="T640" s="2"/>
      <c r="W640" s="2"/>
      <c r="Y640" s="2"/>
    </row>
    <row r="641" spans="13:25">
      <c r="M641" s="2"/>
      <c r="O641" s="2"/>
      <c r="R641" s="2"/>
      <c r="T641" s="2"/>
      <c r="W641" s="2"/>
      <c r="Y641" s="2"/>
    </row>
    <row r="642" spans="13:25">
      <c r="M642" s="2"/>
      <c r="O642" s="2"/>
      <c r="R642" s="2"/>
      <c r="T642" s="2"/>
      <c r="W642" s="2"/>
      <c r="Y642" s="2"/>
    </row>
    <row r="643" spans="13:25">
      <c r="M643" s="2"/>
      <c r="O643" s="2"/>
      <c r="R643" s="2"/>
      <c r="T643" s="2"/>
      <c r="W643" s="2"/>
      <c r="Y643" s="2"/>
    </row>
    <row r="644" spans="13:25">
      <c r="M644" s="2"/>
      <c r="O644" s="2"/>
      <c r="R644" s="2"/>
      <c r="T644" s="2"/>
      <c r="W644" s="2"/>
      <c r="Y644" s="2"/>
    </row>
    <row r="645" spans="13:25">
      <c r="M645" s="2"/>
      <c r="O645" s="2"/>
      <c r="R645" s="2"/>
      <c r="T645" s="2"/>
      <c r="W645" s="2"/>
      <c r="Y645" s="2"/>
    </row>
    <row r="646" spans="13:25">
      <c r="M646" s="2"/>
      <c r="O646" s="2"/>
      <c r="R646" s="2"/>
      <c r="T646" s="2"/>
      <c r="W646" s="2"/>
      <c r="Y646" s="2"/>
    </row>
    <row r="647" spans="13:25">
      <c r="M647" s="2"/>
      <c r="O647" s="2"/>
      <c r="R647" s="2"/>
      <c r="T647" s="2"/>
      <c r="W647" s="2"/>
      <c r="Y647" s="2"/>
    </row>
    <row r="648" spans="13:25">
      <c r="M648" s="2"/>
      <c r="O648" s="2"/>
      <c r="R648" s="2"/>
      <c r="T648" s="2"/>
      <c r="W648" s="2"/>
      <c r="Y648" s="2"/>
    </row>
    <row r="649" spans="13:25">
      <c r="M649" s="2"/>
      <c r="O649" s="2"/>
      <c r="R649" s="2"/>
      <c r="T649" s="2"/>
      <c r="W649" s="2"/>
      <c r="Y649" s="2"/>
    </row>
    <row r="650" spans="13:25">
      <c r="M650" s="2"/>
      <c r="O650" s="2"/>
      <c r="R650" s="2"/>
      <c r="T650" s="2"/>
      <c r="W650" s="2"/>
      <c r="Y650" s="2"/>
    </row>
    <row r="651" spans="13:25">
      <c r="M651" s="2"/>
      <c r="O651" s="2"/>
      <c r="R651" s="2"/>
      <c r="T651" s="2"/>
      <c r="W651" s="2"/>
      <c r="Y651" s="2"/>
    </row>
    <row r="652" spans="13:25">
      <c r="M652" s="2"/>
      <c r="O652" s="2"/>
      <c r="R652" s="2"/>
      <c r="T652" s="2"/>
      <c r="W652" s="2"/>
      <c r="Y652" s="2"/>
    </row>
    <row r="653" spans="13:25">
      <c r="M653" s="2"/>
      <c r="O653" s="2"/>
      <c r="R653" s="2"/>
      <c r="T653" s="2"/>
      <c r="W653" s="2"/>
      <c r="Y653" s="2"/>
    </row>
    <row r="654" spans="13:25">
      <c r="M654" s="2"/>
      <c r="O654" s="2"/>
      <c r="R654" s="2"/>
      <c r="T654" s="2"/>
      <c r="W654" s="2"/>
      <c r="Y654" s="2"/>
    </row>
    <row r="655" spans="13:25">
      <c r="M655" s="2"/>
      <c r="O655" s="2"/>
      <c r="R655" s="2"/>
      <c r="T655" s="2"/>
      <c r="W655" s="2"/>
      <c r="Y655" s="2"/>
    </row>
    <row r="656" spans="13:25">
      <c r="M656" s="2"/>
      <c r="O656" s="2"/>
      <c r="R656" s="2"/>
      <c r="T656" s="2"/>
      <c r="W656" s="2"/>
      <c r="Y656" s="2"/>
    </row>
    <row r="657" spans="13:25">
      <c r="M657" s="2"/>
      <c r="O657" s="2"/>
      <c r="R657" s="2"/>
      <c r="T657" s="2"/>
      <c r="W657" s="2"/>
      <c r="Y657" s="2"/>
    </row>
    <row r="658" spans="13:25">
      <c r="M658" s="2"/>
      <c r="O658" s="2"/>
      <c r="R658" s="2"/>
      <c r="T658" s="2"/>
      <c r="W658" s="2"/>
      <c r="Y658" s="2"/>
    </row>
    <row r="659" spans="13:25">
      <c r="M659" s="2"/>
      <c r="O659" s="2"/>
      <c r="R659" s="2"/>
      <c r="T659" s="2"/>
      <c r="W659" s="2"/>
      <c r="Y659" s="2"/>
    </row>
    <row r="660" spans="13:25">
      <c r="M660" s="2"/>
      <c r="O660" s="2"/>
      <c r="R660" s="2"/>
      <c r="T660" s="2"/>
      <c r="W660" s="2"/>
      <c r="Y660" s="2"/>
    </row>
    <row r="661" spans="13:25">
      <c r="M661" s="2"/>
      <c r="O661" s="2"/>
      <c r="R661" s="2"/>
      <c r="T661" s="2"/>
      <c r="W661" s="2"/>
      <c r="Y661" s="2"/>
    </row>
    <row r="662" spans="13:25">
      <c r="M662" s="2"/>
      <c r="O662" s="2"/>
      <c r="R662" s="2"/>
      <c r="T662" s="2"/>
      <c r="W662" s="2"/>
      <c r="Y662" s="2"/>
    </row>
    <row r="663" spans="13:25">
      <c r="M663" s="2"/>
      <c r="O663" s="2"/>
      <c r="R663" s="2"/>
      <c r="T663" s="2"/>
      <c r="W663" s="2"/>
      <c r="Y663" s="2"/>
    </row>
    <row r="664" spans="13:25">
      <c r="M664" s="2"/>
      <c r="O664" s="2"/>
      <c r="R664" s="2"/>
      <c r="T664" s="2"/>
      <c r="W664" s="2"/>
      <c r="Y664" s="2"/>
    </row>
    <row r="665" spans="13:25">
      <c r="M665" s="2"/>
      <c r="O665" s="2"/>
      <c r="R665" s="2"/>
      <c r="T665" s="2"/>
      <c r="W665" s="2"/>
      <c r="Y665" s="2"/>
    </row>
    <row r="666" spans="13:25">
      <c r="M666" s="2"/>
      <c r="O666" s="2"/>
      <c r="R666" s="2"/>
      <c r="T666" s="2"/>
      <c r="W666" s="2"/>
      <c r="Y666" s="2"/>
    </row>
    <row r="667" spans="13:25">
      <c r="M667" s="2"/>
      <c r="O667" s="2"/>
      <c r="R667" s="2"/>
      <c r="T667" s="2"/>
      <c r="W667" s="2"/>
      <c r="Y667" s="2"/>
    </row>
    <row r="668" spans="13:25">
      <c r="M668" s="2"/>
      <c r="O668" s="2"/>
      <c r="R668" s="2"/>
      <c r="T668" s="2"/>
      <c r="W668" s="2"/>
      <c r="Y668" s="2"/>
    </row>
    <row r="669" spans="13:25">
      <c r="M669" s="2"/>
      <c r="O669" s="2"/>
      <c r="R669" s="2"/>
      <c r="T669" s="2"/>
      <c r="W669" s="2"/>
      <c r="Y669" s="2"/>
    </row>
    <row r="670" spans="13:25">
      <c r="M670" s="2"/>
      <c r="O670" s="2"/>
      <c r="R670" s="2"/>
      <c r="T670" s="2"/>
      <c r="W670" s="2"/>
      <c r="Y670" s="2"/>
    </row>
    <row r="671" spans="13:25">
      <c r="M671" s="2"/>
      <c r="O671" s="2"/>
      <c r="R671" s="2"/>
      <c r="T671" s="2"/>
      <c r="W671" s="2"/>
      <c r="Y671" s="2"/>
    </row>
    <row r="672" spans="13:25">
      <c r="M672" s="2"/>
      <c r="O672" s="2"/>
      <c r="R672" s="2"/>
      <c r="T672" s="2"/>
      <c r="W672" s="2"/>
      <c r="Y672" s="2"/>
    </row>
    <row r="673" spans="13:25">
      <c r="M673" s="2"/>
      <c r="O673" s="2"/>
      <c r="R673" s="2"/>
      <c r="T673" s="2"/>
      <c r="W673" s="2"/>
      <c r="Y673" s="2"/>
    </row>
    <row r="674" spans="13:25">
      <c r="M674" s="2"/>
      <c r="O674" s="2"/>
      <c r="R674" s="2"/>
      <c r="T674" s="2"/>
      <c r="W674" s="2"/>
      <c r="Y674" s="2"/>
    </row>
    <row r="675" spans="13:25">
      <c r="M675" s="2"/>
      <c r="O675" s="2"/>
      <c r="R675" s="2"/>
      <c r="T675" s="2"/>
      <c r="W675" s="2"/>
      <c r="Y675" s="2"/>
    </row>
    <row r="676" spans="13:25">
      <c r="M676" s="2"/>
      <c r="O676" s="2"/>
      <c r="R676" s="2"/>
      <c r="T676" s="2"/>
      <c r="W676" s="2"/>
      <c r="Y676" s="2"/>
    </row>
    <row r="677" spans="13:25">
      <c r="M677" s="2"/>
      <c r="O677" s="2"/>
      <c r="R677" s="2"/>
      <c r="T677" s="2"/>
      <c r="W677" s="2"/>
      <c r="Y677" s="2"/>
    </row>
    <row r="678" spans="13:25">
      <c r="M678" s="2"/>
      <c r="O678" s="2"/>
      <c r="R678" s="2"/>
      <c r="T678" s="2"/>
      <c r="W678" s="2"/>
      <c r="Y678" s="2"/>
    </row>
    <row r="679" spans="13:25">
      <c r="M679" s="2"/>
      <c r="O679" s="2"/>
      <c r="R679" s="2"/>
      <c r="T679" s="2"/>
      <c r="W679" s="2"/>
      <c r="Y679" s="2"/>
    </row>
    <row r="680" spans="13:25">
      <c r="M680" s="2"/>
      <c r="O680" s="2"/>
      <c r="R680" s="2"/>
      <c r="T680" s="2"/>
      <c r="W680" s="2"/>
      <c r="Y680" s="2"/>
    </row>
    <row r="681" spans="13:25">
      <c r="M681" s="2"/>
      <c r="O681" s="2"/>
      <c r="R681" s="2"/>
      <c r="T681" s="2"/>
      <c r="W681" s="2"/>
      <c r="Y681" s="2"/>
    </row>
    <row r="682" spans="13:25">
      <c r="M682" s="2"/>
      <c r="O682" s="2"/>
      <c r="R682" s="2"/>
      <c r="T682" s="2"/>
      <c r="W682" s="2"/>
      <c r="Y682" s="2"/>
    </row>
    <row r="683" spans="13:25">
      <c r="M683" s="2"/>
      <c r="O683" s="2"/>
      <c r="R683" s="2"/>
      <c r="T683" s="2"/>
      <c r="W683" s="2"/>
      <c r="Y683" s="2"/>
    </row>
    <row r="684" spans="13:25">
      <c r="M684" s="2"/>
      <c r="O684" s="2"/>
      <c r="R684" s="2"/>
      <c r="T684" s="2"/>
      <c r="W684" s="2"/>
      <c r="Y684" s="2"/>
    </row>
    <row r="685" spans="13:25">
      <c r="M685" s="2"/>
      <c r="O685" s="2"/>
      <c r="R685" s="2"/>
      <c r="T685" s="2"/>
      <c r="W685" s="2"/>
      <c r="Y685" s="2"/>
    </row>
    <row r="686" spans="13:25">
      <c r="M686" s="2"/>
      <c r="O686" s="2"/>
      <c r="R686" s="2"/>
      <c r="T686" s="2"/>
      <c r="W686" s="2"/>
      <c r="Y686" s="2"/>
    </row>
    <row r="687" spans="13:25">
      <c r="M687" s="2"/>
      <c r="O687" s="2"/>
      <c r="R687" s="2"/>
      <c r="T687" s="2"/>
      <c r="W687" s="2"/>
      <c r="Y687" s="2"/>
    </row>
    <row r="688" spans="13:25">
      <c r="M688" s="2"/>
      <c r="O688" s="2"/>
      <c r="R688" s="2"/>
      <c r="T688" s="2"/>
      <c r="W688" s="2"/>
      <c r="Y688" s="2"/>
    </row>
    <row r="689" spans="13:25">
      <c r="M689" s="2"/>
      <c r="O689" s="2"/>
      <c r="R689" s="2"/>
      <c r="T689" s="2"/>
      <c r="W689" s="2"/>
      <c r="Y689" s="2"/>
    </row>
    <row r="690" spans="13:25">
      <c r="M690" s="2"/>
      <c r="O690" s="2"/>
      <c r="R690" s="2"/>
      <c r="T690" s="2"/>
      <c r="W690" s="2"/>
      <c r="Y690" s="2"/>
    </row>
    <row r="691" spans="13:25">
      <c r="M691" s="2"/>
      <c r="O691" s="2"/>
      <c r="R691" s="2"/>
      <c r="T691" s="2"/>
      <c r="W691" s="2"/>
      <c r="Y691" s="2"/>
    </row>
    <row r="692" spans="13:25">
      <c r="M692" s="2"/>
      <c r="O692" s="2"/>
      <c r="R692" s="2"/>
      <c r="T692" s="2"/>
      <c r="W692" s="2"/>
      <c r="Y692" s="2"/>
    </row>
    <row r="693" spans="13:25">
      <c r="M693" s="2"/>
      <c r="O693" s="2"/>
      <c r="R693" s="2"/>
      <c r="T693" s="2"/>
      <c r="W693" s="2"/>
      <c r="Y693" s="2"/>
    </row>
    <row r="694" spans="13:25">
      <c r="M694" s="2"/>
      <c r="O694" s="2"/>
      <c r="R694" s="2"/>
      <c r="T694" s="2"/>
      <c r="W694" s="2"/>
      <c r="Y694" s="2"/>
    </row>
    <row r="695" spans="13:25">
      <c r="M695" s="2"/>
      <c r="O695" s="2"/>
      <c r="R695" s="2"/>
      <c r="T695" s="2"/>
      <c r="W695" s="2"/>
      <c r="Y695" s="2"/>
    </row>
    <row r="696" spans="13:25">
      <c r="M696" s="2"/>
      <c r="O696" s="2"/>
      <c r="R696" s="2"/>
      <c r="T696" s="2"/>
      <c r="W696" s="2"/>
      <c r="Y696" s="2"/>
    </row>
    <row r="697" spans="13:25">
      <c r="M697" s="2"/>
      <c r="O697" s="2"/>
      <c r="R697" s="2"/>
      <c r="T697" s="2"/>
      <c r="W697" s="2"/>
      <c r="Y697" s="2"/>
    </row>
    <row r="698" spans="13:25">
      <c r="M698" s="2"/>
      <c r="O698" s="2"/>
      <c r="R698" s="2"/>
      <c r="T698" s="2"/>
      <c r="W698" s="2"/>
      <c r="Y698" s="2"/>
    </row>
    <row r="699" spans="13:25">
      <c r="M699" s="2"/>
      <c r="O699" s="2"/>
      <c r="R699" s="2"/>
      <c r="T699" s="2"/>
      <c r="W699" s="2"/>
      <c r="Y699" s="2"/>
    </row>
    <row r="700" spans="13:25">
      <c r="M700" s="2"/>
      <c r="O700" s="2"/>
      <c r="R700" s="2"/>
      <c r="T700" s="2"/>
      <c r="W700" s="2"/>
      <c r="Y700" s="2"/>
    </row>
    <row r="701" spans="13:25">
      <c r="M701" s="2"/>
      <c r="O701" s="2"/>
      <c r="R701" s="2"/>
      <c r="T701" s="2"/>
      <c r="W701" s="2"/>
      <c r="Y701" s="2"/>
    </row>
    <row r="702" spans="13:25">
      <c r="M702" s="2"/>
      <c r="O702" s="2"/>
      <c r="R702" s="2"/>
      <c r="T702" s="2"/>
      <c r="W702" s="2"/>
      <c r="Y702" s="2"/>
    </row>
    <row r="703" spans="13:25">
      <c r="M703" s="2"/>
      <c r="O703" s="2"/>
      <c r="R703" s="2"/>
      <c r="T703" s="2"/>
      <c r="W703" s="2"/>
      <c r="Y703" s="2"/>
    </row>
    <row r="704" spans="13:25">
      <c r="M704" s="2"/>
      <c r="O704" s="2"/>
      <c r="R704" s="2"/>
      <c r="T704" s="2"/>
      <c r="W704" s="2"/>
      <c r="Y704" s="2"/>
    </row>
    <row r="705" spans="13:25">
      <c r="M705" s="2"/>
      <c r="O705" s="2"/>
      <c r="R705" s="2"/>
      <c r="T705" s="2"/>
      <c r="W705" s="2"/>
      <c r="Y705" s="2"/>
    </row>
    <row r="706" spans="13:25">
      <c r="M706" s="2"/>
      <c r="O706" s="2"/>
      <c r="R706" s="2"/>
      <c r="T706" s="2"/>
      <c r="W706" s="2"/>
      <c r="Y706" s="2"/>
    </row>
    <row r="707" spans="13:25">
      <c r="M707" s="2"/>
      <c r="O707" s="2"/>
      <c r="R707" s="2"/>
      <c r="T707" s="2"/>
      <c r="W707" s="2"/>
      <c r="Y707" s="2"/>
    </row>
    <row r="708" spans="13:25">
      <c r="M708" s="2"/>
      <c r="O708" s="2"/>
      <c r="R708" s="2"/>
      <c r="T708" s="2"/>
      <c r="W708" s="2"/>
      <c r="Y708" s="2"/>
    </row>
    <row r="709" spans="13:25">
      <c r="M709" s="2"/>
      <c r="O709" s="2"/>
      <c r="R709" s="2"/>
      <c r="T709" s="2"/>
      <c r="W709" s="2"/>
      <c r="Y709" s="2"/>
    </row>
    <row r="710" spans="13:25">
      <c r="M710" s="2"/>
      <c r="O710" s="2"/>
      <c r="R710" s="2"/>
      <c r="T710" s="2"/>
      <c r="W710" s="2"/>
      <c r="Y710" s="2"/>
    </row>
    <row r="711" spans="13:25">
      <c r="M711" s="2"/>
      <c r="O711" s="2"/>
      <c r="R711" s="2"/>
      <c r="T711" s="2"/>
      <c r="W711" s="2"/>
      <c r="Y711" s="2"/>
    </row>
    <row r="712" spans="13:25">
      <c r="M712" s="2"/>
      <c r="O712" s="2"/>
      <c r="R712" s="2"/>
      <c r="T712" s="2"/>
      <c r="W712" s="2"/>
      <c r="Y712" s="2"/>
    </row>
    <row r="713" spans="13:25">
      <c r="M713" s="2"/>
      <c r="O713" s="2"/>
      <c r="R713" s="2"/>
      <c r="T713" s="2"/>
      <c r="W713" s="2"/>
      <c r="Y713" s="2"/>
    </row>
    <row r="714" spans="13:25">
      <c r="M714" s="2"/>
      <c r="O714" s="2"/>
      <c r="R714" s="2"/>
      <c r="T714" s="2"/>
      <c r="W714" s="2"/>
      <c r="Y714" s="2"/>
    </row>
    <row r="715" spans="13:25">
      <c r="M715" s="2"/>
      <c r="O715" s="2"/>
      <c r="R715" s="2"/>
      <c r="T715" s="2"/>
      <c r="W715" s="2"/>
      <c r="Y715" s="2"/>
    </row>
    <row r="716" spans="13:25">
      <c r="M716" s="2"/>
      <c r="O716" s="2"/>
      <c r="R716" s="2"/>
      <c r="T716" s="2"/>
      <c r="W716" s="2"/>
      <c r="Y716" s="2"/>
    </row>
    <row r="717" spans="13:25">
      <c r="M717" s="2"/>
      <c r="O717" s="2"/>
      <c r="R717" s="2"/>
      <c r="T717" s="2"/>
      <c r="W717" s="2"/>
      <c r="Y717" s="2"/>
    </row>
    <row r="718" spans="13:25">
      <c r="M718" s="2"/>
      <c r="O718" s="2"/>
      <c r="R718" s="2"/>
      <c r="T718" s="2"/>
      <c r="W718" s="2"/>
      <c r="Y718" s="2"/>
    </row>
    <row r="719" spans="13:25">
      <c r="M719" s="2"/>
      <c r="O719" s="2"/>
      <c r="R719" s="2"/>
      <c r="T719" s="2"/>
      <c r="W719" s="2"/>
      <c r="Y719" s="2"/>
    </row>
    <row r="720" spans="13:25">
      <c r="M720" s="2"/>
      <c r="O720" s="2"/>
      <c r="R720" s="2"/>
      <c r="T720" s="2"/>
      <c r="W720" s="2"/>
      <c r="Y720" s="2"/>
    </row>
    <row r="721" spans="13:25">
      <c r="M721" s="2"/>
      <c r="O721" s="2"/>
      <c r="R721" s="2"/>
      <c r="T721" s="2"/>
      <c r="W721" s="2"/>
      <c r="Y721" s="2"/>
    </row>
    <row r="722" spans="13:25">
      <c r="M722" s="2"/>
      <c r="O722" s="2"/>
      <c r="R722" s="2"/>
      <c r="T722" s="2"/>
      <c r="W722" s="2"/>
      <c r="Y722" s="2"/>
    </row>
    <row r="723" spans="13:25">
      <c r="M723" s="2"/>
      <c r="O723" s="2"/>
      <c r="R723" s="2"/>
      <c r="T723" s="2"/>
      <c r="W723" s="2"/>
      <c r="Y723" s="2"/>
    </row>
    <row r="724" spans="13:25">
      <c r="M724" s="2"/>
      <c r="O724" s="2"/>
      <c r="R724" s="2"/>
      <c r="T724" s="2"/>
      <c r="W724" s="2"/>
      <c r="Y724" s="2"/>
    </row>
    <row r="725" spans="13:25">
      <c r="M725" s="2"/>
      <c r="O725" s="2"/>
      <c r="R725" s="2"/>
      <c r="T725" s="2"/>
      <c r="W725" s="2"/>
      <c r="Y725" s="2"/>
    </row>
    <row r="726" spans="13:25">
      <c r="M726" s="2"/>
      <c r="O726" s="2"/>
      <c r="R726" s="2"/>
      <c r="T726" s="2"/>
      <c r="W726" s="2"/>
      <c r="Y726" s="2"/>
    </row>
    <row r="727" spans="13:25">
      <c r="M727" s="2"/>
      <c r="O727" s="2"/>
      <c r="R727" s="2"/>
      <c r="T727" s="2"/>
      <c r="W727" s="2"/>
      <c r="Y727" s="2"/>
    </row>
    <row r="728" spans="13:25">
      <c r="M728" s="2"/>
      <c r="O728" s="2"/>
      <c r="R728" s="2"/>
      <c r="T728" s="2"/>
      <c r="W728" s="2"/>
      <c r="Y728" s="2"/>
    </row>
    <row r="729" spans="13:25">
      <c r="M729" s="2"/>
      <c r="O729" s="2"/>
      <c r="R729" s="2"/>
      <c r="T729" s="2"/>
      <c r="W729" s="2"/>
      <c r="Y729" s="2"/>
    </row>
    <row r="730" spans="13:25">
      <c r="M730" s="2"/>
      <c r="O730" s="2"/>
      <c r="R730" s="2"/>
      <c r="T730" s="2"/>
      <c r="W730" s="2"/>
      <c r="Y730" s="2"/>
    </row>
    <row r="731" spans="13:25">
      <c r="M731" s="2"/>
      <c r="O731" s="2"/>
      <c r="R731" s="2"/>
      <c r="T731" s="2"/>
      <c r="W731" s="2"/>
      <c r="Y731" s="2"/>
    </row>
    <row r="732" spans="13:25">
      <c r="M732" s="2"/>
      <c r="O732" s="2"/>
      <c r="R732" s="2"/>
      <c r="T732" s="2"/>
      <c r="W732" s="2"/>
      <c r="Y732" s="2"/>
    </row>
    <row r="733" spans="13:25">
      <c r="M733" s="2"/>
      <c r="O733" s="2"/>
      <c r="R733" s="2"/>
      <c r="T733" s="2"/>
      <c r="W733" s="2"/>
      <c r="Y733" s="2"/>
    </row>
    <row r="734" spans="13:25">
      <c r="M734" s="2"/>
      <c r="O734" s="2"/>
      <c r="R734" s="2"/>
      <c r="T734" s="2"/>
      <c r="W734" s="2"/>
      <c r="Y734" s="2"/>
    </row>
    <row r="735" spans="13:25">
      <c r="M735" s="2"/>
      <c r="O735" s="2"/>
      <c r="R735" s="2"/>
      <c r="T735" s="2"/>
      <c r="W735" s="2"/>
      <c r="Y735" s="2"/>
    </row>
    <row r="736" spans="13:25">
      <c r="M736" s="2"/>
      <c r="O736" s="2"/>
      <c r="R736" s="2"/>
      <c r="T736" s="2"/>
      <c r="W736" s="2"/>
      <c r="Y736" s="2"/>
    </row>
    <row r="737" spans="13:25">
      <c r="M737" s="2"/>
      <c r="O737" s="2"/>
      <c r="R737" s="2"/>
      <c r="T737" s="2"/>
      <c r="W737" s="2"/>
      <c r="Y737" s="2"/>
    </row>
    <row r="738" spans="13:25">
      <c r="M738" s="2"/>
      <c r="O738" s="2"/>
      <c r="R738" s="2"/>
      <c r="T738" s="2"/>
      <c r="W738" s="2"/>
      <c r="Y738" s="2"/>
    </row>
    <row r="739" spans="13:25">
      <c r="M739" s="2"/>
      <c r="O739" s="2"/>
      <c r="R739" s="2"/>
      <c r="T739" s="2"/>
      <c r="W739" s="2"/>
      <c r="Y739" s="2"/>
    </row>
    <row r="740" spans="13:25">
      <c r="M740" s="2"/>
      <c r="O740" s="2"/>
      <c r="R740" s="2"/>
      <c r="T740" s="2"/>
      <c r="W740" s="2"/>
      <c r="Y740" s="2"/>
    </row>
    <row r="741" spans="13:25">
      <c r="M741" s="2"/>
      <c r="O741" s="2"/>
      <c r="R741" s="2"/>
      <c r="T741" s="2"/>
      <c r="W741" s="2"/>
      <c r="Y741" s="2"/>
    </row>
    <row r="742" spans="13:25">
      <c r="M742" s="2"/>
      <c r="O742" s="2"/>
      <c r="R742" s="2"/>
      <c r="T742" s="2"/>
      <c r="W742" s="2"/>
      <c r="Y742" s="2"/>
    </row>
    <row r="743" spans="13:25">
      <c r="M743" s="2"/>
      <c r="O743" s="2"/>
      <c r="R743" s="2"/>
      <c r="T743" s="2"/>
      <c r="W743" s="2"/>
      <c r="Y743" s="2"/>
    </row>
    <row r="744" spans="13:25">
      <c r="M744" s="2"/>
      <c r="O744" s="2"/>
      <c r="R744" s="2"/>
      <c r="T744" s="2"/>
      <c r="W744" s="2"/>
      <c r="Y744" s="2"/>
    </row>
    <row r="745" spans="13:25">
      <c r="M745" s="2"/>
      <c r="O745" s="2"/>
      <c r="R745" s="2"/>
      <c r="T745" s="2"/>
      <c r="W745" s="2"/>
      <c r="Y745" s="2"/>
    </row>
    <row r="746" spans="13:25">
      <c r="M746" s="2"/>
      <c r="O746" s="2"/>
      <c r="R746" s="2"/>
      <c r="T746" s="2"/>
      <c r="W746" s="2"/>
      <c r="Y746" s="2"/>
    </row>
    <row r="747" spans="13:25">
      <c r="M747" s="2"/>
      <c r="O747" s="2"/>
      <c r="R747" s="2"/>
      <c r="T747" s="2"/>
      <c r="W747" s="2"/>
      <c r="Y747" s="2"/>
    </row>
    <row r="748" spans="13:25">
      <c r="M748" s="2"/>
      <c r="O748" s="2"/>
      <c r="R748" s="2"/>
      <c r="T748" s="2"/>
      <c r="W748" s="2"/>
      <c r="Y748" s="2"/>
    </row>
    <row r="749" spans="13:25">
      <c r="M749" s="2"/>
      <c r="O749" s="2"/>
      <c r="R749" s="2"/>
      <c r="T749" s="2"/>
      <c r="W749" s="2"/>
      <c r="Y749" s="2"/>
    </row>
    <row r="750" spans="13:25">
      <c r="M750" s="2"/>
      <c r="O750" s="2"/>
      <c r="R750" s="2"/>
      <c r="T750" s="2"/>
      <c r="W750" s="2"/>
      <c r="Y750" s="2"/>
    </row>
    <row r="751" spans="13:25">
      <c r="M751" s="2"/>
      <c r="O751" s="2"/>
      <c r="R751" s="2"/>
      <c r="T751" s="2"/>
      <c r="W751" s="2"/>
      <c r="Y751" s="2"/>
    </row>
    <row r="752" spans="13:25">
      <c r="M752" s="2"/>
      <c r="O752" s="2"/>
      <c r="R752" s="2"/>
      <c r="T752" s="2"/>
      <c r="W752" s="2"/>
      <c r="Y752" s="2"/>
    </row>
    <row r="753" spans="13:25">
      <c r="M753" s="2"/>
      <c r="O753" s="2"/>
      <c r="R753" s="2"/>
      <c r="T753" s="2"/>
      <c r="W753" s="2"/>
      <c r="Y753" s="2"/>
    </row>
    <row r="754" spans="13:25">
      <c r="M754" s="2"/>
      <c r="O754" s="2"/>
      <c r="R754" s="2"/>
      <c r="T754" s="2"/>
      <c r="W754" s="2"/>
      <c r="Y754" s="2"/>
    </row>
    <row r="755" spans="13:25">
      <c r="M755" s="2"/>
      <c r="O755" s="2"/>
      <c r="R755" s="2"/>
      <c r="T755" s="2"/>
      <c r="W755" s="2"/>
      <c r="Y755" s="2"/>
    </row>
    <row r="756" spans="13:25">
      <c r="M756" s="2"/>
      <c r="O756" s="2"/>
      <c r="R756" s="2"/>
      <c r="T756" s="2"/>
      <c r="W756" s="2"/>
      <c r="Y756" s="2"/>
    </row>
    <row r="757" spans="13:25">
      <c r="M757" s="2"/>
      <c r="O757" s="2"/>
      <c r="R757" s="2"/>
      <c r="T757" s="2"/>
      <c r="W757" s="2"/>
      <c r="Y757" s="2"/>
    </row>
    <row r="758" spans="13:25">
      <c r="M758" s="2"/>
      <c r="O758" s="2"/>
      <c r="R758" s="2"/>
      <c r="T758" s="2"/>
      <c r="W758" s="2"/>
      <c r="Y758" s="2"/>
    </row>
    <row r="759" spans="13:25">
      <c r="M759" s="2"/>
      <c r="O759" s="2"/>
      <c r="R759" s="2"/>
      <c r="T759" s="2"/>
      <c r="W759" s="2"/>
      <c r="Y759" s="2"/>
    </row>
    <row r="760" spans="13:25">
      <c r="M760" s="2"/>
      <c r="O760" s="2"/>
      <c r="R760" s="2"/>
      <c r="T760" s="2"/>
      <c r="W760" s="2"/>
      <c r="Y760" s="2"/>
    </row>
    <row r="761" spans="13:25">
      <c r="M761" s="2"/>
      <c r="O761" s="2"/>
      <c r="R761" s="2"/>
      <c r="T761" s="2"/>
      <c r="W761" s="2"/>
      <c r="Y761" s="2"/>
    </row>
    <row r="762" spans="13:25">
      <c r="M762" s="2"/>
      <c r="O762" s="2"/>
      <c r="R762" s="2"/>
      <c r="T762" s="2"/>
      <c r="W762" s="2"/>
      <c r="Y762" s="2"/>
    </row>
    <row r="763" spans="13:25">
      <c r="M763" s="2"/>
      <c r="O763" s="2"/>
      <c r="R763" s="2"/>
      <c r="T763" s="2"/>
      <c r="W763" s="2"/>
      <c r="Y763" s="2"/>
    </row>
    <row r="764" spans="13:25">
      <c r="M764" s="2"/>
      <c r="O764" s="2"/>
      <c r="R764" s="2"/>
      <c r="T764" s="2"/>
      <c r="W764" s="2"/>
      <c r="Y764" s="2"/>
    </row>
    <row r="765" spans="13:25">
      <c r="M765" s="2"/>
      <c r="O765" s="2"/>
      <c r="R765" s="2"/>
      <c r="T765" s="2"/>
      <c r="W765" s="2"/>
      <c r="Y765" s="2"/>
    </row>
    <row r="766" spans="13:25">
      <c r="M766" s="2"/>
      <c r="O766" s="2"/>
      <c r="R766" s="2"/>
      <c r="T766" s="2"/>
      <c r="W766" s="2"/>
      <c r="Y766" s="2"/>
    </row>
    <row r="767" spans="13:25">
      <c r="M767" s="2"/>
      <c r="O767" s="2"/>
      <c r="R767" s="2"/>
      <c r="T767" s="2"/>
      <c r="W767" s="2"/>
      <c r="Y767" s="2"/>
    </row>
    <row r="768" spans="13:25">
      <c r="M768" s="2"/>
      <c r="O768" s="2"/>
      <c r="R768" s="2"/>
      <c r="T768" s="2"/>
      <c r="W768" s="2"/>
      <c r="Y768" s="2"/>
    </row>
    <row r="769" spans="13:25">
      <c r="M769" s="2"/>
      <c r="O769" s="2"/>
      <c r="R769" s="2"/>
      <c r="T769" s="2"/>
      <c r="W769" s="2"/>
      <c r="Y769" s="2"/>
    </row>
    <row r="770" spans="13:25">
      <c r="M770" s="2"/>
      <c r="O770" s="2"/>
      <c r="R770" s="2"/>
      <c r="T770" s="2"/>
      <c r="W770" s="2"/>
      <c r="Y770" s="2"/>
    </row>
    <row r="771" spans="13:25">
      <c r="M771" s="2"/>
      <c r="O771" s="2"/>
      <c r="R771" s="2"/>
      <c r="T771" s="2"/>
      <c r="W771" s="2"/>
      <c r="Y771" s="2"/>
    </row>
    <row r="772" spans="13:25">
      <c r="M772" s="2"/>
      <c r="O772" s="2"/>
      <c r="R772" s="2"/>
      <c r="T772" s="2"/>
      <c r="W772" s="2"/>
      <c r="Y772" s="2"/>
    </row>
    <row r="773" spans="13:25">
      <c r="M773" s="2"/>
      <c r="O773" s="2"/>
      <c r="R773" s="2"/>
      <c r="T773" s="2"/>
      <c r="W773" s="2"/>
      <c r="Y773" s="2"/>
    </row>
    <row r="774" spans="13:25">
      <c r="M774" s="2"/>
      <c r="O774" s="2"/>
      <c r="R774" s="2"/>
      <c r="T774" s="2"/>
      <c r="W774" s="2"/>
      <c r="Y774" s="2"/>
    </row>
    <row r="775" spans="13:25">
      <c r="M775" s="2"/>
      <c r="O775" s="2"/>
      <c r="R775" s="2"/>
      <c r="T775" s="2"/>
      <c r="W775" s="2"/>
      <c r="Y775" s="2"/>
    </row>
    <row r="776" spans="13:25">
      <c r="M776" s="2"/>
      <c r="O776" s="2"/>
      <c r="R776" s="2"/>
      <c r="T776" s="2"/>
      <c r="W776" s="2"/>
      <c r="Y776" s="2"/>
    </row>
    <row r="777" spans="13:25">
      <c r="M777" s="2"/>
      <c r="O777" s="2"/>
      <c r="R777" s="2"/>
      <c r="T777" s="2"/>
      <c r="W777" s="2"/>
      <c r="Y777" s="2"/>
    </row>
    <row r="778" spans="13:25">
      <c r="M778" s="2"/>
      <c r="O778" s="2"/>
      <c r="R778" s="2"/>
      <c r="T778" s="2"/>
      <c r="W778" s="2"/>
      <c r="Y778" s="2"/>
    </row>
    <row r="779" spans="13:25">
      <c r="M779" s="2"/>
      <c r="O779" s="2"/>
      <c r="R779" s="2"/>
      <c r="T779" s="2"/>
      <c r="W779" s="2"/>
      <c r="Y779" s="2"/>
    </row>
    <row r="780" spans="13:25">
      <c r="M780" s="2"/>
      <c r="O780" s="2"/>
      <c r="R780" s="2"/>
      <c r="T780" s="2"/>
      <c r="W780" s="2"/>
      <c r="Y780" s="2"/>
    </row>
    <row r="781" spans="13:25">
      <c r="M781" s="2"/>
      <c r="O781" s="2"/>
      <c r="R781" s="2"/>
      <c r="T781" s="2"/>
      <c r="W781" s="2"/>
      <c r="Y781" s="2"/>
    </row>
    <row r="782" spans="13:25">
      <c r="M782" s="2"/>
      <c r="O782" s="2"/>
      <c r="R782" s="2"/>
      <c r="T782" s="2"/>
      <c r="W782" s="2"/>
      <c r="Y782" s="2"/>
    </row>
    <row r="783" spans="13:25">
      <c r="M783" s="2"/>
      <c r="O783" s="2"/>
      <c r="R783" s="2"/>
      <c r="T783" s="2"/>
      <c r="W783" s="2"/>
      <c r="Y783" s="2"/>
    </row>
    <row r="784" spans="13:25">
      <c r="M784" s="2"/>
      <c r="O784" s="2"/>
      <c r="R784" s="2"/>
      <c r="T784" s="2"/>
      <c r="W784" s="2"/>
      <c r="Y784" s="2"/>
    </row>
    <row r="785" spans="13:25">
      <c r="M785" s="2"/>
      <c r="O785" s="2"/>
      <c r="R785" s="2"/>
      <c r="T785" s="2"/>
      <c r="W785" s="2"/>
      <c r="Y785" s="2"/>
    </row>
    <row r="786" spans="13:25">
      <c r="M786" s="2"/>
      <c r="O786" s="2"/>
      <c r="R786" s="2"/>
      <c r="T786" s="2"/>
      <c r="W786" s="2"/>
      <c r="Y786" s="2"/>
    </row>
    <row r="787" spans="13:25">
      <c r="M787" s="2"/>
      <c r="O787" s="2"/>
      <c r="R787" s="2"/>
      <c r="T787" s="2"/>
      <c r="W787" s="2"/>
      <c r="Y787" s="2"/>
    </row>
    <row r="788" spans="13:25">
      <c r="M788" s="2"/>
      <c r="O788" s="2"/>
      <c r="R788" s="2"/>
      <c r="T788" s="2"/>
      <c r="W788" s="2"/>
      <c r="Y788" s="2"/>
    </row>
    <row r="789" spans="13:25">
      <c r="M789" s="2"/>
      <c r="O789" s="2"/>
      <c r="R789" s="2"/>
      <c r="T789" s="2"/>
      <c r="W789" s="2"/>
      <c r="Y789" s="2"/>
    </row>
    <row r="790" spans="13:25">
      <c r="M790" s="2"/>
      <c r="O790" s="2"/>
      <c r="R790" s="2"/>
      <c r="T790" s="2"/>
      <c r="W790" s="2"/>
      <c r="Y790" s="2"/>
    </row>
    <row r="791" spans="13:25">
      <c r="M791" s="2"/>
      <c r="O791" s="2"/>
      <c r="R791" s="2"/>
      <c r="T791" s="2"/>
      <c r="W791" s="2"/>
      <c r="Y791" s="2"/>
    </row>
    <row r="792" spans="13:25">
      <c r="M792" s="2"/>
      <c r="O792" s="2"/>
      <c r="R792" s="2"/>
      <c r="T792" s="2"/>
      <c r="W792" s="2"/>
      <c r="Y792" s="2"/>
    </row>
    <row r="793" spans="13:25">
      <c r="M793" s="2"/>
      <c r="O793" s="2"/>
      <c r="R793" s="2"/>
      <c r="T793" s="2"/>
      <c r="W793" s="2"/>
      <c r="Y793" s="2"/>
    </row>
    <row r="794" spans="13:25">
      <c r="M794" s="2"/>
      <c r="O794" s="2"/>
      <c r="R794" s="2"/>
      <c r="T794" s="2"/>
      <c r="W794" s="2"/>
      <c r="Y794" s="2"/>
    </row>
    <row r="795" spans="13:25">
      <c r="M795" s="2"/>
      <c r="O795" s="2"/>
      <c r="R795" s="2"/>
      <c r="T795" s="2"/>
      <c r="W795" s="2"/>
      <c r="Y795" s="2"/>
    </row>
    <row r="796" spans="13:25">
      <c r="M796" s="2"/>
      <c r="O796" s="2"/>
      <c r="R796" s="2"/>
      <c r="T796" s="2"/>
      <c r="W796" s="2"/>
      <c r="Y796" s="2"/>
    </row>
    <row r="797" spans="13:25">
      <c r="M797" s="2"/>
      <c r="O797" s="2"/>
      <c r="R797" s="2"/>
      <c r="T797" s="2"/>
      <c r="W797" s="2"/>
      <c r="Y797" s="2"/>
    </row>
    <row r="798" spans="13:25">
      <c r="M798" s="2"/>
      <c r="O798" s="2"/>
      <c r="R798" s="2"/>
      <c r="T798" s="2"/>
      <c r="W798" s="2"/>
      <c r="Y798" s="2"/>
    </row>
    <row r="799" spans="13:25">
      <c r="M799" s="2"/>
      <c r="O799" s="2"/>
      <c r="R799" s="2"/>
      <c r="T799" s="2"/>
      <c r="W799" s="2"/>
      <c r="Y799" s="2"/>
    </row>
    <row r="800" spans="13:25">
      <c r="M800" s="2"/>
      <c r="O800" s="2"/>
      <c r="R800" s="2"/>
      <c r="T800" s="2"/>
      <c r="W800" s="2"/>
      <c r="Y800" s="2"/>
    </row>
    <row r="801" spans="13:25">
      <c r="M801" s="2"/>
      <c r="O801" s="2"/>
      <c r="R801" s="2"/>
      <c r="T801" s="2"/>
      <c r="W801" s="2"/>
      <c r="Y801" s="2"/>
    </row>
    <row r="802" spans="13:25">
      <c r="M802" s="2"/>
      <c r="O802" s="2"/>
      <c r="R802" s="2"/>
      <c r="T802" s="2"/>
      <c r="W802" s="2"/>
      <c r="Y802" s="2"/>
    </row>
    <row r="803" spans="13:25">
      <c r="M803" s="2"/>
      <c r="O803" s="2"/>
      <c r="R803" s="2"/>
      <c r="T803" s="2"/>
      <c r="W803" s="2"/>
      <c r="Y803" s="2"/>
    </row>
    <row r="804" spans="13:25">
      <c r="M804" s="2"/>
      <c r="O804" s="2"/>
      <c r="R804" s="2"/>
      <c r="T804" s="2"/>
      <c r="W804" s="2"/>
      <c r="Y804" s="2"/>
    </row>
    <row r="805" spans="13:25">
      <c r="M805" s="2"/>
      <c r="O805" s="2"/>
      <c r="R805" s="2"/>
      <c r="T805" s="2"/>
      <c r="W805" s="2"/>
      <c r="Y805" s="2"/>
    </row>
    <row r="806" spans="13:25">
      <c r="M806" s="2"/>
      <c r="O806" s="2"/>
      <c r="R806" s="2"/>
      <c r="T806" s="2"/>
      <c r="W806" s="2"/>
      <c r="Y806" s="2"/>
    </row>
    <row r="807" spans="13:25">
      <c r="M807" s="2"/>
      <c r="O807" s="2"/>
      <c r="R807" s="2"/>
      <c r="T807" s="2"/>
      <c r="W807" s="2"/>
      <c r="Y807" s="2"/>
    </row>
    <row r="808" spans="13:25">
      <c r="M808" s="2"/>
      <c r="O808" s="2"/>
      <c r="R808" s="2"/>
      <c r="T808" s="2"/>
      <c r="W808" s="2"/>
      <c r="Y808" s="2"/>
    </row>
    <row r="809" spans="13:25">
      <c r="M809" s="2"/>
      <c r="O809" s="2"/>
      <c r="R809" s="2"/>
      <c r="T809" s="2"/>
      <c r="W809" s="2"/>
      <c r="Y809" s="2"/>
    </row>
    <row r="810" spans="13:25">
      <c r="M810" s="2"/>
      <c r="O810" s="2"/>
      <c r="R810" s="2"/>
      <c r="T810" s="2"/>
      <c r="W810" s="2"/>
      <c r="Y810" s="2"/>
    </row>
    <row r="811" spans="13:25">
      <c r="M811" s="2"/>
      <c r="O811" s="2"/>
      <c r="R811" s="2"/>
      <c r="T811" s="2"/>
      <c r="W811" s="2"/>
      <c r="Y811" s="2"/>
    </row>
    <row r="812" spans="13:25">
      <c r="M812" s="2"/>
      <c r="O812" s="2"/>
      <c r="R812" s="2"/>
      <c r="T812" s="2"/>
      <c r="W812" s="2"/>
      <c r="Y812" s="2"/>
    </row>
    <row r="813" spans="13:25">
      <c r="M813" s="2"/>
      <c r="O813" s="2"/>
      <c r="R813" s="2"/>
      <c r="T813" s="2"/>
      <c r="W813" s="2"/>
      <c r="Y813" s="2"/>
    </row>
    <row r="814" spans="13:25">
      <c r="M814" s="2"/>
      <c r="O814" s="2"/>
      <c r="R814" s="2"/>
      <c r="T814" s="2"/>
      <c r="W814" s="2"/>
      <c r="Y814" s="2"/>
    </row>
    <row r="815" spans="13:25">
      <c r="M815" s="2"/>
      <c r="O815" s="2"/>
      <c r="R815" s="2"/>
      <c r="T815" s="2"/>
      <c r="W815" s="2"/>
      <c r="Y815" s="2"/>
    </row>
    <row r="816" spans="13:25">
      <c r="M816" s="2"/>
      <c r="O816" s="2"/>
      <c r="R816" s="2"/>
      <c r="T816" s="2"/>
      <c r="W816" s="2"/>
      <c r="Y816" s="2"/>
    </row>
    <row r="817" spans="13:25">
      <c r="M817" s="2"/>
      <c r="O817" s="2"/>
      <c r="R817" s="2"/>
      <c r="T817" s="2"/>
      <c r="W817" s="2"/>
      <c r="Y817" s="2"/>
    </row>
    <row r="818" spans="13:25">
      <c r="M818" s="2"/>
      <c r="O818" s="2"/>
      <c r="R818" s="2"/>
      <c r="T818" s="2"/>
      <c r="W818" s="2"/>
      <c r="Y818" s="2"/>
    </row>
    <row r="819" spans="13:25">
      <c r="M819" s="2"/>
      <c r="O819" s="2"/>
      <c r="R819" s="2"/>
      <c r="T819" s="2"/>
      <c r="W819" s="2"/>
      <c r="Y819" s="2"/>
    </row>
    <row r="820" spans="13:25">
      <c r="M820" s="2"/>
      <c r="O820" s="2"/>
      <c r="R820" s="2"/>
      <c r="T820" s="2"/>
      <c r="W820" s="2"/>
      <c r="Y820" s="2"/>
    </row>
    <row r="821" spans="13:25">
      <c r="M821" s="2"/>
      <c r="O821" s="2"/>
      <c r="R821" s="2"/>
      <c r="T821" s="2"/>
      <c r="W821" s="2"/>
      <c r="Y821" s="2"/>
    </row>
    <row r="822" spans="13:25">
      <c r="M822" s="2"/>
      <c r="O822" s="2"/>
      <c r="R822" s="2"/>
      <c r="T822" s="2"/>
      <c r="W822" s="2"/>
      <c r="Y822" s="2"/>
    </row>
    <row r="823" spans="13:25">
      <c r="M823" s="2"/>
      <c r="O823" s="2"/>
      <c r="R823" s="2"/>
      <c r="T823" s="2"/>
      <c r="W823" s="2"/>
      <c r="Y823" s="2"/>
    </row>
    <row r="824" spans="13:25">
      <c r="M824" s="2"/>
      <c r="O824" s="2"/>
      <c r="R824" s="2"/>
      <c r="T824" s="2"/>
      <c r="W824" s="2"/>
      <c r="Y824" s="2"/>
    </row>
    <row r="825" spans="13:25">
      <c r="M825" s="2"/>
      <c r="O825" s="2"/>
      <c r="R825" s="2"/>
      <c r="T825" s="2"/>
      <c r="W825" s="2"/>
      <c r="Y825" s="2"/>
    </row>
    <row r="826" spans="13:25">
      <c r="M826" s="2"/>
      <c r="O826" s="2"/>
      <c r="R826" s="2"/>
      <c r="T826" s="2"/>
      <c r="W826" s="2"/>
      <c r="Y826" s="2"/>
    </row>
    <row r="827" spans="13:25">
      <c r="M827" s="2"/>
      <c r="O827" s="2"/>
      <c r="R827" s="2"/>
      <c r="T827" s="2"/>
      <c r="W827" s="2"/>
      <c r="Y827" s="2"/>
    </row>
    <row r="828" spans="13:25">
      <c r="M828" s="2"/>
      <c r="O828" s="2"/>
      <c r="R828" s="2"/>
      <c r="T828" s="2"/>
      <c r="W828" s="2"/>
      <c r="Y828" s="2"/>
    </row>
    <row r="829" spans="13:25">
      <c r="M829" s="2"/>
      <c r="O829" s="2"/>
      <c r="R829" s="2"/>
      <c r="T829" s="2"/>
      <c r="W829" s="2"/>
      <c r="Y829" s="2"/>
    </row>
    <row r="830" spans="13:25">
      <c r="M830" s="2"/>
      <c r="O830" s="2"/>
      <c r="R830" s="2"/>
      <c r="T830" s="2"/>
      <c r="W830" s="2"/>
      <c r="Y830" s="2"/>
    </row>
    <row r="831" spans="13:25">
      <c r="M831" s="2"/>
      <c r="O831" s="2"/>
      <c r="R831" s="2"/>
      <c r="T831" s="2"/>
      <c r="W831" s="2"/>
      <c r="Y831" s="2"/>
    </row>
    <row r="832" spans="13:25">
      <c r="M832" s="2"/>
      <c r="O832" s="2"/>
      <c r="R832" s="2"/>
      <c r="T832" s="2"/>
      <c r="W832" s="2"/>
      <c r="Y832" s="2"/>
    </row>
    <row r="833" spans="13:25">
      <c r="M833" s="2"/>
      <c r="O833" s="2"/>
      <c r="R833" s="2"/>
      <c r="T833" s="2"/>
      <c r="W833" s="2"/>
      <c r="Y833" s="2"/>
    </row>
    <row r="834" spans="13:25">
      <c r="M834" s="2"/>
      <c r="O834" s="2"/>
      <c r="R834" s="2"/>
      <c r="T834" s="2"/>
      <c r="W834" s="2"/>
      <c r="Y834" s="2"/>
    </row>
    <row r="835" spans="13:25">
      <c r="M835" s="2"/>
      <c r="O835" s="2"/>
      <c r="R835" s="2"/>
      <c r="T835" s="2"/>
      <c r="W835" s="2"/>
      <c r="Y835" s="2"/>
    </row>
    <row r="836" spans="13:25">
      <c r="M836" s="2"/>
      <c r="O836" s="2"/>
      <c r="R836" s="2"/>
      <c r="T836" s="2"/>
      <c r="W836" s="2"/>
      <c r="Y836" s="2"/>
    </row>
    <row r="837" spans="13:25">
      <c r="M837" s="2"/>
      <c r="O837" s="2"/>
      <c r="R837" s="2"/>
      <c r="T837" s="2"/>
      <c r="W837" s="2"/>
      <c r="Y837" s="2"/>
    </row>
    <row r="838" spans="13:25">
      <c r="M838" s="2"/>
      <c r="O838" s="2"/>
      <c r="R838" s="2"/>
      <c r="T838" s="2"/>
      <c r="W838" s="2"/>
      <c r="Y838" s="2"/>
    </row>
    <row r="839" spans="13:25">
      <c r="M839" s="2"/>
      <c r="O839" s="2"/>
      <c r="R839" s="2"/>
      <c r="T839" s="2"/>
      <c r="W839" s="2"/>
      <c r="Y839" s="2"/>
    </row>
    <row r="840" spans="13:25">
      <c r="M840" s="2"/>
      <c r="O840" s="2"/>
      <c r="R840" s="2"/>
      <c r="T840" s="2"/>
      <c r="W840" s="2"/>
      <c r="Y840" s="2"/>
    </row>
    <row r="841" spans="13:25">
      <c r="M841" s="2"/>
      <c r="O841" s="2"/>
      <c r="R841" s="2"/>
      <c r="T841" s="2"/>
      <c r="W841" s="2"/>
      <c r="Y841" s="2"/>
    </row>
    <row r="842" spans="13:25">
      <c r="M842" s="2"/>
      <c r="O842" s="2"/>
      <c r="R842" s="2"/>
      <c r="T842" s="2"/>
      <c r="W842" s="2"/>
      <c r="Y842" s="2"/>
    </row>
    <row r="843" spans="13:25">
      <c r="M843" s="2"/>
      <c r="O843" s="2"/>
      <c r="R843" s="2"/>
      <c r="T843" s="2"/>
      <c r="W843" s="2"/>
      <c r="Y843" s="2"/>
    </row>
    <row r="844" spans="13:25">
      <c r="M844" s="2"/>
      <c r="O844" s="2"/>
      <c r="R844" s="2"/>
      <c r="T844" s="2"/>
      <c r="W844" s="2"/>
      <c r="Y844" s="2"/>
    </row>
    <row r="845" spans="13:25">
      <c r="M845" s="2"/>
      <c r="O845" s="2"/>
      <c r="R845" s="2"/>
      <c r="T845" s="2"/>
      <c r="W845" s="2"/>
      <c r="Y845" s="2"/>
    </row>
    <row r="846" spans="13:25">
      <c r="M846" s="2"/>
      <c r="O846" s="2"/>
      <c r="R846" s="2"/>
      <c r="T846" s="2"/>
      <c r="W846" s="2"/>
      <c r="Y846" s="2"/>
    </row>
    <row r="847" spans="13:25">
      <c r="M847" s="2"/>
      <c r="O847" s="2"/>
      <c r="R847" s="2"/>
      <c r="T847" s="2"/>
      <c r="W847" s="2"/>
      <c r="Y847" s="2"/>
    </row>
    <row r="848" spans="13:25">
      <c r="M848" s="2"/>
      <c r="O848" s="2"/>
      <c r="R848" s="2"/>
      <c r="T848" s="2"/>
      <c r="W848" s="2"/>
      <c r="Y848" s="2"/>
    </row>
    <row r="849" spans="13:25">
      <c r="M849" s="2"/>
      <c r="O849" s="2"/>
      <c r="R849" s="2"/>
      <c r="T849" s="2"/>
      <c r="W849" s="2"/>
      <c r="Y849" s="2"/>
    </row>
    <row r="850" spans="13:25">
      <c r="M850" s="2"/>
      <c r="O850" s="2"/>
      <c r="R850" s="2"/>
      <c r="T850" s="2"/>
      <c r="W850" s="2"/>
      <c r="Y850" s="2"/>
    </row>
    <row r="851" spans="13:25">
      <c r="M851" s="2"/>
      <c r="O851" s="2"/>
      <c r="R851" s="2"/>
      <c r="T851" s="2"/>
      <c r="W851" s="2"/>
      <c r="Y851" s="2"/>
    </row>
    <row r="852" spans="13:25">
      <c r="M852" s="2"/>
      <c r="O852" s="2"/>
      <c r="R852" s="2"/>
      <c r="T852" s="2"/>
      <c r="W852" s="2"/>
      <c r="Y852" s="2"/>
    </row>
    <row r="853" spans="13:25">
      <c r="M853" s="2"/>
      <c r="O853" s="2"/>
      <c r="R853" s="2"/>
      <c r="T853" s="2"/>
      <c r="W853" s="2"/>
      <c r="Y853" s="2"/>
    </row>
    <row r="854" spans="13:25">
      <c r="M854" s="2"/>
      <c r="O854" s="2"/>
      <c r="R854" s="2"/>
      <c r="T854" s="2"/>
      <c r="W854" s="2"/>
      <c r="Y854" s="2"/>
    </row>
    <row r="855" spans="13:25">
      <c r="M855" s="2"/>
      <c r="O855" s="2"/>
      <c r="R855" s="2"/>
      <c r="T855" s="2"/>
      <c r="W855" s="2"/>
      <c r="Y855" s="2"/>
    </row>
    <row r="856" spans="13:25">
      <c r="M856" s="2"/>
      <c r="O856" s="2"/>
      <c r="R856" s="2"/>
      <c r="T856" s="2"/>
      <c r="W856" s="2"/>
      <c r="Y856" s="2"/>
    </row>
    <row r="857" spans="13:25">
      <c r="M857" s="2"/>
      <c r="O857" s="2"/>
      <c r="R857" s="2"/>
      <c r="T857" s="2"/>
      <c r="W857" s="2"/>
      <c r="Y857" s="2"/>
    </row>
    <row r="858" spans="13:25">
      <c r="M858" s="2"/>
      <c r="O858" s="2"/>
      <c r="R858" s="2"/>
      <c r="T858" s="2"/>
      <c r="W858" s="2"/>
      <c r="Y858" s="2"/>
    </row>
    <row r="859" spans="13:25">
      <c r="M859" s="2"/>
      <c r="O859" s="2"/>
      <c r="R859" s="2"/>
      <c r="T859" s="2"/>
      <c r="W859" s="2"/>
      <c r="Y859" s="2"/>
    </row>
    <row r="860" spans="13:25">
      <c r="M860" s="2"/>
      <c r="O860" s="2"/>
      <c r="R860" s="2"/>
      <c r="T860" s="2"/>
      <c r="W860" s="2"/>
      <c r="Y860" s="2"/>
    </row>
    <row r="861" spans="13:25">
      <c r="M861" s="2"/>
      <c r="O861" s="2"/>
      <c r="R861" s="2"/>
      <c r="T861" s="2"/>
      <c r="W861" s="2"/>
      <c r="Y861" s="2"/>
    </row>
    <row r="862" spans="13:25">
      <c r="M862" s="2"/>
      <c r="O862" s="2"/>
      <c r="R862" s="2"/>
      <c r="T862" s="2"/>
      <c r="W862" s="2"/>
      <c r="Y862" s="2"/>
    </row>
    <row r="863" spans="13:25">
      <c r="M863" s="2"/>
      <c r="O863" s="2"/>
      <c r="R863" s="2"/>
      <c r="T863" s="2"/>
      <c r="W863" s="2"/>
      <c r="Y863" s="2"/>
    </row>
    <row r="864" spans="13:25">
      <c r="M864" s="2"/>
      <c r="O864" s="2"/>
      <c r="R864" s="2"/>
      <c r="T864" s="2"/>
      <c r="W864" s="2"/>
      <c r="Y864" s="2"/>
    </row>
    <row r="865" spans="13:25">
      <c r="M865" s="2"/>
      <c r="O865" s="2"/>
      <c r="R865" s="2"/>
      <c r="T865" s="2"/>
      <c r="W865" s="2"/>
      <c r="Y865" s="2"/>
    </row>
    <row r="866" spans="13:25">
      <c r="M866" s="2"/>
      <c r="O866" s="2"/>
      <c r="R866" s="2"/>
      <c r="T866" s="2"/>
      <c r="W866" s="2"/>
      <c r="Y866" s="2"/>
    </row>
    <row r="867" spans="13:25">
      <c r="M867" s="2"/>
      <c r="O867" s="2"/>
      <c r="R867" s="2"/>
      <c r="T867" s="2"/>
      <c r="W867" s="2"/>
      <c r="Y867" s="2"/>
    </row>
    <row r="868" spans="13:25">
      <c r="M868" s="2"/>
      <c r="O868" s="2"/>
      <c r="R868" s="2"/>
      <c r="T868" s="2"/>
      <c r="W868" s="2"/>
      <c r="Y868" s="2"/>
    </row>
    <row r="869" spans="13:25">
      <c r="M869" s="2"/>
      <c r="O869" s="2"/>
      <c r="R869" s="2"/>
      <c r="T869" s="2"/>
      <c r="W869" s="2"/>
      <c r="Y869" s="2"/>
    </row>
    <row r="870" spans="13:25">
      <c r="M870" s="2"/>
      <c r="O870" s="2"/>
      <c r="R870" s="2"/>
      <c r="T870" s="2"/>
      <c r="W870" s="2"/>
      <c r="Y870" s="2"/>
    </row>
    <row r="871" spans="13:25">
      <c r="M871" s="2"/>
      <c r="O871" s="2"/>
      <c r="R871" s="2"/>
      <c r="T871" s="2"/>
      <c r="W871" s="2"/>
      <c r="Y871" s="2"/>
    </row>
    <row r="872" spans="13:25">
      <c r="M872" s="2"/>
      <c r="O872" s="2"/>
      <c r="R872" s="2"/>
      <c r="T872" s="2"/>
      <c r="W872" s="2"/>
      <c r="Y872" s="2"/>
    </row>
    <row r="873" spans="13:25">
      <c r="M873" s="2"/>
      <c r="O873" s="2"/>
      <c r="R873" s="2"/>
      <c r="T873" s="2"/>
      <c r="W873" s="2"/>
      <c r="Y873" s="2"/>
    </row>
    <row r="874" spans="13:25">
      <c r="M874" s="2"/>
      <c r="O874" s="2"/>
      <c r="R874" s="2"/>
      <c r="T874" s="2"/>
      <c r="W874" s="2"/>
      <c r="Y874" s="2"/>
    </row>
    <row r="875" spans="13:25">
      <c r="M875" s="2"/>
      <c r="O875" s="2"/>
      <c r="R875" s="2"/>
      <c r="T875" s="2"/>
      <c r="W875" s="2"/>
      <c r="Y875" s="2"/>
    </row>
    <row r="876" spans="13:25">
      <c r="M876" s="2"/>
      <c r="O876" s="2"/>
      <c r="R876" s="2"/>
      <c r="T876" s="2"/>
      <c r="W876" s="2"/>
      <c r="Y876" s="2"/>
    </row>
    <row r="877" spans="13:25">
      <c r="M877" s="2"/>
      <c r="O877" s="2"/>
      <c r="R877" s="2"/>
      <c r="T877" s="2"/>
      <c r="W877" s="2"/>
      <c r="Y877" s="2"/>
    </row>
    <row r="878" spans="13:25">
      <c r="M878" s="2"/>
      <c r="O878" s="2"/>
      <c r="R878" s="2"/>
      <c r="T878" s="2"/>
      <c r="W878" s="2"/>
      <c r="Y878" s="2"/>
    </row>
    <row r="879" spans="13:25">
      <c r="M879" s="2"/>
      <c r="O879" s="2"/>
      <c r="R879" s="2"/>
      <c r="T879" s="2"/>
      <c r="W879" s="2"/>
      <c r="Y879" s="2"/>
    </row>
    <row r="880" spans="13:25">
      <c r="M880" s="2"/>
      <c r="O880" s="2"/>
      <c r="R880" s="2"/>
      <c r="T880" s="2"/>
      <c r="W880" s="2"/>
      <c r="Y880" s="2"/>
    </row>
    <row r="881" spans="13:25">
      <c r="M881" s="2"/>
      <c r="O881" s="2"/>
      <c r="R881" s="2"/>
      <c r="T881" s="2"/>
      <c r="W881" s="2"/>
      <c r="Y881" s="2"/>
    </row>
    <row r="882" spans="13:25">
      <c r="M882" s="2"/>
      <c r="O882" s="2"/>
      <c r="R882" s="2"/>
      <c r="T882" s="2"/>
      <c r="W882" s="2"/>
      <c r="Y882" s="2"/>
    </row>
    <row r="883" spans="13:25">
      <c r="M883" s="2"/>
      <c r="O883" s="2"/>
      <c r="R883" s="2"/>
      <c r="T883" s="2"/>
      <c r="W883" s="2"/>
      <c r="Y883" s="2"/>
    </row>
    <row r="884" spans="13:25">
      <c r="M884" s="2"/>
      <c r="O884" s="2"/>
      <c r="R884" s="2"/>
      <c r="T884" s="2"/>
      <c r="W884" s="2"/>
      <c r="Y884" s="2"/>
    </row>
    <row r="885" spans="13:25">
      <c r="M885" s="2"/>
      <c r="O885" s="2"/>
      <c r="R885" s="2"/>
      <c r="T885" s="2"/>
      <c r="W885" s="2"/>
      <c r="Y885" s="2"/>
    </row>
    <row r="886" spans="13:25">
      <c r="M886" s="2"/>
      <c r="O886" s="2"/>
      <c r="R886" s="2"/>
      <c r="T886" s="2"/>
      <c r="W886" s="2"/>
      <c r="Y886" s="2"/>
    </row>
    <row r="887" spans="13:25">
      <c r="M887" s="2"/>
      <c r="O887" s="2"/>
      <c r="R887" s="2"/>
      <c r="T887" s="2"/>
      <c r="W887" s="2"/>
      <c r="Y887" s="2"/>
    </row>
    <row r="888" spans="13:25">
      <c r="M888" s="2"/>
      <c r="O888" s="2"/>
      <c r="R888" s="2"/>
      <c r="T888" s="2"/>
      <c r="W888" s="2"/>
      <c r="Y888" s="2"/>
    </row>
    <row r="889" spans="13:25">
      <c r="M889" s="2"/>
      <c r="O889" s="2"/>
      <c r="R889" s="2"/>
      <c r="T889" s="2"/>
      <c r="W889" s="2"/>
      <c r="Y889" s="2"/>
    </row>
    <row r="890" spans="13:25">
      <c r="M890" s="2"/>
      <c r="O890" s="2"/>
      <c r="R890" s="2"/>
      <c r="T890" s="2"/>
      <c r="W890" s="2"/>
      <c r="Y890" s="2"/>
    </row>
    <row r="891" spans="13:25">
      <c r="M891" s="2"/>
      <c r="O891" s="2"/>
      <c r="R891" s="2"/>
      <c r="T891" s="2"/>
      <c r="W891" s="2"/>
      <c r="Y891" s="2"/>
    </row>
    <row r="892" spans="13:25">
      <c r="M892" s="2"/>
      <c r="O892" s="2"/>
      <c r="R892" s="2"/>
      <c r="T892" s="2"/>
      <c r="W892" s="2"/>
      <c r="Y892" s="2"/>
    </row>
    <row r="893" spans="13:25">
      <c r="M893" s="2"/>
      <c r="O893" s="2"/>
      <c r="R893" s="2"/>
      <c r="T893" s="2"/>
      <c r="W893" s="2"/>
      <c r="Y893" s="2"/>
    </row>
    <row r="894" spans="13:25">
      <c r="M894" s="2"/>
      <c r="O894" s="2"/>
      <c r="R894" s="2"/>
      <c r="T894" s="2"/>
      <c r="W894" s="2"/>
      <c r="Y894" s="2"/>
    </row>
    <row r="895" spans="13:25">
      <c r="M895" s="2"/>
      <c r="O895" s="2"/>
      <c r="R895" s="2"/>
      <c r="T895" s="2"/>
      <c r="W895" s="2"/>
      <c r="Y895" s="2"/>
    </row>
    <row r="896" spans="13:25">
      <c r="M896" s="2"/>
      <c r="O896" s="2"/>
      <c r="R896" s="2"/>
      <c r="T896" s="2"/>
      <c r="W896" s="2"/>
      <c r="Y896" s="2"/>
    </row>
    <row r="897" spans="13:25">
      <c r="M897" s="2"/>
      <c r="O897" s="2"/>
      <c r="R897" s="2"/>
      <c r="T897" s="2"/>
      <c r="W897" s="2"/>
      <c r="Y897" s="2"/>
    </row>
    <row r="898" spans="13:25">
      <c r="M898" s="2"/>
      <c r="O898" s="2"/>
      <c r="R898" s="2"/>
      <c r="T898" s="2"/>
      <c r="W898" s="2"/>
      <c r="Y898" s="2"/>
    </row>
    <row r="899" spans="13:25">
      <c r="M899" s="2"/>
      <c r="O899" s="2"/>
      <c r="R899" s="2"/>
      <c r="T899" s="2"/>
      <c r="W899" s="2"/>
      <c r="Y899" s="2"/>
    </row>
    <row r="900" spans="13:25">
      <c r="M900" s="2"/>
      <c r="O900" s="2"/>
      <c r="R900" s="2"/>
      <c r="T900" s="2"/>
      <c r="W900" s="2"/>
      <c r="Y900" s="2"/>
    </row>
    <row r="901" spans="13:25">
      <c r="M901" s="2"/>
      <c r="O901" s="2"/>
      <c r="R901" s="2"/>
      <c r="T901" s="2"/>
      <c r="W901" s="2"/>
      <c r="Y901" s="2"/>
    </row>
    <row r="902" spans="13:25">
      <c r="M902" s="2"/>
      <c r="O902" s="2"/>
      <c r="R902" s="2"/>
      <c r="T902" s="2"/>
      <c r="W902" s="2"/>
      <c r="Y902" s="2"/>
    </row>
    <row r="903" spans="13:25">
      <c r="M903" s="2"/>
      <c r="O903" s="2"/>
      <c r="R903" s="2"/>
      <c r="T903" s="2"/>
      <c r="W903" s="2"/>
      <c r="Y903" s="2"/>
    </row>
    <row r="904" spans="13:25">
      <c r="M904" s="2"/>
      <c r="O904" s="2"/>
      <c r="R904" s="2"/>
      <c r="T904" s="2"/>
      <c r="W904" s="2"/>
      <c r="Y904" s="2"/>
    </row>
    <row r="905" spans="13:25">
      <c r="M905" s="2"/>
      <c r="O905" s="2"/>
      <c r="R905" s="2"/>
      <c r="T905" s="2"/>
      <c r="W905" s="2"/>
      <c r="Y905" s="2"/>
    </row>
    <row r="906" spans="13:25">
      <c r="M906" s="2"/>
      <c r="O906" s="2"/>
      <c r="R906" s="2"/>
      <c r="T906" s="2"/>
      <c r="W906" s="2"/>
      <c r="Y906" s="2"/>
    </row>
    <row r="907" spans="13:25">
      <c r="M907" s="2"/>
      <c r="O907" s="2"/>
      <c r="R907" s="2"/>
      <c r="T907" s="2"/>
      <c r="W907" s="2"/>
      <c r="Y907" s="2"/>
    </row>
    <row r="908" spans="13:25">
      <c r="M908" s="2"/>
      <c r="O908" s="2"/>
      <c r="R908" s="2"/>
      <c r="T908" s="2"/>
      <c r="W908" s="2"/>
      <c r="Y908" s="2"/>
    </row>
    <row r="909" spans="13:25">
      <c r="M909" s="2"/>
      <c r="O909" s="2"/>
      <c r="R909" s="2"/>
      <c r="T909" s="2"/>
      <c r="W909" s="2"/>
      <c r="Y909" s="2"/>
    </row>
    <row r="910" spans="13:25">
      <c r="M910" s="2"/>
      <c r="O910" s="2"/>
      <c r="R910" s="2"/>
      <c r="T910" s="2"/>
      <c r="W910" s="2"/>
      <c r="Y910" s="2"/>
    </row>
    <row r="911" spans="13:25">
      <c r="M911" s="2"/>
      <c r="O911" s="2"/>
      <c r="R911" s="2"/>
      <c r="T911" s="2"/>
      <c r="W911" s="2"/>
      <c r="Y911" s="2"/>
    </row>
    <row r="912" spans="13:25">
      <c r="M912" s="2"/>
      <c r="O912" s="2"/>
      <c r="R912" s="2"/>
      <c r="T912" s="2"/>
      <c r="W912" s="2"/>
      <c r="Y912" s="2"/>
    </row>
    <row r="913" spans="13:25">
      <c r="M913" s="2"/>
      <c r="O913" s="2"/>
      <c r="R913" s="2"/>
      <c r="T913" s="2"/>
      <c r="W913" s="2"/>
      <c r="Y913" s="2"/>
    </row>
    <row r="914" spans="13:25">
      <c r="M914" s="2"/>
      <c r="O914" s="2"/>
      <c r="R914" s="2"/>
      <c r="T914" s="2"/>
      <c r="W914" s="2"/>
      <c r="Y914" s="2"/>
    </row>
    <row r="915" spans="13:25">
      <c r="M915" s="2"/>
      <c r="O915" s="2"/>
      <c r="R915" s="2"/>
      <c r="T915" s="2"/>
      <c r="W915" s="2"/>
      <c r="Y915" s="2"/>
    </row>
    <row r="916" spans="13:25">
      <c r="M916" s="2"/>
      <c r="O916" s="2"/>
      <c r="R916" s="2"/>
      <c r="T916" s="2"/>
      <c r="W916" s="2"/>
      <c r="Y916" s="2"/>
    </row>
    <row r="917" spans="13:25">
      <c r="M917" s="2"/>
      <c r="O917" s="2"/>
      <c r="R917" s="2"/>
      <c r="T917" s="2"/>
      <c r="W917" s="2"/>
      <c r="Y917" s="2"/>
    </row>
    <row r="918" spans="13:25">
      <c r="M918" s="2"/>
      <c r="O918" s="2"/>
      <c r="R918" s="2"/>
      <c r="T918" s="2"/>
      <c r="W918" s="2"/>
      <c r="Y918" s="2"/>
    </row>
    <row r="919" spans="13:25">
      <c r="M919" s="2"/>
      <c r="O919" s="2"/>
      <c r="R919" s="2"/>
      <c r="T919" s="2"/>
      <c r="W919" s="2"/>
      <c r="Y919" s="2"/>
    </row>
    <row r="920" spans="13:25">
      <c r="M920" s="2"/>
      <c r="O920" s="2"/>
      <c r="R920" s="2"/>
      <c r="T920" s="2"/>
      <c r="W920" s="2"/>
      <c r="Y920" s="2"/>
    </row>
    <row r="921" spans="13:25">
      <c r="M921" s="2"/>
      <c r="O921" s="2"/>
      <c r="R921" s="2"/>
      <c r="T921" s="2"/>
      <c r="W921" s="2"/>
      <c r="Y921" s="2"/>
    </row>
    <row r="922" spans="13:25">
      <c r="M922" s="2"/>
      <c r="O922" s="2"/>
      <c r="R922" s="2"/>
      <c r="T922" s="2"/>
      <c r="W922" s="2"/>
      <c r="Y922" s="2"/>
    </row>
    <row r="923" spans="13:25">
      <c r="M923" s="2"/>
      <c r="O923" s="2"/>
      <c r="R923" s="2"/>
      <c r="T923" s="2"/>
      <c r="W923" s="2"/>
      <c r="Y923" s="2"/>
    </row>
    <row r="924" spans="13:25">
      <c r="M924" s="2"/>
      <c r="O924" s="2"/>
      <c r="R924" s="2"/>
      <c r="T924" s="2"/>
      <c r="W924" s="2"/>
      <c r="Y924" s="2"/>
    </row>
    <row r="925" spans="13:25">
      <c r="M925" s="2"/>
      <c r="O925" s="2"/>
      <c r="R925" s="2"/>
      <c r="T925" s="2"/>
      <c r="W925" s="2"/>
      <c r="Y925" s="2"/>
    </row>
    <row r="926" spans="13:25">
      <c r="M926" s="2"/>
      <c r="O926" s="2"/>
      <c r="R926" s="2"/>
      <c r="T926" s="2"/>
      <c r="W926" s="2"/>
      <c r="Y926" s="2"/>
    </row>
    <row r="927" spans="13:25">
      <c r="M927" s="2"/>
      <c r="O927" s="2"/>
      <c r="R927" s="2"/>
      <c r="T927" s="2"/>
      <c r="W927" s="2"/>
      <c r="Y927" s="2"/>
    </row>
    <row r="928" spans="13:25">
      <c r="M928" s="2"/>
      <c r="O928" s="2"/>
      <c r="R928" s="2"/>
      <c r="T928" s="2"/>
      <c r="W928" s="2"/>
      <c r="Y928" s="2"/>
    </row>
    <row r="929" spans="13:25">
      <c r="M929" s="2"/>
      <c r="O929" s="2"/>
      <c r="R929" s="2"/>
      <c r="T929" s="2"/>
      <c r="W929" s="2"/>
      <c r="Y929" s="2"/>
    </row>
    <row r="930" spans="13:25">
      <c r="M930" s="2"/>
      <c r="O930" s="2"/>
      <c r="R930" s="2"/>
      <c r="T930" s="2"/>
      <c r="W930" s="2"/>
      <c r="Y930" s="2"/>
    </row>
    <row r="931" spans="13:25">
      <c r="M931" s="2"/>
      <c r="O931" s="2"/>
      <c r="R931" s="2"/>
      <c r="T931" s="2"/>
      <c r="W931" s="2"/>
      <c r="Y931" s="2"/>
    </row>
    <row r="932" spans="13:25">
      <c r="M932" s="2"/>
      <c r="O932" s="2"/>
      <c r="R932" s="2"/>
      <c r="T932" s="2"/>
      <c r="W932" s="2"/>
      <c r="Y932" s="2"/>
    </row>
    <row r="933" spans="13:25">
      <c r="M933" s="2"/>
      <c r="O933" s="2"/>
      <c r="R933" s="2"/>
      <c r="T933" s="2"/>
      <c r="W933" s="2"/>
      <c r="Y933" s="2"/>
    </row>
    <row r="934" spans="13:25">
      <c r="M934" s="2"/>
      <c r="O934" s="2"/>
      <c r="R934" s="2"/>
      <c r="T934" s="2"/>
      <c r="W934" s="2"/>
      <c r="Y934" s="2"/>
    </row>
    <row r="935" spans="13:25">
      <c r="M935" s="2"/>
      <c r="O935" s="2"/>
      <c r="R935" s="2"/>
      <c r="T935" s="2"/>
      <c r="W935" s="2"/>
      <c r="Y935" s="2"/>
    </row>
    <row r="936" spans="13:25">
      <c r="M936" s="2"/>
      <c r="O936" s="2"/>
      <c r="R936" s="2"/>
      <c r="T936" s="2"/>
      <c r="W936" s="2"/>
      <c r="Y936" s="2"/>
    </row>
    <row r="937" spans="13:25">
      <c r="M937" s="2"/>
      <c r="O937" s="2"/>
      <c r="R937" s="2"/>
      <c r="T937" s="2"/>
      <c r="W937" s="2"/>
      <c r="Y937" s="2"/>
    </row>
    <row r="938" spans="13:25">
      <c r="M938" s="2"/>
      <c r="O938" s="2"/>
      <c r="R938" s="2"/>
      <c r="T938" s="2"/>
      <c r="W938" s="2"/>
      <c r="Y938" s="2"/>
    </row>
    <row r="939" spans="13:25">
      <c r="M939" s="2"/>
      <c r="O939" s="2"/>
      <c r="R939" s="2"/>
      <c r="T939" s="2"/>
      <c r="W939" s="2"/>
      <c r="Y939" s="2"/>
    </row>
    <row r="940" spans="13:25">
      <c r="M940" s="2"/>
      <c r="O940" s="2"/>
      <c r="R940" s="2"/>
      <c r="T940" s="2"/>
      <c r="W940" s="2"/>
      <c r="Y940" s="2"/>
    </row>
    <row r="941" spans="13:25">
      <c r="M941" s="2"/>
      <c r="O941" s="2"/>
      <c r="R941" s="2"/>
      <c r="T941" s="2"/>
      <c r="W941" s="2"/>
      <c r="Y941" s="2"/>
    </row>
    <row r="942" spans="13:25">
      <c r="M942" s="2"/>
      <c r="O942" s="2"/>
      <c r="R942" s="2"/>
      <c r="T942" s="2"/>
      <c r="W942" s="2"/>
      <c r="Y942" s="2"/>
    </row>
    <row r="943" spans="13:25">
      <c r="M943" s="2"/>
      <c r="O943" s="2"/>
      <c r="R943" s="2"/>
      <c r="T943" s="2"/>
      <c r="W943" s="2"/>
      <c r="Y943" s="2"/>
    </row>
    <row r="944" spans="13:25">
      <c r="M944" s="2"/>
      <c r="O944" s="2"/>
      <c r="R944" s="2"/>
      <c r="T944" s="2"/>
      <c r="W944" s="2"/>
      <c r="Y944" s="2"/>
    </row>
    <row r="945" spans="13:25">
      <c r="M945" s="2"/>
      <c r="O945" s="2"/>
      <c r="R945" s="2"/>
      <c r="T945" s="2"/>
      <c r="W945" s="2"/>
      <c r="Y945" s="2"/>
    </row>
    <row r="946" spans="13:25">
      <c r="M946" s="2"/>
      <c r="O946" s="2"/>
      <c r="R946" s="2"/>
      <c r="T946" s="2"/>
      <c r="W946" s="2"/>
      <c r="Y946" s="2"/>
    </row>
    <row r="947" spans="13:25">
      <c r="M947" s="2"/>
      <c r="O947" s="2"/>
      <c r="R947" s="2"/>
      <c r="T947" s="2"/>
      <c r="W947" s="2"/>
      <c r="Y947" s="2"/>
    </row>
    <row r="948" spans="13:25">
      <c r="M948" s="2"/>
      <c r="O948" s="2"/>
      <c r="R948" s="2"/>
      <c r="T948" s="2"/>
      <c r="W948" s="2"/>
      <c r="Y948" s="2"/>
    </row>
    <row r="949" spans="13:25">
      <c r="M949" s="2"/>
      <c r="O949" s="2"/>
      <c r="R949" s="2"/>
      <c r="T949" s="2"/>
      <c r="W949" s="2"/>
      <c r="Y949" s="2"/>
    </row>
    <row r="950" spans="13:25">
      <c r="M950" s="2"/>
      <c r="O950" s="2"/>
      <c r="R950" s="2"/>
      <c r="T950" s="2"/>
      <c r="W950" s="2"/>
      <c r="Y950" s="2"/>
    </row>
    <row r="951" spans="13:25">
      <c r="M951" s="2"/>
      <c r="O951" s="2"/>
      <c r="R951" s="2"/>
      <c r="T951" s="2"/>
      <c r="W951" s="2"/>
      <c r="Y951" s="2"/>
    </row>
    <row r="952" spans="13:25">
      <c r="M952" s="2"/>
      <c r="O952" s="2"/>
      <c r="R952" s="2"/>
      <c r="T952" s="2"/>
      <c r="W952" s="2"/>
      <c r="Y952" s="2"/>
    </row>
    <row r="953" spans="13:25">
      <c r="M953" s="2"/>
      <c r="O953" s="2"/>
      <c r="R953" s="2"/>
      <c r="T953" s="2"/>
      <c r="W953" s="2"/>
      <c r="Y953" s="2"/>
    </row>
    <row r="954" spans="13:25">
      <c r="M954" s="2"/>
      <c r="O954" s="2"/>
      <c r="R954" s="2"/>
      <c r="T954" s="2"/>
      <c r="W954" s="2"/>
      <c r="Y954" s="2"/>
    </row>
    <row r="955" spans="13:25">
      <c r="M955" s="2"/>
      <c r="O955" s="2"/>
      <c r="R955" s="2"/>
      <c r="T955" s="2"/>
      <c r="W955" s="2"/>
      <c r="Y955" s="2"/>
    </row>
    <row r="956" spans="13:25">
      <c r="M956" s="2"/>
      <c r="O956" s="2"/>
      <c r="R956" s="2"/>
      <c r="T956" s="2"/>
      <c r="W956" s="2"/>
      <c r="Y956" s="2"/>
    </row>
    <row r="957" spans="13:25">
      <c r="M957" s="2"/>
      <c r="O957" s="2"/>
      <c r="R957" s="2"/>
      <c r="T957" s="2"/>
      <c r="W957" s="2"/>
      <c r="Y957" s="2"/>
    </row>
    <row r="958" spans="13:25">
      <c r="M958" s="2"/>
      <c r="O958" s="2"/>
      <c r="R958" s="2"/>
      <c r="T958" s="2"/>
      <c r="W958" s="2"/>
      <c r="Y958" s="2"/>
    </row>
    <row r="959" spans="13:25">
      <c r="M959" s="2"/>
      <c r="O959" s="2"/>
      <c r="R959" s="2"/>
      <c r="T959" s="2"/>
      <c r="W959" s="2"/>
      <c r="Y959" s="2"/>
    </row>
    <row r="960" spans="13:25">
      <c r="M960" s="2"/>
      <c r="O960" s="2"/>
      <c r="R960" s="2"/>
      <c r="T960" s="2"/>
      <c r="W960" s="2"/>
      <c r="Y960" s="2"/>
    </row>
    <row r="961" spans="13:25">
      <c r="M961" s="2"/>
      <c r="O961" s="2"/>
      <c r="R961" s="2"/>
      <c r="T961" s="2"/>
      <c r="W961" s="2"/>
      <c r="Y961" s="2"/>
    </row>
    <row r="962" spans="13:25">
      <c r="M962" s="2"/>
      <c r="O962" s="2"/>
      <c r="R962" s="2"/>
      <c r="T962" s="2"/>
      <c r="W962" s="2"/>
      <c r="Y962" s="2"/>
    </row>
    <row r="963" spans="13:25">
      <c r="M963" s="2"/>
      <c r="O963" s="2"/>
      <c r="R963" s="2"/>
      <c r="T963" s="2"/>
      <c r="W963" s="2"/>
      <c r="Y963" s="2"/>
    </row>
    <row r="964" spans="13:25">
      <c r="M964" s="2"/>
      <c r="O964" s="2"/>
      <c r="R964" s="2"/>
      <c r="T964" s="2"/>
      <c r="W964" s="2"/>
      <c r="Y964" s="2"/>
    </row>
    <row r="965" spans="13:25">
      <c r="M965" s="2"/>
      <c r="O965" s="2"/>
      <c r="R965" s="2"/>
      <c r="T965" s="2"/>
      <c r="W965" s="2"/>
      <c r="Y965" s="2"/>
    </row>
    <row r="966" spans="13:25">
      <c r="M966" s="2"/>
      <c r="O966" s="2"/>
      <c r="R966" s="2"/>
      <c r="T966" s="2"/>
      <c r="W966" s="2"/>
      <c r="Y966" s="2"/>
    </row>
    <row r="967" spans="13:25">
      <c r="M967" s="2"/>
      <c r="O967" s="2"/>
      <c r="R967" s="2"/>
      <c r="T967" s="2"/>
      <c r="W967" s="2"/>
      <c r="Y967" s="2"/>
    </row>
    <row r="968" spans="13:25">
      <c r="M968" s="2"/>
      <c r="O968" s="2"/>
      <c r="R968" s="2"/>
      <c r="T968" s="2"/>
      <c r="W968" s="2"/>
      <c r="Y968" s="2"/>
    </row>
    <row r="969" spans="13:25">
      <c r="M969" s="2"/>
      <c r="O969" s="2"/>
      <c r="R969" s="2"/>
      <c r="T969" s="2"/>
      <c r="W969" s="2"/>
      <c r="Y969" s="2"/>
    </row>
    <row r="970" spans="13:25">
      <c r="M970" s="2"/>
      <c r="O970" s="2"/>
      <c r="R970" s="2"/>
      <c r="T970" s="2"/>
      <c r="W970" s="2"/>
      <c r="Y970" s="2"/>
    </row>
    <row r="971" spans="13:25">
      <c r="M971" s="2"/>
      <c r="O971" s="2"/>
      <c r="R971" s="2"/>
      <c r="T971" s="2"/>
      <c r="W971" s="2"/>
      <c r="Y971" s="2"/>
    </row>
    <row r="972" spans="13:25">
      <c r="M972" s="2"/>
      <c r="O972" s="2"/>
      <c r="R972" s="2"/>
      <c r="T972" s="2"/>
      <c r="W972" s="2"/>
      <c r="Y972" s="2"/>
    </row>
    <row r="973" spans="13:25">
      <c r="M973" s="2"/>
      <c r="O973" s="2"/>
      <c r="R973" s="2"/>
      <c r="T973" s="2"/>
    </row>
    <row r="974" spans="13:25">
      <c r="M974" s="2"/>
      <c r="O974" s="2"/>
      <c r="R974" s="2"/>
      <c r="T974" s="2"/>
    </row>
    <row r="975" spans="13:25">
      <c r="M975" s="2"/>
      <c r="O975" s="2"/>
      <c r="R975" s="2"/>
      <c r="T975" s="2"/>
    </row>
    <row r="976" spans="13:25">
      <c r="M976" s="2"/>
      <c r="O976" s="2"/>
      <c r="R976" s="2"/>
      <c r="T976" s="2"/>
    </row>
    <row r="977" spans="13:20">
      <c r="M977" s="2"/>
      <c r="O977" s="2"/>
      <c r="R977" s="2"/>
      <c r="T977" s="2"/>
    </row>
    <row r="978" spans="13:20">
      <c r="M978" s="2"/>
      <c r="O978" s="2"/>
      <c r="R978" s="2"/>
      <c r="T978" s="2"/>
    </row>
    <row r="979" spans="13:20">
      <c r="M979" s="2"/>
      <c r="O979" s="2"/>
      <c r="R979" s="2"/>
      <c r="T979" s="2"/>
    </row>
    <row r="980" spans="13:20">
      <c r="M980" s="2"/>
      <c r="O980" s="2"/>
      <c r="R980" s="2"/>
      <c r="T980" s="2"/>
    </row>
    <row r="981" spans="13:20">
      <c r="M981" s="2"/>
      <c r="O981" s="2"/>
      <c r="R981" s="2"/>
      <c r="T981" s="2"/>
    </row>
    <row r="982" spans="13:20">
      <c r="M982" s="2"/>
      <c r="O982" s="2"/>
      <c r="R982" s="2"/>
      <c r="T982" s="2"/>
    </row>
    <row r="983" spans="13:20">
      <c r="M983" s="2"/>
      <c r="O983" s="2"/>
      <c r="R983" s="2"/>
      <c r="T983" s="2"/>
    </row>
    <row r="984" spans="13:20">
      <c r="M984" s="2"/>
      <c r="O984" s="2"/>
      <c r="R984" s="2"/>
      <c r="T984" s="2"/>
    </row>
    <row r="985" spans="13:20">
      <c r="M985" s="2"/>
      <c r="O985" s="2"/>
      <c r="R985" s="2"/>
      <c r="T985" s="2"/>
    </row>
    <row r="986" spans="13:20">
      <c r="M986" s="2"/>
      <c r="O986" s="2"/>
      <c r="R986" s="2"/>
      <c r="T986" s="2"/>
    </row>
    <row r="987" spans="13:20">
      <c r="M987" s="2"/>
      <c r="O987" s="2"/>
      <c r="R987" s="2"/>
      <c r="T987" s="2"/>
    </row>
    <row r="988" spans="13:20">
      <c r="M988" s="2"/>
      <c r="O988" s="2"/>
      <c r="R988" s="2"/>
      <c r="T988" s="2"/>
    </row>
    <row r="989" spans="13:20">
      <c r="M989" s="2"/>
      <c r="O989" s="2"/>
      <c r="R989" s="2"/>
      <c r="T989" s="2"/>
    </row>
    <row r="990" spans="13:20">
      <c r="M990" s="2"/>
      <c r="O990" s="2"/>
      <c r="R990" s="2"/>
      <c r="T990" s="2"/>
    </row>
    <row r="991" spans="13:20">
      <c r="M991" s="2"/>
      <c r="O991" s="2"/>
      <c r="R991" s="2"/>
      <c r="T991" s="2"/>
    </row>
    <row r="992" spans="13:20">
      <c r="M992" s="2"/>
      <c r="O992" s="2"/>
      <c r="R992" s="2"/>
      <c r="T992" s="2"/>
    </row>
    <row r="993" spans="13:20">
      <c r="M993" s="2"/>
      <c r="O993" s="2"/>
      <c r="R993" s="2"/>
      <c r="T993" s="2"/>
    </row>
    <row r="994" spans="13:20">
      <c r="M994" s="2"/>
      <c r="O994" s="2"/>
      <c r="R994" s="2"/>
      <c r="T994" s="2"/>
    </row>
    <row r="995" spans="13:20">
      <c r="M995" s="2"/>
      <c r="O995" s="2"/>
      <c r="R995" s="2"/>
      <c r="T995" s="2"/>
    </row>
    <row r="996" spans="13:20">
      <c r="M996" s="2"/>
      <c r="O996" s="2"/>
      <c r="R996" s="2"/>
      <c r="T996" s="2"/>
    </row>
    <row r="997" spans="13:20">
      <c r="M997" s="2"/>
      <c r="O997" s="2"/>
      <c r="R997" s="2"/>
      <c r="T997" s="2"/>
    </row>
    <row r="998" spans="13:20">
      <c r="M998" s="2"/>
      <c r="O998" s="2"/>
      <c r="R998" s="2"/>
      <c r="T998" s="2"/>
    </row>
    <row r="999" spans="13:20">
      <c r="M999" s="2"/>
      <c r="O999" s="2"/>
      <c r="R999" s="2"/>
      <c r="T999" s="2"/>
    </row>
    <row r="1000" spans="13:20">
      <c r="M1000" s="2"/>
      <c r="O1000" s="2"/>
      <c r="R1000" s="2"/>
      <c r="T1000" s="2"/>
    </row>
    <row r="1001" spans="13:20">
      <c r="M1001" s="2"/>
      <c r="O1001" s="2"/>
      <c r="R1001" s="2"/>
      <c r="T1001" s="2"/>
    </row>
    <row r="1002" spans="13:20">
      <c r="M1002" s="2"/>
      <c r="O1002" s="2"/>
      <c r="R1002" s="2"/>
      <c r="T1002" s="2"/>
    </row>
    <row r="1003" spans="13:20">
      <c r="M1003" s="2"/>
      <c r="O1003" s="2"/>
      <c r="R1003" s="2"/>
      <c r="T1003" s="2"/>
    </row>
    <row r="1004" spans="13:20">
      <c r="M1004" s="2"/>
      <c r="O1004" s="2"/>
      <c r="R1004" s="2"/>
      <c r="T1004" s="2"/>
    </row>
    <row r="1005" spans="13:20">
      <c r="M1005" s="2"/>
      <c r="O1005" s="2"/>
      <c r="R1005" s="2"/>
      <c r="T1005" s="2"/>
    </row>
    <row r="1006" spans="13:20">
      <c r="M1006" s="2"/>
      <c r="O1006" s="2"/>
      <c r="R1006" s="2"/>
      <c r="T1006" s="2"/>
    </row>
    <row r="1007" spans="13:20">
      <c r="M1007" s="2"/>
      <c r="O1007" s="2"/>
      <c r="R1007" s="2"/>
      <c r="T1007" s="2"/>
    </row>
    <row r="1008" spans="13:20">
      <c r="M1008" s="2"/>
      <c r="O1008" s="2"/>
      <c r="R1008" s="2"/>
      <c r="T1008" s="2"/>
    </row>
    <row r="1009" spans="13:20">
      <c r="M1009" s="2"/>
      <c r="O1009" s="2"/>
      <c r="R1009" s="2"/>
      <c r="T1009" s="2"/>
    </row>
    <row r="1010" spans="13:20">
      <c r="M1010" s="2"/>
      <c r="O1010" s="2"/>
      <c r="R1010" s="2"/>
      <c r="T1010" s="2"/>
    </row>
    <row r="1011" spans="13:20">
      <c r="M1011" s="2"/>
      <c r="O1011" s="2"/>
      <c r="R1011" s="2"/>
      <c r="T1011" s="2"/>
    </row>
    <row r="1012" spans="13:20">
      <c r="M1012" s="2"/>
      <c r="O1012" s="2"/>
      <c r="R1012" s="2"/>
      <c r="T1012" s="2"/>
    </row>
    <row r="1013" spans="13:20">
      <c r="M1013" s="2"/>
      <c r="O1013" s="2"/>
      <c r="R1013" s="2"/>
      <c r="T1013" s="2"/>
    </row>
    <row r="1014" spans="13:20">
      <c r="M1014" s="2"/>
      <c r="O1014" s="2"/>
      <c r="R1014" s="2"/>
      <c r="T1014" s="2"/>
    </row>
    <row r="1015" spans="13:20">
      <c r="M1015" s="2"/>
      <c r="O1015" s="2"/>
      <c r="R1015" s="2"/>
      <c r="T1015" s="2"/>
    </row>
    <row r="1016" spans="13:20">
      <c r="M1016" s="2"/>
      <c r="O1016" s="2"/>
      <c r="R1016" s="2"/>
      <c r="T1016" s="2"/>
    </row>
    <row r="1017" spans="13:20">
      <c r="M1017" s="2"/>
      <c r="O1017" s="2"/>
      <c r="R1017" s="2"/>
      <c r="T1017" s="2"/>
    </row>
    <row r="1018" spans="13:20">
      <c r="M1018" s="2"/>
      <c r="O1018" s="2"/>
      <c r="R1018" s="2"/>
      <c r="T1018" s="2"/>
    </row>
    <row r="1019" spans="13:20">
      <c r="M1019" s="2"/>
      <c r="O1019" s="2"/>
      <c r="R1019" s="2"/>
      <c r="T1019" s="2"/>
    </row>
    <row r="1020" spans="13:20">
      <c r="M1020" s="2"/>
      <c r="O1020" s="2"/>
      <c r="R1020" s="2"/>
      <c r="T1020" s="2"/>
    </row>
    <row r="1021" spans="13:20">
      <c r="M1021" s="2"/>
      <c r="O1021" s="2"/>
      <c r="R1021" s="2"/>
      <c r="T1021" s="2"/>
    </row>
    <row r="1022" spans="13:20">
      <c r="M1022" s="2"/>
      <c r="O1022" s="2"/>
      <c r="R1022" s="2"/>
      <c r="T1022" s="2"/>
    </row>
    <row r="1023" spans="13:20">
      <c r="M1023" s="2"/>
      <c r="O1023" s="2"/>
      <c r="R1023" s="2"/>
      <c r="T1023" s="2"/>
    </row>
    <row r="1024" spans="13:20">
      <c r="M1024" s="2"/>
      <c r="O1024" s="2"/>
      <c r="R1024" s="2"/>
      <c r="T1024" s="2"/>
    </row>
    <row r="1025" spans="13:20">
      <c r="M1025" s="2"/>
      <c r="O1025" s="2"/>
      <c r="R1025" s="2"/>
      <c r="T1025" s="2"/>
    </row>
    <row r="1026" spans="13:20">
      <c r="M1026" s="2"/>
      <c r="O1026" s="2"/>
      <c r="R1026" s="2"/>
      <c r="T1026" s="2"/>
    </row>
    <row r="1027" spans="13:20">
      <c r="M1027" s="2"/>
      <c r="O1027" s="2"/>
      <c r="R1027" s="2"/>
      <c r="T1027" s="2"/>
    </row>
    <row r="1028" spans="13:20">
      <c r="M1028" s="2"/>
      <c r="O1028" s="2"/>
      <c r="R1028" s="2"/>
      <c r="T1028" s="2"/>
    </row>
    <row r="1029" spans="13:20">
      <c r="M1029" s="2"/>
      <c r="O1029" s="2"/>
      <c r="R1029" s="2"/>
      <c r="T1029" s="2"/>
    </row>
    <row r="1030" spans="13:20">
      <c r="M1030" s="2"/>
      <c r="O1030" s="2"/>
      <c r="R1030" s="2"/>
      <c r="T1030" s="2"/>
    </row>
    <row r="1031" spans="13:20">
      <c r="M1031" s="2"/>
      <c r="O1031" s="2"/>
      <c r="R1031" s="2"/>
      <c r="T1031" s="2"/>
    </row>
    <row r="1032" spans="13:20">
      <c r="M1032" s="2"/>
      <c r="O1032" s="2"/>
      <c r="R1032" s="2"/>
      <c r="T1032" s="2"/>
    </row>
    <row r="1033" spans="13:20">
      <c r="M1033" s="2"/>
      <c r="O1033" s="2"/>
      <c r="R1033" s="2"/>
      <c r="T1033" s="2"/>
    </row>
    <row r="1034" spans="13:20">
      <c r="M1034" s="2"/>
      <c r="O1034" s="2"/>
      <c r="R1034" s="2"/>
      <c r="T1034" s="2"/>
    </row>
    <row r="1035" spans="13:20">
      <c r="M1035" s="2"/>
      <c r="O1035" s="2"/>
      <c r="R1035" s="2"/>
      <c r="T1035" s="2"/>
    </row>
    <row r="1036" spans="13:20">
      <c r="M1036" s="2"/>
      <c r="O1036" s="2"/>
      <c r="R1036" s="2"/>
      <c r="T1036" s="2"/>
    </row>
    <row r="1037" spans="13:20">
      <c r="M1037" s="2"/>
      <c r="O1037" s="2"/>
      <c r="R1037" s="2"/>
      <c r="T1037" s="2"/>
    </row>
    <row r="1038" spans="13:20">
      <c r="M1038" s="2"/>
      <c r="O1038" s="2"/>
      <c r="R1038" s="2"/>
      <c r="T1038" s="2"/>
    </row>
    <row r="1039" spans="13:20">
      <c r="M1039" s="2"/>
      <c r="O1039" s="2"/>
      <c r="R1039" s="2"/>
      <c r="T1039" s="2"/>
    </row>
    <row r="1040" spans="13:20">
      <c r="M1040" s="2"/>
      <c r="O1040" s="2"/>
      <c r="R1040" s="2"/>
      <c r="T1040" s="2"/>
    </row>
    <row r="1041" spans="13:20">
      <c r="M1041" s="2"/>
      <c r="O1041" s="2"/>
      <c r="R1041" s="2"/>
      <c r="T1041" s="2"/>
    </row>
    <row r="1042" spans="13:20">
      <c r="M1042" s="2"/>
      <c r="O1042" s="2"/>
      <c r="R1042" s="2"/>
      <c r="T1042" s="2"/>
    </row>
    <row r="1043" spans="13:20">
      <c r="M1043" s="2"/>
      <c r="O1043" s="2"/>
      <c r="R1043" s="2"/>
      <c r="T1043" s="2"/>
    </row>
    <row r="1044" spans="13:20">
      <c r="M1044" s="2"/>
      <c r="O1044" s="2"/>
      <c r="R1044" s="2"/>
      <c r="T1044" s="2"/>
    </row>
    <row r="1045" spans="13:20">
      <c r="M1045" s="2"/>
      <c r="O1045" s="2"/>
      <c r="R1045" s="2"/>
      <c r="T1045" s="2"/>
    </row>
    <row r="1046" spans="13:20">
      <c r="M1046" s="2"/>
      <c r="O1046" s="2"/>
      <c r="R1046" s="2"/>
      <c r="T1046" s="2"/>
    </row>
    <row r="1047" spans="13:20">
      <c r="M1047" s="2"/>
      <c r="O1047" s="2"/>
      <c r="R1047" s="2"/>
      <c r="T1047" s="2"/>
    </row>
    <row r="1048" spans="13:20">
      <c r="M1048" s="2"/>
      <c r="O1048" s="2"/>
      <c r="R1048" s="2"/>
      <c r="T1048" s="2"/>
    </row>
    <row r="1049" spans="13:20">
      <c r="M1049" s="2"/>
      <c r="O1049" s="2"/>
      <c r="R1049" s="2"/>
      <c r="T1049" s="2"/>
    </row>
    <row r="1050" spans="13:20">
      <c r="M1050" s="2"/>
      <c r="O1050" s="2"/>
      <c r="R1050" s="2"/>
      <c r="T1050" s="2"/>
    </row>
    <row r="1051" spans="13:20">
      <c r="M1051" s="2"/>
      <c r="O1051" s="2"/>
      <c r="R1051" s="2"/>
      <c r="T1051" s="2"/>
    </row>
    <row r="1052" spans="13:20">
      <c r="M1052" s="2"/>
      <c r="O1052" s="2"/>
      <c r="R1052" s="2"/>
      <c r="T1052" s="2"/>
    </row>
    <row r="1053" spans="13:20">
      <c r="M1053" s="2"/>
      <c r="O1053" s="2"/>
      <c r="R1053" s="2"/>
      <c r="T1053" s="2"/>
    </row>
    <row r="1054" spans="13:20">
      <c r="M1054" s="2"/>
      <c r="O1054" s="2"/>
      <c r="R1054" s="2"/>
      <c r="T1054" s="2"/>
    </row>
    <row r="1055" spans="13:20">
      <c r="M1055" s="2"/>
      <c r="O1055" s="2"/>
      <c r="R1055" s="2"/>
      <c r="T1055" s="2"/>
    </row>
    <row r="1056" spans="13:20">
      <c r="M1056" s="2"/>
      <c r="O1056" s="2"/>
      <c r="R1056" s="2"/>
      <c r="T1056" s="2"/>
    </row>
    <row r="1057" spans="13:20">
      <c r="M1057" s="2"/>
      <c r="O1057" s="2"/>
      <c r="R1057" s="2"/>
      <c r="T1057" s="2"/>
    </row>
    <row r="1058" spans="13:20">
      <c r="M1058" s="2"/>
      <c r="O1058" s="2"/>
      <c r="R1058" s="2"/>
      <c r="T1058" s="2"/>
    </row>
    <row r="1059" spans="13:20">
      <c r="M1059" s="2"/>
      <c r="O1059" s="2"/>
      <c r="R1059" s="2"/>
      <c r="T1059" s="2"/>
    </row>
    <row r="1060" spans="13:20">
      <c r="M1060" s="2"/>
      <c r="O1060" s="2"/>
      <c r="R1060" s="2"/>
      <c r="T1060" s="2"/>
    </row>
    <row r="1061" spans="13:20">
      <c r="M1061" s="2"/>
      <c r="O1061" s="2"/>
      <c r="R1061" s="2"/>
      <c r="T1061" s="2"/>
    </row>
    <row r="1062" spans="13:20">
      <c r="M1062" s="2"/>
      <c r="O1062" s="2"/>
      <c r="R1062" s="2"/>
      <c r="T1062" s="2"/>
    </row>
    <row r="1063" spans="13:20">
      <c r="M1063" s="2"/>
      <c r="O1063" s="2"/>
      <c r="R1063" s="2"/>
      <c r="T1063" s="2"/>
    </row>
    <row r="1064" spans="13:20">
      <c r="M1064" s="2"/>
      <c r="O1064" s="2"/>
      <c r="R1064" s="2"/>
      <c r="T1064" s="2"/>
    </row>
    <row r="1065" spans="13:20">
      <c r="M1065" s="2"/>
      <c r="O1065" s="2"/>
      <c r="R1065" s="2"/>
      <c r="T1065" s="2"/>
    </row>
    <row r="1066" spans="13:20">
      <c r="M1066" s="2"/>
      <c r="O1066" s="2"/>
      <c r="R1066" s="2"/>
      <c r="T1066" s="2"/>
    </row>
    <row r="1067" spans="13:20">
      <c r="M1067" s="2"/>
      <c r="O1067" s="2"/>
      <c r="R1067" s="2"/>
      <c r="T1067" s="2"/>
    </row>
    <row r="1068" spans="13:20">
      <c r="M1068" s="2"/>
      <c r="O1068" s="2"/>
      <c r="R1068" s="2"/>
      <c r="T1068" s="2"/>
    </row>
    <row r="1069" spans="13:20">
      <c r="M1069" s="2"/>
      <c r="O1069" s="2"/>
      <c r="R1069" s="2"/>
      <c r="T1069" s="2"/>
    </row>
    <row r="1070" spans="13:20">
      <c r="M1070" s="2"/>
      <c r="O1070" s="2"/>
      <c r="R1070" s="2"/>
      <c r="T1070" s="2"/>
    </row>
    <row r="1071" spans="13:20">
      <c r="M1071" s="2"/>
      <c r="O1071" s="2"/>
      <c r="R1071" s="2"/>
      <c r="T1071" s="2"/>
    </row>
    <row r="1072" spans="13:20">
      <c r="M1072" s="2"/>
      <c r="O1072" s="2"/>
      <c r="R1072" s="2"/>
      <c r="T1072" s="2"/>
    </row>
    <row r="1073" spans="13:20">
      <c r="M1073" s="2"/>
      <c r="O1073" s="2"/>
      <c r="R1073" s="2"/>
      <c r="T1073" s="2"/>
    </row>
    <row r="1074" spans="13:20">
      <c r="M1074" s="2"/>
      <c r="O1074" s="2"/>
      <c r="R1074" s="2"/>
      <c r="T1074" s="2"/>
    </row>
    <row r="1075" spans="13:20">
      <c r="M1075" s="2"/>
      <c r="O1075" s="2"/>
      <c r="R1075" s="2"/>
      <c r="T1075" s="2"/>
    </row>
    <row r="1076" spans="13:20">
      <c r="M1076" s="2"/>
      <c r="O1076" s="2"/>
      <c r="R1076" s="2"/>
      <c r="T1076" s="2"/>
    </row>
    <row r="1077" spans="13:20">
      <c r="M1077" s="2"/>
      <c r="O1077" s="2"/>
      <c r="R1077" s="2"/>
      <c r="T1077" s="2"/>
    </row>
    <row r="1078" spans="13:20">
      <c r="M1078" s="2"/>
      <c r="O1078" s="2"/>
      <c r="R1078" s="2"/>
      <c r="T1078" s="2"/>
    </row>
    <row r="1079" spans="13:20">
      <c r="M1079" s="2"/>
      <c r="O1079" s="2"/>
      <c r="R1079" s="2"/>
      <c r="T1079" s="2"/>
    </row>
    <row r="1080" spans="13:20">
      <c r="M1080" s="2"/>
      <c r="O1080" s="2"/>
      <c r="R1080" s="2"/>
      <c r="T1080" s="2"/>
    </row>
    <row r="1081" spans="13:20">
      <c r="M1081" s="2"/>
      <c r="O1081" s="2"/>
      <c r="R1081" s="2"/>
      <c r="T1081" s="2"/>
    </row>
    <row r="1082" spans="13:20">
      <c r="M1082" s="2"/>
      <c r="O1082" s="2"/>
      <c r="R1082" s="2"/>
      <c r="T1082" s="2"/>
    </row>
    <row r="1083" spans="13:20">
      <c r="M1083" s="2"/>
      <c r="O1083" s="2"/>
      <c r="R1083" s="2"/>
      <c r="T1083" s="2"/>
    </row>
    <row r="1084" spans="13:20">
      <c r="M1084" s="2"/>
      <c r="O1084" s="2"/>
      <c r="R1084" s="2"/>
      <c r="T1084" s="2"/>
    </row>
    <row r="1085" spans="13:20">
      <c r="M1085" s="2"/>
      <c r="O1085" s="2"/>
      <c r="R1085" s="2"/>
      <c r="T1085" s="2"/>
    </row>
    <row r="1086" spans="13:20">
      <c r="M1086" s="2"/>
      <c r="O1086" s="2"/>
      <c r="R1086" s="2"/>
      <c r="T1086" s="2"/>
    </row>
    <row r="1087" spans="13:20">
      <c r="M1087" s="2"/>
      <c r="O1087" s="2"/>
      <c r="R1087" s="2"/>
      <c r="T1087" s="2"/>
    </row>
    <row r="1088" spans="13:20">
      <c r="M1088" s="2"/>
      <c r="O1088" s="2"/>
      <c r="R1088" s="2"/>
      <c r="T1088" s="2"/>
    </row>
    <row r="1089" spans="13:20">
      <c r="M1089" s="2"/>
      <c r="O1089" s="2"/>
      <c r="R1089" s="2"/>
      <c r="T1089" s="2"/>
    </row>
    <row r="1090" spans="13:20">
      <c r="M1090" s="2"/>
      <c r="O1090" s="2"/>
      <c r="R1090" s="2"/>
      <c r="T1090" s="2"/>
    </row>
    <row r="1091" spans="13:20">
      <c r="M1091" s="2"/>
      <c r="O1091" s="2"/>
      <c r="R1091" s="2"/>
      <c r="T1091" s="2"/>
    </row>
    <row r="1092" spans="13:20">
      <c r="M1092" s="2"/>
      <c r="O1092" s="2"/>
      <c r="R1092" s="2"/>
      <c r="T1092" s="2"/>
    </row>
    <row r="1093" spans="13:20">
      <c r="M1093" s="2"/>
      <c r="O1093" s="2"/>
      <c r="R1093" s="2"/>
      <c r="T1093" s="2"/>
    </row>
    <row r="1094" spans="13:20">
      <c r="M1094" s="2"/>
      <c r="O1094" s="2"/>
      <c r="R1094" s="2"/>
      <c r="T1094" s="2"/>
    </row>
    <row r="1095" spans="13:20">
      <c r="M1095" s="2"/>
      <c r="O1095" s="2"/>
      <c r="R1095" s="2"/>
      <c r="T1095" s="2"/>
    </row>
    <row r="1096" spans="13:20">
      <c r="M1096" s="2"/>
      <c r="O1096" s="2"/>
      <c r="R1096" s="2"/>
      <c r="T1096" s="2"/>
    </row>
    <row r="1097" spans="13:20">
      <c r="M1097" s="2"/>
      <c r="O1097" s="2"/>
      <c r="R1097" s="2"/>
      <c r="T1097" s="2"/>
    </row>
    <row r="1098" spans="13:20">
      <c r="M1098" s="2"/>
      <c r="O1098" s="2"/>
      <c r="R1098" s="2"/>
      <c r="T1098" s="2"/>
    </row>
    <row r="1099" spans="13:20">
      <c r="M1099" s="2"/>
      <c r="O1099" s="2"/>
      <c r="R1099" s="2"/>
      <c r="T1099" s="2"/>
    </row>
    <row r="1100" spans="13:20">
      <c r="M1100" s="2"/>
      <c r="O1100" s="2"/>
      <c r="R1100" s="2"/>
      <c r="T1100" s="2"/>
    </row>
    <row r="1101" spans="13:20">
      <c r="M1101" s="2"/>
      <c r="O1101" s="2"/>
      <c r="R1101" s="2"/>
      <c r="T1101" s="2"/>
    </row>
    <row r="1102" spans="13:20">
      <c r="M1102" s="2"/>
      <c r="O1102" s="2"/>
      <c r="R1102" s="2"/>
      <c r="T1102" s="2"/>
    </row>
    <row r="1103" spans="13:20">
      <c r="M1103" s="2"/>
      <c r="O1103" s="2"/>
      <c r="R1103" s="2"/>
      <c r="T1103" s="2"/>
    </row>
    <row r="1104" spans="13:20">
      <c r="M1104" s="2"/>
      <c r="O1104" s="2"/>
      <c r="R1104" s="2"/>
      <c r="T1104" s="2"/>
    </row>
    <row r="1105" spans="13:20">
      <c r="M1105" s="2"/>
      <c r="O1105" s="2"/>
      <c r="R1105" s="2"/>
      <c r="T1105" s="2"/>
    </row>
    <row r="1106" spans="13:20">
      <c r="M1106" s="2"/>
      <c r="O1106" s="2"/>
      <c r="R1106" s="2"/>
      <c r="T1106" s="2"/>
    </row>
    <row r="1107" spans="13:20">
      <c r="M1107" s="2"/>
      <c r="O1107" s="2"/>
      <c r="R1107" s="2"/>
      <c r="T1107" s="2"/>
    </row>
    <row r="1108" spans="13:20">
      <c r="M1108" s="2"/>
      <c r="O1108" s="2"/>
      <c r="R1108" s="2"/>
      <c r="T1108" s="2"/>
    </row>
    <row r="1109" spans="13:20">
      <c r="M1109" s="2"/>
      <c r="O1109" s="2"/>
      <c r="R1109" s="2"/>
      <c r="T1109" s="2"/>
    </row>
    <row r="1110" spans="13:20">
      <c r="M1110" s="2"/>
      <c r="O1110" s="2"/>
      <c r="R1110" s="2"/>
      <c r="T1110" s="2"/>
    </row>
    <row r="1111" spans="13:20">
      <c r="M1111" s="2"/>
      <c r="O1111" s="2"/>
      <c r="R1111" s="2"/>
      <c r="T1111" s="2"/>
    </row>
    <row r="1112" spans="13:20">
      <c r="M1112" s="2"/>
      <c r="O1112" s="2"/>
      <c r="R1112" s="2"/>
      <c r="T1112" s="2"/>
    </row>
    <row r="1113" spans="13:20">
      <c r="M1113" s="2"/>
      <c r="O1113" s="2"/>
      <c r="R1113" s="2"/>
      <c r="T1113" s="2"/>
    </row>
    <row r="1114" spans="13:20">
      <c r="M1114" s="2"/>
      <c r="O1114" s="2"/>
      <c r="R1114" s="2"/>
      <c r="T1114" s="2"/>
    </row>
    <row r="1115" spans="13:20">
      <c r="M1115" s="2"/>
      <c r="O1115" s="2"/>
      <c r="R1115" s="2"/>
      <c r="T1115" s="2"/>
    </row>
    <row r="1116" spans="13:20">
      <c r="M1116" s="2"/>
      <c r="O1116" s="2"/>
      <c r="R1116" s="2"/>
      <c r="T1116" s="2"/>
    </row>
    <row r="1117" spans="13:20">
      <c r="M1117" s="2"/>
      <c r="O1117" s="2"/>
      <c r="R1117" s="2"/>
      <c r="T1117" s="2"/>
    </row>
    <row r="1118" spans="13:20">
      <c r="M1118" s="2"/>
      <c r="O1118" s="2"/>
      <c r="R1118" s="2"/>
      <c r="T1118" s="2"/>
    </row>
    <row r="1119" spans="13:20">
      <c r="M1119" s="2"/>
      <c r="O1119" s="2"/>
      <c r="R1119" s="2"/>
      <c r="T1119" s="2"/>
    </row>
    <row r="1120" spans="13:20">
      <c r="M1120" s="2"/>
      <c r="O1120" s="2"/>
      <c r="R1120" s="2"/>
      <c r="T1120" s="2"/>
    </row>
    <row r="1121" spans="13:20">
      <c r="M1121" s="2"/>
      <c r="O1121" s="2"/>
      <c r="R1121" s="2"/>
      <c r="T1121" s="2"/>
    </row>
    <row r="1122" spans="13:20">
      <c r="M1122" s="2"/>
      <c r="O1122" s="2"/>
      <c r="R1122" s="2"/>
      <c r="T1122" s="2"/>
    </row>
    <row r="1123" spans="13:20">
      <c r="M1123" s="2"/>
      <c r="O1123" s="2"/>
      <c r="R1123" s="2"/>
      <c r="T1123" s="2"/>
    </row>
    <row r="1124" spans="13:20">
      <c r="M1124" s="2"/>
      <c r="O1124" s="2"/>
      <c r="R1124" s="2"/>
      <c r="T1124" s="2"/>
    </row>
    <row r="1125" spans="13:20">
      <c r="M1125" s="2"/>
      <c r="O1125" s="2"/>
      <c r="R1125" s="2"/>
      <c r="T1125" s="2"/>
    </row>
    <row r="1126" spans="13:20">
      <c r="M1126" s="2"/>
      <c r="O1126" s="2"/>
      <c r="R1126" s="2"/>
      <c r="T1126" s="2"/>
    </row>
    <row r="1127" spans="13:20">
      <c r="M1127" s="2"/>
      <c r="O1127" s="2"/>
      <c r="R1127" s="2"/>
      <c r="T1127" s="2"/>
    </row>
    <row r="1128" spans="13:20">
      <c r="M1128" s="2"/>
      <c r="O1128" s="2"/>
      <c r="R1128" s="2"/>
      <c r="T1128" s="2"/>
    </row>
    <row r="1129" spans="13:20">
      <c r="M1129" s="2"/>
      <c r="O1129" s="2"/>
      <c r="R1129" s="2"/>
      <c r="T1129" s="2"/>
    </row>
    <row r="1130" spans="13:20">
      <c r="M1130" s="2"/>
      <c r="O1130" s="2"/>
      <c r="R1130" s="2"/>
      <c r="T1130" s="2"/>
    </row>
    <row r="1131" spans="13:20">
      <c r="M1131" s="2"/>
      <c r="O1131" s="2"/>
      <c r="R1131" s="2"/>
      <c r="T1131" s="2"/>
    </row>
    <row r="1132" spans="13:20">
      <c r="M1132" s="2"/>
      <c r="O1132" s="2"/>
      <c r="R1132" s="2"/>
      <c r="T1132" s="2"/>
    </row>
    <row r="1133" spans="13:20">
      <c r="M1133" s="2"/>
      <c r="O1133" s="2"/>
      <c r="R1133" s="2"/>
      <c r="T1133" s="2"/>
    </row>
    <row r="1134" spans="13:20">
      <c r="M1134" s="2"/>
      <c r="O1134" s="2"/>
      <c r="R1134" s="2"/>
      <c r="T1134" s="2"/>
    </row>
    <row r="1135" spans="13:20">
      <c r="M1135" s="2"/>
      <c r="O1135" s="2"/>
      <c r="R1135" s="2"/>
      <c r="T1135" s="2"/>
    </row>
    <row r="1136" spans="13:20">
      <c r="M1136" s="2"/>
      <c r="O1136" s="2"/>
      <c r="R1136" s="2"/>
      <c r="T1136" s="2"/>
    </row>
    <row r="1137" spans="13:20">
      <c r="M1137" s="2"/>
      <c r="O1137" s="2"/>
      <c r="R1137" s="2"/>
      <c r="T1137" s="2"/>
    </row>
    <row r="1138" spans="13:20">
      <c r="M1138" s="2"/>
      <c r="O1138" s="2"/>
      <c r="R1138" s="2"/>
      <c r="T1138" s="2"/>
    </row>
    <row r="1139" spans="13:20">
      <c r="M1139" s="2"/>
      <c r="O1139" s="2"/>
      <c r="R1139" s="2"/>
      <c r="T1139" s="2"/>
    </row>
    <row r="1140" spans="13:20">
      <c r="M1140" s="2"/>
      <c r="O1140" s="2"/>
      <c r="R1140" s="2"/>
      <c r="T1140" s="2"/>
    </row>
    <row r="1141" spans="13:20">
      <c r="M1141" s="2"/>
      <c r="O1141" s="2"/>
      <c r="R1141" s="2"/>
      <c r="T1141" s="2"/>
    </row>
    <row r="1142" spans="13:20">
      <c r="M1142" s="2"/>
      <c r="O1142" s="2"/>
      <c r="R1142" s="2"/>
      <c r="T1142" s="2"/>
    </row>
    <row r="1143" spans="13:20">
      <c r="M1143" s="2"/>
      <c r="O1143" s="2"/>
      <c r="R1143" s="2"/>
      <c r="T1143" s="2"/>
    </row>
    <row r="1144" spans="13:20">
      <c r="M1144" s="2"/>
      <c r="O1144" s="2"/>
      <c r="R1144" s="2"/>
      <c r="T1144" s="2"/>
    </row>
    <row r="1145" spans="13:20">
      <c r="M1145" s="2"/>
      <c r="O1145" s="2"/>
      <c r="R1145" s="2"/>
      <c r="T1145" s="2"/>
    </row>
    <row r="1146" spans="13:20">
      <c r="M1146" s="2"/>
      <c r="O1146" s="2"/>
      <c r="R1146" s="2"/>
      <c r="T1146" s="2"/>
    </row>
    <row r="1147" spans="13:20">
      <c r="M1147" s="2"/>
      <c r="O1147" s="2"/>
      <c r="R1147" s="2"/>
      <c r="T1147" s="2"/>
    </row>
    <row r="1148" spans="13:20">
      <c r="M1148" s="2"/>
      <c r="O1148" s="2"/>
      <c r="R1148" s="2"/>
      <c r="T1148" s="2"/>
    </row>
    <row r="1149" spans="13:20">
      <c r="M1149" s="2"/>
      <c r="O1149" s="2"/>
      <c r="R1149" s="2"/>
      <c r="T1149" s="2"/>
    </row>
    <row r="1150" spans="13:20">
      <c r="M1150" s="2"/>
      <c r="O1150" s="2"/>
      <c r="R1150" s="2"/>
      <c r="T1150" s="2"/>
    </row>
    <row r="1151" spans="13:20">
      <c r="M1151" s="2"/>
      <c r="O1151" s="2"/>
      <c r="R1151" s="2"/>
      <c r="T1151" s="2"/>
    </row>
    <row r="1152" spans="13:20">
      <c r="M1152" s="2"/>
      <c r="O1152" s="2"/>
      <c r="R1152" s="2"/>
      <c r="T1152" s="2"/>
    </row>
    <row r="1153" spans="13:20">
      <c r="M1153" s="2"/>
      <c r="O1153" s="2"/>
      <c r="R1153" s="2"/>
      <c r="T1153" s="2"/>
    </row>
    <row r="1154" spans="13:20">
      <c r="M1154" s="2"/>
      <c r="O1154" s="2"/>
      <c r="R1154" s="2"/>
      <c r="T1154" s="2"/>
    </row>
    <row r="1155" spans="13:20">
      <c r="M1155" s="2"/>
      <c r="O1155" s="2"/>
      <c r="R1155" s="2"/>
      <c r="T1155" s="2"/>
    </row>
    <row r="1156" spans="13:20">
      <c r="M1156" s="2"/>
      <c r="O1156" s="2"/>
      <c r="R1156" s="2"/>
      <c r="T1156" s="2"/>
    </row>
    <row r="1157" spans="13:20">
      <c r="M1157" s="2"/>
      <c r="O1157" s="2"/>
      <c r="R1157" s="2"/>
      <c r="T1157" s="2"/>
    </row>
    <row r="1158" spans="13:20">
      <c r="M1158" s="2"/>
      <c r="O1158" s="2"/>
      <c r="R1158" s="2"/>
      <c r="T1158" s="2"/>
    </row>
    <row r="1159" spans="13:20">
      <c r="M1159" s="2"/>
      <c r="O1159" s="2"/>
      <c r="R1159" s="2"/>
      <c r="T1159" s="2"/>
    </row>
    <row r="1160" spans="13:20">
      <c r="M1160" s="2"/>
      <c r="O1160" s="2"/>
      <c r="R1160" s="2"/>
      <c r="T1160" s="2"/>
    </row>
    <row r="1161" spans="13:20">
      <c r="M1161" s="2"/>
      <c r="O1161" s="2"/>
      <c r="R1161" s="2"/>
      <c r="T1161" s="2"/>
    </row>
    <row r="1162" spans="13:20">
      <c r="M1162" s="2"/>
      <c r="O1162" s="2"/>
      <c r="R1162" s="2"/>
      <c r="T1162" s="2"/>
    </row>
    <row r="1163" spans="13:20">
      <c r="M1163" s="2"/>
      <c r="O1163" s="2"/>
      <c r="R1163" s="2"/>
      <c r="T1163" s="2"/>
    </row>
    <row r="1164" spans="13:20">
      <c r="M1164" s="2"/>
      <c r="O1164" s="2"/>
      <c r="R1164" s="2"/>
      <c r="T1164" s="2"/>
    </row>
    <row r="1165" spans="13:20">
      <c r="M1165" s="2"/>
      <c r="O1165" s="2"/>
      <c r="R1165" s="2"/>
      <c r="T1165" s="2"/>
    </row>
    <row r="1166" spans="13:20">
      <c r="M1166" s="2"/>
      <c r="O1166" s="2"/>
      <c r="R1166" s="2"/>
      <c r="T1166" s="2"/>
    </row>
    <row r="1167" spans="13:20">
      <c r="M1167" s="2"/>
      <c r="O1167" s="2"/>
      <c r="R1167" s="2"/>
      <c r="T1167" s="2"/>
    </row>
    <row r="1168" spans="13:20">
      <c r="M1168" s="2"/>
      <c r="O1168" s="2"/>
      <c r="R1168" s="2"/>
      <c r="T1168" s="2"/>
    </row>
    <row r="1169" spans="13:20">
      <c r="M1169" s="2"/>
      <c r="O1169" s="2"/>
      <c r="R1169" s="2"/>
      <c r="T1169" s="2"/>
    </row>
    <row r="1170" spans="13:20">
      <c r="M1170" s="2"/>
      <c r="O1170" s="2"/>
      <c r="R1170" s="2"/>
      <c r="T1170" s="2"/>
    </row>
    <row r="1171" spans="13:20">
      <c r="M1171" s="2"/>
      <c r="O1171" s="2"/>
      <c r="R1171" s="2"/>
      <c r="T1171" s="2"/>
    </row>
    <row r="1172" spans="13:20">
      <c r="M1172" s="2"/>
      <c r="O1172" s="2"/>
      <c r="R1172" s="2"/>
      <c r="T1172" s="2"/>
    </row>
    <row r="1173" spans="13:20">
      <c r="M1173" s="2"/>
      <c r="O1173" s="2"/>
      <c r="R1173" s="2"/>
      <c r="T1173" s="2"/>
    </row>
    <row r="1174" spans="13:20">
      <c r="M1174" s="2"/>
      <c r="O1174" s="2"/>
      <c r="R1174" s="2"/>
      <c r="T1174" s="2"/>
    </row>
    <row r="1175" spans="13:20">
      <c r="M1175" s="2"/>
      <c r="O1175" s="2"/>
      <c r="R1175" s="2"/>
      <c r="T1175" s="2"/>
    </row>
    <row r="1176" spans="13:20">
      <c r="M1176" s="2"/>
      <c r="O1176" s="2"/>
      <c r="R1176" s="2"/>
      <c r="T1176" s="2"/>
    </row>
    <row r="1177" spans="13:20">
      <c r="M1177" s="2"/>
      <c r="O1177" s="2"/>
      <c r="R1177" s="2"/>
      <c r="T1177" s="2"/>
    </row>
    <row r="1178" spans="13:20">
      <c r="M1178" s="2"/>
      <c r="O1178" s="2"/>
      <c r="R1178" s="2"/>
      <c r="T1178" s="2"/>
    </row>
    <row r="1179" spans="13:20">
      <c r="M1179" s="2"/>
      <c r="O1179" s="2"/>
      <c r="R1179" s="2"/>
      <c r="T1179" s="2"/>
    </row>
    <row r="1180" spans="13:20">
      <c r="M1180" s="2"/>
      <c r="O1180" s="2"/>
      <c r="R1180" s="2"/>
      <c r="T1180" s="2"/>
    </row>
    <row r="1181" spans="13:20">
      <c r="M1181" s="2"/>
      <c r="O1181" s="2"/>
      <c r="R1181" s="2"/>
      <c r="T1181" s="2"/>
    </row>
    <row r="1182" spans="13:20">
      <c r="M1182" s="2"/>
      <c r="O1182" s="2"/>
      <c r="R1182" s="2"/>
      <c r="T1182" s="2"/>
    </row>
    <row r="1183" spans="13:20">
      <c r="M1183" s="2"/>
      <c r="O1183" s="2"/>
      <c r="R1183" s="2"/>
      <c r="T1183" s="2"/>
    </row>
    <row r="1184" spans="13:20">
      <c r="M1184" s="2"/>
      <c r="O1184" s="2"/>
      <c r="R1184" s="2"/>
      <c r="T1184" s="2"/>
    </row>
    <row r="1185" spans="13:20">
      <c r="M1185" s="2"/>
      <c r="O1185" s="2"/>
      <c r="R1185" s="2"/>
      <c r="T1185" s="2"/>
    </row>
    <row r="1186" spans="13:20">
      <c r="M1186" s="2"/>
      <c r="O1186" s="2"/>
      <c r="R1186" s="2"/>
      <c r="T1186" s="2"/>
    </row>
    <row r="1187" spans="13:20">
      <c r="M1187" s="2"/>
      <c r="O1187" s="2"/>
      <c r="R1187" s="2"/>
      <c r="T1187" s="2"/>
    </row>
    <row r="1188" spans="13:20">
      <c r="M1188" s="2"/>
      <c r="O1188" s="2"/>
      <c r="R1188" s="2"/>
      <c r="T1188" s="2"/>
    </row>
    <row r="1189" spans="13:20">
      <c r="M1189" s="2"/>
      <c r="O1189" s="2"/>
      <c r="R1189" s="2"/>
      <c r="T1189" s="2"/>
    </row>
    <row r="1190" spans="13:20">
      <c r="M1190" s="2"/>
      <c r="O1190" s="2"/>
      <c r="R1190" s="2"/>
      <c r="T1190" s="2"/>
    </row>
    <row r="1191" spans="13:20">
      <c r="M1191" s="2"/>
      <c r="O1191" s="2"/>
      <c r="R1191" s="2"/>
      <c r="T1191" s="2"/>
    </row>
    <row r="1192" spans="13:20">
      <c r="M1192" s="2"/>
      <c r="O1192" s="2"/>
      <c r="R1192" s="2"/>
      <c r="T1192" s="2"/>
    </row>
    <row r="1193" spans="13:20">
      <c r="M1193" s="2"/>
      <c r="O1193" s="2"/>
      <c r="R1193" s="2"/>
      <c r="T1193" s="2"/>
    </row>
    <row r="1194" spans="13:20">
      <c r="M1194" s="2"/>
      <c r="O1194" s="2"/>
      <c r="R1194" s="2"/>
      <c r="T1194" s="2"/>
    </row>
    <row r="1195" spans="13:20">
      <c r="M1195" s="2"/>
      <c r="O1195" s="2"/>
      <c r="R1195" s="2"/>
      <c r="T1195" s="2"/>
    </row>
    <row r="1196" spans="13:20">
      <c r="M1196" s="2"/>
      <c r="O1196" s="2"/>
      <c r="R1196" s="2"/>
      <c r="T1196" s="2"/>
    </row>
    <row r="1197" spans="13:20">
      <c r="M1197" s="2"/>
      <c r="O1197" s="2"/>
      <c r="R1197" s="2"/>
      <c r="T1197" s="2"/>
    </row>
    <row r="1198" spans="13:20">
      <c r="M1198" s="2"/>
      <c r="O1198" s="2"/>
      <c r="R1198" s="2"/>
      <c r="T1198" s="2"/>
    </row>
    <row r="1199" spans="13:20">
      <c r="M1199" s="2"/>
      <c r="O1199" s="2"/>
      <c r="R1199" s="2"/>
      <c r="T1199" s="2"/>
    </row>
    <row r="1200" spans="13:20">
      <c r="M1200" s="2"/>
      <c r="O1200" s="2"/>
      <c r="R1200" s="2"/>
      <c r="T1200" s="2"/>
    </row>
    <row r="1201" spans="13:20">
      <c r="M1201" s="2"/>
      <c r="O1201" s="2"/>
      <c r="R1201" s="2"/>
      <c r="T1201" s="2"/>
    </row>
    <row r="1202" spans="13:20">
      <c r="M1202" s="2"/>
      <c r="O1202" s="2"/>
      <c r="R1202" s="2"/>
      <c r="T1202" s="2"/>
    </row>
    <row r="1203" spans="13:20">
      <c r="M1203" s="2"/>
      <c r="O1203" s="2"/>
      <c r="R1203" s="2"/>
      <c r="T1203" s="2"/>
    </row>
    <row r="1204" spans="13:20">
      <c r="M1204" s="2"/>
      <c r="O1204" s="2"/>
      <c r="R1204" s="2"/>
      <c r="T1204" s="2"/>
    </row>
    <row r="1205" spans="13:20">
      <c r="M1205" s="2"/>
      <c r="O1205" s="2"/>
      <c r="R1205" s="2"/>
      <c r="T1205" s="2"/>
    </row>
    <row r="1206" spans="13:20">
      <c r="M1206" s="2"/>
      <c r="O1206" s="2"/>
      <c r="R1206" s="2"/>
      <c r="T1206" s="2"/>
    </row>
    <row r="1207" spans="13:20">
      <c r="M1207" s="2"/>
      <c r="O1207" s="2"/>
      <c r="R1207" s="2"/>
      <c r="T1207" s="2"/>
    </row>
    <row r="1208" spans="13:20">
      <c r="M1208" s="2"/>
      <c r="O1208" s="2"/>
      <c r="R1208" s="2"/>
      <c r="T1208" s="2"/>
    </row>
    <row r="1209" spans="13:20">
      <c r="M1209" s="2"/>
      <c r="O1209" s="2"/>
      <c r="R1209" s="2"/>
      <c r="T1209" s="2"/>
    </row>
    <row r="1210" spans="13:20">
      <c r="M1210" s="2"/>
      <c r="O1210" s="2"/>
      <c r="R1210" s="2"/>
      <c r="T1210" s="2"/>
    </row>
    <row r="1211" spans="13:20">
      <c r="M1211" s="2"/>
      <c r="O1211" s="2"/>
      <c r="R1211" s="2"/>
      <c r="T1211" s="2"/>
    </row>
    <row r="1212" spans="13:20">
      <c r="M1212" s="2"/>
      <c r="O1212" s="2"/>
      <c r="R1212" s="2"/>
      <c r="T1212" s="2"/>
    </row>
    <row r="1213" spans="13:20">
      <c r="M1213" s="2"/>
      <c r="O1213" s="2"/>
      <c r="R1213" s="2"/>
      <c r="T1213" s="2"/>
    </row>
    <row r="1214" spans="13:20">
      <c r="M1214" s="2"/>
      <c r="O1214" s="2"/>
      <c r="R1214" s="2"/>
      <c r="T1214" s="2"/>
    </row>
    <row r="1215" spans="13:20">
      <c r="M1215" s="2"/>
      <c r="O1215" s="2"/>
      <c r="R1215" s="2"/>
      <c r="T1215" s="2"/>
    </row>
    <row r="1216" spans="13:20">
      <c r="M1216" s="2"/>
      <c r="O1216" s="2"/>
      <c r="R1216" s="2"/>
      <c r="T1216" s="2"/>
    </row>
    <row r="1217" spans="13:20">
      <c r="M1217" s="2"/>
      <c r="O1217" s="2"/>
      <c r="R1217" s="2"/>
      <c r="T1217" s="2"/>
    </row>
    <row r="1218" spans="13:20">
      <c r="M1218" s="2"/>
      <c r="O1218" s="2"/>
      <c r="R1218" s="2"/>
      <c r="T1218" s="2"/>
    </row>
    <row r="1219" spans="13:20">
      <c r="M1219" s="2"/>
      <c r="O1219" s="2"/>
      <c r="R1219" s="2"/>
      <c r="T1219" s="2"/>
    </row>
    <row r="1220" spans="13:20">
      <c r="M1220" s="2"/>
      <c r="O1220" s="2"/>
      <c r="R1220" s="2"/>
      <c r="T1220" s="2"/>
    </row>
    <row r="1221" spans="13:20">
      <c r="M1221" s="2"/>
      <c r="O1221" s="2"/>
      <c r="R1221" s="2"/>
      <c r="T1221" s="2"/>
    </row>
    <row r="1222" spans="13:20">
      <c r="M1222" s="2"/>
      <c r="O1222" s="2"/>
      <c r="R1222" s="2"/>
      <c r="T1222" s="2"/>
    </row>
    <row r="1223" spans="13:20">
      <c r="M1223" s="2"/>
      <c r="O1223" s="2"/>
      <c r="R1223" s="2"/>
      <c r="T1223" s="2"/>
    </row>
    <row r="1224" spans="13:20">
      <c r="M1224" s="2"/>
      <c r="O1224" s="2"/>
      <c r="R1224" s="2"/>
      <c r="T1224" s="2"/>
    </row>
    <row r="1225" spans="13:20">
      <c r="M1225" s="2"/>
      <c r="O1225" s="2"/>
      <c r="R1225" s="2"/>
      <c r="T1225" s="2"/>
    </row>
    <row r="1226" spans="13:20">
      <c r="M1226" s="2"/>
      <c r="O1226" s="2"/>
      <c r="R1226" s="2"/>
      <c r="T1226" s="2"/>
    </row>
    <row r="1227" spans="13:20">
      <c r="M1227" s="2"/>
      <c r="O1227" s="2"/>
      <c r="R1227" s="2"/>
      <c r="T1227" s="2"/>
    </row>
    <row r="1228" spans="13:20">
      <c r="M1228" s="2"/>
      <c r="O1228" s="2"/>
      <c r="R1228" s="2"/>
      <c r="T1228" s="2"/>
    </row>
    <row r="1229" spans="13:20">
      <c r="M1229" s="2"/>
      <c r="O1229" s="2"/>
      <c r="R1229" s="2"/>
      <c r="T1229" s="2"/>
    </row>
    <row r="1230" spans="13:20">
      <c r="M1230" s="2"/>
      <c r="O1230" s="2"/>
      <c r="R1230" s="2"/>
      <c r="T1230" s="2"/>
    </row>
    <row r="1231" spans="13:20">
      <c r="M1231" s="2"/>
      <c r="O1231" s="2"/>
      <c r="R1231" s="2"/>
      <c r="T1231" s="2"/>
    </row>
    <row r="1232" spans="13:20">
      <c r="M1232" s="2"/>
      <c r="O1232" s="2"/>
      <c r="R1232" s="2"/>
      <c r="T1232" s="2"/>
    </row>
    <row r="1233" spans="13:20">
      <c r="M1233" s="2"/>
      <c r="O1233" s="2"/>
      <c r="R1233" s="2"/>
      <c r="T1233" s="2"/>
    </row>
    <row r="1234" spans="13:20">
      <c r="M1234" s="2"/>
      <c r="O1234" s="2"/>
      <c r="R1234" s="2"/>
      <c r="T1234" s="2"/>
    </row>
    <row r="1235" spans="13:20">
      <c r="M1235" s="2"/>
      <c r="O1235" s="2"/>
      <c r="R1235" s="2"/>
      <c r="T1235" s="2"/>
    </row>
    <row r="1236" spans="13:20">
      <c r="M1236" s="2"/>
      <c r="O1236" s="2"/>
      <c r="R1236" s="2"/>
      <c r="T1236" s="2"/>
    </row>
    <row r="1237" spans="13:20">
      <c r="M1237" s="2"/>
      <c r="O1237" s="2"/>
      <c r="R1237" s="2"/>
      <c r="T1237" s="2"/>
    </row>
    <row r="1238" spans="13:20">
      <c r="M1238" s="2"/>
      <c r="O1238" s="2"/>
      <c r="R1238" s="2"/>
      <c r="T1238" s="2"/>
    </row>
    <row r="1239" spans="13:20">
      <c r="M1239" s="2"/>
      <c r="O1239" s="2"/>
      <c r="R1239" s="2"/>
      <c r="T1239" s="2"/>
    </row>
    <row r="1240" spans="13:20">
      <c r="M1240" s="2"/>
      <c r="O1240" s="2"/>
      <c r="R1240" s="2"/>
      <c r="T1240" s="2"/>
    </row>
    <row r="1241" spans="13:20">
      <c r="M1241" s="2"/>
      <c r="O1241" s="2"/>
      <c r="R1241" s="2"/>
      <c r="T1241" s="2"/>
    </row>
    <row r="1242" spans="13:20">
      <c r="M1242" s="2"/>
      <c r="O1242" s="2"/>
      <c r="R1242" s="2"/>
      <c r="T1242" s="2"/>
    </row>
    <row r="1243" spans="13:20">
      <c r="M1243" s="2"/>
      <c r="O1243" s="2"/>
      <c r="R1243" s="2"/>
      <c r="T1243" s="2"/>
    </row>
    <row r="1244" spans="13:20">
      <c r="M1244" s="2"/>
      <c r="O1244" s="2"/>
      <c r="R1244" s="2"/>
      <c r="T1244" s="2"/>
    </row>
    <row r="1245" spans="13:20">
      <c r="M1245" s="2"/>
      <c r="O1245" s="2"/>
      <c r="R1245" s="2"/>
      <c r="T1245" s="2"/>
    </row>
    <row r="1246" spans="13:20">
      <c r="M1246" s="2"/>
      <c r="O1246" s="2"/>
      <c r="R1246" s="2"/>
      <c r="T1246" s="2"/>
    </row>
    <row r="1247" spans="13:20">
      <c r="M1247" s="2"/>
      <c r="O1247" s="2"/>
      <c r="R1247" s="2"/>
      <c r="T1247" s="2"/>
    </row>
    <row r="1248" spans="13:20">
      <c r="M1248" s="2"/>
      <c r="O1248" s="2"/>
      <c r="R1248" s="2"/>
      <c r="T1248" s="2"/>
    </row>
    <row r="1249" spans="13:20">
      <c r="M1249" s="2"/>
      <c r="O1249" s="2"/>
      <c r="R1249" s="2"/>
      <c r="T1249" s="2"/>
    </row>
    <row r="1250" spans="13:20">
      <c r="M1250" s="2"/>
      <c r="O1250" s="2"/>
      <c r="R1250" s="2"/>
      <c r="T1250" s="2"/>
    </row>
    <row r="1251" spans="13:20">
      <c r="M1251" s="2"/>
      <c r="O1251" s="2"/>
      <c r="R1251" s="2"/>
      <c r="T1251" s="2"/>
    </row>
    <row r="1252" spans="13:20">
      <c r="M1252" s="2"/>
      <c r="O1252" s="2"/>
      <c r="R1252" s="2"/>
      <c r="T1252" s="2"/>
    </row>
    <row r="1253" spans="13:20">
      <c r="M1253" s="2"/>
      <c r="O1253" s="2"/>
      <c r="R1253" s="2"/>
      <c r="T1253" s="2"/>
    </row>
    <row r="1254" spans="13:20">
      <c r="M1254" s="2"/>
      <c r="O1254" s="2"/>
      <c r="R1254" s="2"/>
      <c r="T1254" s="2"/>
    </row>
    <row r="1255" spans="13:20">
      <c r="M1255" s="2"/>
      <c r="O1255" s="2"/>
      <c r="R1255" s="2"/>
      <c r="T1255" s="2"/>
    </row>
    <row r="1256" spans="13:20">
      <c r="M1256" s="2"/>
      <c r="O1256" s="2"/>
      <c r="R1256" s="2"/>
      <c r="T1256" s="2"/>
    </row>
    <row r="1257" spans="13:20">
      <c r="M1257" s="2"/>
      <c r="O1257" s="2"/>
      <c r="R1257" s="2"/>
      <c r="T1257" s="2"/>
    </row>
    <row r="1258" spans="13:20">
      <c r="M1258" s="2"/>
      <c r="O1258" s="2"/>
      <c r="R1258" s="2"/>
      <c r="T1258" s="2"/>
    </row>
    <row r="1259" spans="13:20">
      <c r="M1259" s="2"/>
      <c r="O1259" s="2"/>
      <c r="R1259" s="2"/>
      <c r="T1259" s="2"/>
    </row>
    <row r="1260" spans="13:20">
      <c r="M1260" s="2"/>
      <c r="O1260" s="2"/>
      <c r="R1260" s="2"/>
      <c r="T1260" s="2"/>
    </row>
    <row r="1261" spans="13:20">
      <c r="M1261" s="2"/>
      <c r="O1261" s="2"/>
      <c r="R1261" s="2"/>
      <c r="T1261" s="2"/>
    </row>
    <row r="1262" spans="13:20">
      <c r="M1262" s="2"/>
      <c r="O1262" s="2"/>
      <c r="R1262" s="2"/>
      <c r="T1262" s="2"/>
    </row>
    <row r="1263" spans="13:20">
      <c r="M1263" s="2"/>
      <c r="O1263" s="2"/>
      <c r="R1263" s="2"/>
      <c r="T1263" s="2"/>
    </row>
    <row r="1264" spans="13:20">
      <c r="M1264" s="2"/>
      <c r="O1264" s="2"/>
      <c r="R1264" s="2"/>
      <c r="T1264" s="2"/>
    </row>
    <row r="1265" spans="13:20">
      <c r="M1265" s="2"/>
      <c r="O1265" s="2"/>
      <c r="R1265" s="2"/>
      <c r="T1265" s="2"/>
    </row>
    <row r="1266" spans="13:20">
      <c r="M1266" s="2"/>
      <c r="O1266" s="2"/>
      <c r="R1266" s="2"/>
      <c r="T1266" s="2"/>
    </row>
    <row r="1267" spans="13:20">
      <c r="M1267" s="2"/>
      <c r="O1267" s="2"/>
      <c r="R1267" s="2"/>
      <c r="T1267" s="2"/>
    </row>
    <row r="1268" spans="13:20">
      <c r="M1268" s="2"/>
      <c r="O1268" s="2"/>
      <c r="R1268" s="2"/>
      <c r="T1268" s="2"/>
    </row>
    <row r="1269" spans="13:20">
      <c r="M1269" s="2"/>
      <c r="O1269" s="2"/>
      <c r="R1269" s="2"/>
      <c r="T1269" s="2"/>
    </row>
    <row r="1270" spans="13:20">
      <c r="M1270" s="2"/>
      <c r="O1270" s="2"/>
      <c r="R1270" s="2"/>
      <c r="T1270" s="2"/>
    </row>
    <row r="1271" spans="13:20">
      <c r="M1271" s="2"/>
      <c r="O1271" s="2"/>
      <c r="R1271" s="2"/>
      <c r="T1271" s="2"/>
    </row>
    <row r="1272" spans="13:20">
      <c r="M1272" s="2"/>
      <c r="O1272" s="2"/>
      <c r="R1272" s="2"/>
      <c r="T1272" s="2"/>
    </row>
    <row r="1273" spans="13:20">
      <c r="M1273" s="2"/>
      <c r="O1273" s="2"/>
      <c r="R1273" s="2"/>
      <c r="T1273" s="2"/>
    </row>
    <row r="1274" spans="13:20">
      <c r="M1274" s="2"/>
      <c r="O1274" s="2"/>
      <c r="R1274" s="2"/>
      <c r="T1274" s="2"/>
    </row>
    <row r="1275" spans="13:20">
      <c r="M1275" s="2"/>
      <c r="O1275" s="2"/>
      <c r="R1275" s="2"/>
      <c r="T1275" s="2"/>
    </row>
    <row r="1276" spans="13:20">
      <c r="M1276" s="2"/>
      <c r="O1276" s="2"/>
      <c r="R1276" s="2"/>
      <c r="T1276" s="2"/>
    </row>
    <row r="1277" spans="13:20">
      <c r="M1277" s="2"/>
      <c r="O1277" s="2"/>
      <c r="R1277" s="2"/>
      <c r="T1277" s="2"/>
    </row>
    <row r="1278" spans="13:20">
      <c r="M1278" s="2"/>
      <c r="O1278" s="2"/>
      <c r="R1278" s="2"/>
      <c r="T1278" s="2"/>
    </row>
    <row r="1279" spans="13:20">
      <c r="M1279" s="2"/>
      <c r="O1279" s="2"/>
      <c r="R1279" s="2"/>
      <c r="T1279" s="2"/>
    </row>
    <row r="1280" spans="13:20">
      <c r="M1280" s="2"/>
      <c r="O1280" s="2"/>
      <c r="R1280" s="2"/>
      <c r="T1280" s="2"/>
    </row>
    <row r="1281" spans="13:20">
      <c r="M1281" s="2"/>
      <c r="O1281" s="2"/>
      <c r="R1281" s="2"/>
      <c r="T1281" s="2"/>
    </row>
    <row r="1282" spans="13:20">
      <c r="M1282" s="2"/>
      <c r="O1282" s="2"/>
      <c r="R1282" s="2"/>
      <c r="T1282" s="2"/>
    </row>
    <row r="1283" spans="13:20">
      <c r="M1283" s="2"/>
      <c r="O1283" s="2"/>
      <c r="R1283" s="2"/>
      <c r="T1283" s="2"/>
    </row>
    <row r="1284" spans="13:20">
      <c r="M1284" s="2"/>
      <c r="O1284" s="2"/>
      <c r="R1284" s="2"/>
      <c r="T1284" s="2"/>
    </row>
    <row r="1285" spans="13:20">
      <c r="M1285" s="2"/>
      <c r="O1285" s="2"/>
      <c r="R1285" s="2"/>
      <c r="T1285" s="2"/>
    </row>
    <row r="1286" spans="13:20">
      <c r="M1286" s="2"/>
      <c r="O1286" s="2"/>
      <c r="R1286" s="2"/>
      <c r="T1286" s="2"/>
    </row>
    <row r="1287" spans="13:20">
      <c r="M1287" s="2"/>
      <c r="O1287" s="2"/>
      <c r="R1287" s="2"/>
      <c r="T1287" s="2"/>
    </row>
    <row r="1288" spans="13:20">
      <c r="M1288" s="2"/>
      <c r="O1288" s="2"/>
      <c r="R1288" s="2"/>
      <c r="T1288" s="2"/>
    </row>
    <row r="1289" spans="13:20">
      <c r="M1289" s="2"/>
      <c r="O1289" s="2"/>
      <c r="R1289" s="2"/>
      <c r="T1289" s="2"/>
    </row>
    <row r="1290" spans="13:20">
      <c r="M1290" s="2"/>
      <c r="O1290" s="2"/>
      <c r="R1290" s="2"/>
      <c r="T1290" s="2"/>
    </row>
    <row r="1291" spans="13:20">
      <c r="M1291" s="2"/>
      <c r="O1291" s="2"/>
      <c r="R1291" s="2"/>
      <c r="T1291" s="2"/>
    </row>
    <row r="1292" spans="13:20">
      <c r="M1292" s="2"/>
      <c r="O1292" s="2"/>
      <c r="R1292" s="2"/>
      <c r="T1292" s="2"/>
    </row>
    <row r="1293" spans="13:20">
      <c r="M1293" s="2"/>
      <c r="O1293" s="2"/>
      <c r="R1293" s="2"/>
      <c r="T1293" s="2"/>
    </row>
    <row r="1294" spans="13:20">
      <c r="M1294" s="2"/>
      <c r="O1294" s="2"/>
      <c r="R1294" s="2"/>
      <c r="T1294" s="2"/>
    </row>
    <row r="1295" spans="13:20">
      <c r="M1295" s="2"/>
      <c r="O1295" s="2"/>
      <c r="R1295" s="2"/>
      <c r="T1295" s="2"/>
    </row>
    <row r="1296" spans="13:20">
      <c r="M1296" s="2"/>
      <c r="O1296" s="2"/>
      <c r="R1296" s="2"/>
      <c r="T1296" s="2"/>
    </row>
    <row r="1297" spans="13:20">
      <c r="M1297" s="2"/>
      <c r="O1297" s="2"/>
      <c r="R1297" s="2"/>
      <c r="T1297" s="2"/>
    </row>
    <row r="1298" spans="13:20">
      <c r="M1298" s="2"/>
      <c r="O1298" s="2"/>
      <c r="R1298" s="2"/>
      <c r="T1298" s="2"/>
    </row>
    <row r="1299" spans="13:20">
      <c r="M1299" s="2"/>
      <c r="O1299" s="2"/>
      <c r="R1299" s="2"/>
      <c r="T1299" s="2"/>
    </row>
    <row r="1300" spans="13:20">
      <c r="M1300" s="2"/>
      <c r="O1300" s="2"/>
      <c r="R1300" s="2"/>
      <c r="T1300" s="2"/>
    </row>
    <row r="1301" spans="13:20">
      <c r="M1301" s="2"/>
      <c r="O1301" s="2"/>
      <c r="R1301" s="2"/>
      <c r="T1301" s="2"/>
    </row>
    <row r="1302" spans="13:20">
      <c r="M1302" s="2"/>
      <c r="O1302" s="2"/>
      <c r="R1302" s="2"/>
      <c r="T1302" s="2"/>
    </row>
    <row r="1303" spans="13:20">
      <c r="M1303" s="2"/>
      <c r="O1303" s="2"/>
      <c r="R1303" s="2"/>
      <c r="T1303" s="2"/>
    </row>
    <row r="1304" spans="13:20">
      <c r="M1304" s="2"/>
      <c r="O1304" s="2"/>
      <c r="R1304" s="2"/>
      <c r="T1304" s="2"/>
    </row>
    <row r="1305" spans="13:20">
      <c r="M1305" s="2"/>
      <c r="O1305" s="2"/>
      <c r="R1305" s="2"/>
      <c r="T1305" s="2"/>
    </row>
    <row r="1306" spans="13:20">
      <c r="M1306" s="2"/>
      <c r="O1306" s="2"/>
      <c r="R1306" s="2"/>
      <c r="T1306" s="2"/>
    </row>
    <row r="1307" spans="13:20">
      <c r="M1307" s="2"/>
      <c r="O1307" s="2"/>
      <c r="R1307" s="2"/>
      <c r="T1307" s="2"/>
    </row>
    <row r="1308" spans="13:20">
      <c r="M1308" s="2"/>
      <c r="O1308" s="2"/>
      <c r="R1308" s="2"/>
      <c r="T1308" s="2"/>
    </row>
    <row r="1309" spans="13:20">
      <c r="M1309" s="2"/>
      <c r="O1309" s="2"/>
      <c r="R1309" s="2"/>
      <c r="T1309" s="2"/>
    </row>
    <row r="1310" spans="13:20">
      <c r="M1310" s="2"/>
      <c r="O1310" s="2"/>
      <c r="R1310" s="2"/>
      <c r="T1310" s="2"/>
    </row>
    <row r="1311" spans="13:20">
      <c r="M1311" s="2"/>
      <c r="O1311" s="2"/>
      <c r="R1311" s="2"/>
      <c r="T1311" s="2"/>
    </row>
    <row r="1312" spans="13:20">
      <c r="M1312" s="2"/>
      <c r="O1312" s="2"/>
      <c r="R1312" s="2"/>
      <c r="T1312" s="2"/>
    </row>
    <row r="1313" spans="13:20">
      <c r="M1313" s="2"/>
      <c r="O1313" s="2"/>
      <c r="R1313" s="2"/>
      <c r="T1313" s="2"/>
    </row>
    <row r="1314" spans="13:20">
      <c r="M1314" s="2"/>
      <c r="O1314" s="2"/>
      <c r="R1314" s="2"/>
      <c r="T1314" s="2"/>
    </row>
    <row r="1315" spans="13:20">
      <c r="M1315" s="2"/>
      <c r="O1315" s="2"/>
      <c r="R1315" s="2"/>
      <c r="T1315" s="2"/>
    </row>
    <row r="1316" spans="13:20">
      <c r="M1316" s="2"/>
      <c r="O1316" s="2"/>
      <c r="R1316" s="2"/>
      <c r="T1316" s="2"/>
    </row>
    <row r="1317" spans="13:20">
      <c r="M1317" s="2"/>
      <c r="O1317" s="2"/>
      <c r="R1317" s="2"/>
      <c r="T1317" s="2"/>
    </row>
    <row r="1318" spans="13:20">
      <c r="M1318" s="2"/>
      <c r="O1318" s="2"/>
      <c r="R1318" s="2"/>
      <c r="T1318" s="2"/>
    </row>
    <row r="1319" spans="13:20">
      <c r="M1319" s="2"/>
      <c r="O1319" s="2"/>
      <c r="R1319" s="2"/>
      <c r="T1319" s="2"/>
    </row>
    <row r="1320" spans="13:20">
      <c r="M1320" s="2"/>
      <c r="O1320" s="2"/>
      <c r="R1320" s="2"/>
      <c r="T1320" s="2"/>
    </row>
    <row r="1321" spans="13:20">
      <c r="M1321" s="2"/>
      <c r="O1321" s="2"/>
      <c r="R1321" s="2"/>
      <c r="T1321" s="2"/>
    </row>
    <row r="1322" spans="13:20">
      <c r="M1322" s="2"/>
      <c r="O1322" s="2"/>
      <c r="R1322" s="2"/>
      <c r="T1322" s="2"/>
    </row>
    <row r="1323" spans="13:20">
      <c r="M1323" s="2"/>
      <c r="O1323" s="2"/>
      <c r="R1323" s="2"/>
      <c r="T1323" s="2"/>
    </row>
    <row r="1324" spans="13:20">
      <c r="M1324" s="2"/>
      <c r="O1324" s="2"/>
      <c r="R1324" s="2"/>
      <c r="T1324" s="2"/>
    </row>
    <row r="1325" spans="13:20">
      <c r="M1325" s="2"/>
      <c r="O1325" s="2"/>
      <c r="R1325" s="2"/>
      <c r="T1325" s="2"/>
    </row>
    <row r="1326" spans="13:20">
      <c r="M1326" s="2"/>
      <c r="O1326" s="2"/>
      <c r="R1326" s="2"/>
      <c r="T1326" s="2"/>
    </row>
    <row r="1327" spans="13:20">
      <c r="M1327" s="2"/>
      <c r="O1327" s="2"/>
      <c r="R1327" s="2"/>
      <c r="T1327" s="2"/>
    </row>
    <row r="1328" spans="13:20">
      <c r="M1328" s="2"/>
      <c r="O1328" s="2"/>
      <c r="R1328" s="2"/>
      <c r="T1328" s="2"/>
    </row>
    <row r="1329" spans="13:20">
      <c r="M1329" s="2"/>
      <c r="O1329" s="2"/>
      <c r="R1329" s="2"/>
      <c r="T1329" s="2"/>
    </row>
    <row r="1330" spans="13:20">
      <c r="M1330" s="2"/>
      <c r="O1330" s="2"/>
      <c r="R1330" s="2"/>
      <c r="T1330" s="2"/>
    </row>
    <row r="1331" spans="13:20">
      <c r="M1331" s="2"/>
      <c r="O1331" s="2"/>
      <c r="R1331" s="2"/>
      <c r="T1331" s="2"/>
    </row>
    <row r="1332" spans="13:20">
      <c r="M1332" s="2"/>
      <c r="O1332" s="2"/>
      <c r="R1332" s="2"/>
      <c r="T1332" s="2"/>
    </row>
    <row r="1333" spans="13:20">
      <c r="M1333" s="2"/>
      <c r="O1333" s="2"/>
      <c r="R1333" s="2"/>
      <c r="T1333" s="2"/>
    </row>
    <row r="1334" spans="13:20">
      <c r="M1334" s="2"/>
      <c r="O1334" s="2"/>
      <c r="R1334" s="2"/>
      <c r="T1334" s="2"/>
    </row>
    <row r="1335" spans="13:20">
      <c r="M1335" s="2"/>
      <c r="O1335" s="2"/>
      <c r="R1335" s="2"/>
      <c r="T1335" s="2"/>
    </row>
    <row r="1336" spans="13:20">
      <c r="M1336" s="2"/>
      <c r="O1336" s="2"/>
      <c r="R1336" s="2"/>
      <c r="T1336" s="2"/>
    </row>
    <row r="1337" spans="13:20">
      <c r="M1337" s="2"/>
      <c r="O1337" s="2"/>
      <c r="R1337" s="2"/>
      <c r="T1337" s="2"/>
    </row>
    <row r="1338" spans="13:20">
      <c r="M1338" s="2"/>
      <c r="O1338" s="2"/>
      <c r="R1338" s="2"/>
      <c r="T1338" s="2"/>
    </row>
    <row r="1339" spans="13:20">
      <c r="M1339" s="2"/>
      <c r="O1339" s="2"/>
      <c r="R1339" s="2"/>
      <c r="T1339" s="2"/>
    </row>
    <row r="1340" spans="13:20">
      <c r="M1340" s="2"/>
      <c r="O1340" s="2"/>
      <c r="R1340" s="2"/>
      <c r="T1340" s="2"/>
    </row>
    <row r="1341" spans="13:20">
      <c r="M1341" s="2"/>
      <c r="O1341" s="2"/>
      <c r="R1341" s="2"/>
      <c r="T1341" s="2"/>
    </row>
    <row r="1342" spans="13:20">
      <c r="M1342" s="2"/>
      <c r="O1342" s="2"/>
      <c r="R1342" s="2"/>
      <c r="T1342" s="2"/>
    </row>
    <row r="1343" spans="13:20">
      <c r="M1343" s="2"/>
      <c r="O1343" s="2"/>
      <c r="R1343" s="2"/>
      <c r="T1343" s="2"/>
    </row>
    <row r="1344" spans="13:20">
      <c r="M1344" s="2"/>
      <c r="O1344" s="2"/>
      <c r="R1344" s="2"/>
      <c r="T1344" s="2"/>
    </row>
    <row r="1345" spans="13:20">
      <c r="M1345" s="2"/>
      <c r="O1345" s="2"/>
      <c r="R1345" s="2"/>
      <c r="T1345" s="2"/>
    </row>
    <row r="1346" spans="13:20">
      <c r="M1346" s="2"/>
      <c r="O1346" s="2"/>
      <c r="R1346" s="2"/>
      <c r="T1346" s="2"/>
    </row>
    <row r="1347" spans="13:20">
      <c r="M1347" s="2"/>
      <c r="O1347" s="2"/>
      <c r="R1347" s="2"/>
      <c r="T1347" s="2"/>
    </row>
    <row r="1348" spans="13:20">
      <c r="M1348" s="2"/>
      <c r="O1348" s="2"/>
      <c r="R1348" s="2"/>
      <c r="T1348" s="2"/>
    </row>
    <row r="1349" spans="13:20">
      <c r="M1349" s="2"/>
      <c r="O1349" s="2"/>
      <c r="R1349" s="2"/>
      <c r="T1349" s="2"/>
    </row>
    <row r="1350" spans="13:20">
      <c r="M1350" s="2"/>
      <c r="O1350" s="2"/>
      <c r="R1350" s="2"/>
      <c r="T1350" s="2"/>
    </row>
    <row r="1351" spans="13:20">
      <c r="M1351" s="2"/>
      <c r="O1351" s="2"/>
      <c r="R1351" s="2"/>
      <c r="T1351" s="2"/>
    </row>
    <row r="1352" spans="13:20">
      <c r="M1352" s="2"/>
      <c r="O1352" s="2"/>
      <c r="R1352" s="2"/>
      <c r="T1352" s="2"/>
    </row>
    <row r="1353" spans="13:20">
      <c r="M1353" s="2"/>
      <c r="O1353" s="2"/>
      <c r="R1353" s="2"/>
      <c r="T1353" s="2"/>
    </row>
    <row r="1354" spans="13:20">
      <c r="M1354" s="2"/>
      <c r="O1354" s="2"/>
      <c r="R1354" s="2"/>
      <c r="T1354" s="2"/>
    </row>
    <row r="1355" spans="13:20">
      <c r="M1355" s="2"/>
      <c r="O1355" s="2"/>
      <c r="R1355" s="2"/>
      <c r="T1355" s="2"/>
    </row>
    <row r="1356" spans="13:20">
      <c r="M1356" s="2"/>
      <c r="O1356" s="2"/>
      <c r="R1356" s="2"/>
      <c r="T1356" s="2"/>
    </row>
    <row r="1357" spans="13:20">
      <c r="M1357" s="2"/>
      <c r="O1357" s="2"/>
      <c r="R1357" s="2"/>
      <c r="T1357" s="2"/>
    </row>
    <row r="1358" spans="13:20">
      <c r="M1358" s="2"/>
      <c r="O1358" s="2"/>
      <c r="R1358" s="2"/>
      <c r="T1358" s="2"/>
    </row>
    <row r="1359" spans="13:20">
      <c r="M1359" s="2"/>
      <c r="O1359" s="2"/>
      <c r="R1359" s="2"/>
      <c r="T1359" s="2"/>
    </row>
    <row r="1360" spans="13:20">
      <c r="M1360" s="2"/>
      <c r="O1360" s="2"/>
      <c r="R1360" s="2"/>
      <c r="T1360" s="2"/>
    </row>
    <row r="1361" spans="13:20">
      <c r="M1361" s="2"/>
      <c r="O1361" s="2"/>
      <c r="R1361" s="2"/>
      <c r="T1361" s="2"/>
    </row>
    <row r="1362" spans="13:20">
      <c r="M1362" s="2"/>
      <c r="O1362" s="2"/>
      <c r="R1362" s="2"/>
      <c r="T1362" s="2"/>
    </row>
    <row r="1363" spans="13:20">
      <c r="M1363" s="2"/>
      <c r="O1363" s="2"/>
      <c r="R1363" s="2"/>
      <c r="T1363" s="2"/>
    </row>
    <row r="1364" spans="13:20">
      <c r="M1364" s="2"/>
      <c r="O1364" s="2"/>
      <c r="R1364" s="2"/>
      <c r="T1364" s="2"/>
    </row>
    <row r="1365" spans="13:20">
      <c r="M1365" s="2"/>
      <c r="O1365" s="2"/>
      <c r="R1365" s="2"/>
      <c r="T1365" s="2"/>
    </row>
    <row r="1366" spans="13:20">
      <c r="M1366" s="2"/>
      <c r="O1366" s="2"/>
      <c r="R1366" s="2"/>
      <c r="T1366" s="2"/>
    </row>
    <row r="1367" spans="13:20">
      <c r="M1367" s="2"/>
      <c r="O1367" s="2"/>
      <c r="R1367" s="2"/>
      <c r="T1367" s="2"/>
    </row>
    <row r="1368" spans="13:20">
      <c r="M1368" s="2"/>
      <c r="O1368" s="2"/>
      <c r="R1368" s="2"/>
      <c r="T1368" s="2"/>
    </row>
    <row r="1369" spans="13:20">
      <c r="M1369" s="2"/>
      <c r="O1369" s="2"/>
      <c r="R1369" s="2"/>
      <c r="T1369" s="2"/>
    </row>
    <row r="1370" spans="13:20">
      <c r="M1370" s="2"/>
      <c r="O1370" s="2"/>
      <c r="R1370" s="2"/>
      <c r="T1370" s="2"/>
    </row>
    <row r="1371" spans="13:20">
      <c r="M1371" s="2"/>
      <c r="O1371" s="2"/>
      <c r="R1371" s="2"/>
      <c r="T1371" s="2"/>
    </row>
    <row r="1372" spans="13:20">
      <c r="M1372" s="2"/>
      <c r="O1372" s="2"/>
      <c r="R1372" s="2"/>
      <c r="T1372" s="2"/>
    </row>
    <row r="1373" spans="13:20">
      <c r="M1373" s="2"/>
      <c r="O1373" s="2"/>
      <c r="R1373" s="2"/>
      <c r="T1373" s="2"/>
    </row>
    <row r="1374" spans="13:20">
      <c r="M1374" s="2"/>
      <c r="O1374" s="2"/>
      <c r="R1374" s="2"/>
      <c r="T1374" s="2"/>
    </row>
    <row r="1375" spans="13:20">
      <c r="M1375" s="2"/>
      <c r="O1375" s="2"/>
      <c r="R1375" s="2"/>
      <c r="T1375" s="2"/>
    </row>
    <row r="1376" spans="13:20">
      <c r="M1376" s="2"/>
      <c r="O1376" s="2"/>
      <c r="R1376" s="2"/>
      <c r="T1376" s="2"/>
    </row>
    <row r="1377" spans="13:20">
      <c r="M1377" s="2"/>
      <c r="O1377" s="2"/>
      <c r="R1377" s="2"/>
      <c r="T1377" s="2"/>
    </row>
    <row r="1378" spans="13:20">
      <c r="M1378" s="2"/>
      <c r="O1378" s="2"/>
      <c r="R1378" s="2"/>
      <c r="T1378" s="2"/>
    </row>
    <row r="1379" spans="13:20">
      <c r="M1379" s="2"/>
      <c r="O1379" s="2"/>
      <c r="R1379" s="2"/>
      <c r="T1379" s="2"/>
    </row>
    <row r="1380" spans="13:20">
      <c r="M1380" s="2"/>
      <c r="O1380" s="2"/>
      <c r="R1380" s="2"/>
      <c r="T1380" s="2"/>
    </row>
    <row r="1381" spans="13:20">
      <c r="M1381" s="2"/>
      <c r="O1381" s="2"/>
      <c r="R1381" s="2"/>
      <c r="T1381" s="2"/>
    </row>
    <row r="1382" spans="13:20">
      <c r="M1382" s="2"/>
      <c r="O1382" s="2"/>
      <c r="R1382" s="2"/>
      <c r="T1382" s="2"/>
    </row>
    <row r="1383" spans="13:20">
      <c r="M1383" s="2"/>
      <c r="O1383" s="2"/>
      <c r="R1383" s="2"/>
      <c r="T1383" s="2"/>
    </row>
    <row r="1384" spans="13:20">
      <c r="M1384" s="2"/>
      <c r="O1384" s="2"/>
      <c r="R1384" s="2"/>
      <c r="T1384" s="2"/>
    </row>
    <row r="1385" spans="13:20">
      <c r="M1385" s="2"/>
      <c r="O1385" s="2"/>
      <c r="R1385" s="2"/>
      <c r="T1385" s="2"/>
    </row>
    <row r="1386" spans="13:20">
      <c r="M1386" s="2"/>
      <c r="O1386" s="2"/>
      <c r="R1386" s="2"/>
      <c r="T1386" s="2"/>
    </row>
    <row r="1387" spans="13:20">
      <c r="M1387" s="2"/>
      <c r="O1387" s="2"/>
      <c r="R1387" s="2"/>
      <c r="T1387" s="2"/>
    </row>
    <row r="1388" spans="13:20">
      <c r="M1388" s="2"/>
      <c r="O1388" s="2"/>
      <c r="R1388" s="2"/>
      <c r="T1388" s="2"/>
    </row>
    <row r="1389" spans="13:20">
      <c r="M1389" s="2"/>
      <c r="O1389" s="2"/>
      <c r="R1389" s="2"/>
      <c r="T1389" s="2"/>
    </row>
    <row r="1390" spans="13:20">
      <c r="M1390" s="2"/>
      <c r="O1390" s="2"/>
      <c r="R1390" s="2"/>
      <c r="T1390" s="2"/>
    </row>
    <row r="1391" spans="13:20">
      <c r="M1391" s="2"/>
      <c r="O1391" s="2"/>
      <c r="R1391" s="2"/>
      <c r="T1391" s="2"/>
    </row>
    <row r="1392" spans="13:20">
      <c r="M1392" s="2"/>
      <c r="O1392" s="2"/>
      <c r="R1392" s="2"/>
      <c r="T1392" s="2"/>
    </row>
    <row r="1393" spans="13:20">
      <c r="M1393" s="2"/>
      <c r="O1393" s="2"/>
      <c r="R1393" s="2"/>
      <c r="T1393" s="2"/>
    </row>
    <row r="1394" spans="13:20">
      <c r="M1394" s="2"/>
      <c r="O1394" s="2"/>
      <c r="R1394" s="2"/>
      <c r="T1394" s="2"/>
    </row>
    <row r="1395" spans="13:20">
      <c r="M1395" s="2"/>
      <c r="O1395" s="2"/>
      <c r="R1395" s="2"/>
      <c r="T1395" s="2"/>
    </row>
    <row r="1396" spans="13:20">
      <c r="M1396" s="2"/>
      <c r="O1396" s="2"/>
      <c r="R1396" s="2"/>
      <c r="T1396" s="2"/>
    </row>
    <row r="1397" spans="13:20">
      <c r="M1397" s="2"/>
      <c r="O1397" s="2"/>
      <c r="R1397" s="2"/>
      <c r="T1397" s="2"/>
    </row>
    <row r="1398" spans="13:20">
      <c r="M1398" s="2"/>
      <c r="O1398" s="2"/>
      <c r="R1398" s="2"/>
      <c r="T1398" s="2"/>
    </row>
    <row r="1399" spans="13:20">
      <c r="M1399" s="2"/>
      <c r="O1399" s="2"/>
      <c r="R1399" s="2"/>
      <c r="T1399" s="2"/>
    </row>
    <row r="1400" spans="13:20">
      <c r="M1400" s="2"/>
      <c r="O1400" s="2"/>
      <c r="R1400" s="2"/>
      <c r="T1400" s="2"/>
    </row>
    <row r="1401" spans="13:20">
      <c r="M1401" s="2"/>
      <c r="O1401" s="2"/>
      <c r="R1401" s="2"/>
      <c r="T1401" s="2"/>
    </row>
    <row r="1402" spans="13:20">
      <c r="M1402" s="2"/>
      <c r="O1402" s="2"/>
      <c r="R1402" s="2"/>
      <c r="T1402" s="2"/>
    </row>
    <row r="1403" spans="13:20">
      <c r="M1403" s="2"/>
      <c r="O1403" s="2"/>
      <c r="R1403" s="2"/>
      <c r="T1403" s="2"/>
    </row>
    <row r="1404" spans="13:20">
      <c r="M1404" s="2"/>
      <c r="O1404" s="2"/>
      <c r="R1404" s="2"/>
      <c r="T1404" s="2"/>
    </row>
    <row r="1405" spans="13:20">
      <c r="M1405" s="2"/>
      <c r="O1405" s="2"/>
      <c r="R1405" s="2"/>
      <c r="T1405" s="2"/>
    </row>
    <row r="1406" spans="13:20">
      <c r="M1406" s="2"/>
      <c r="O1406" s="2"/>
      <c r="R1406" s="2"/>
      <c r="T1406" s="2"/>
    </row>
    <row r="1407" spans="13:20">
      <c r="M1407" s="2"/>
      <c r="O1407" s="2"/>
      <c r="R1407" s="2"/>
      <c r="T1407" s="2"/>
    </row>
    <row r="1408" spans="13:20">
      <c r="M1408" s="2"/>
      <c r="O1408" s="2"/>
      <c r="R1408" s="2"/>
      <c r="T1408" s="2"/>
    </row>
    <row r="1409" spans="13:20">
      <c r="M1409" s="2"/>
      <c r="O1409" s="2"/>
      <c r="R1409" s="2"/>
      <c r="T1409" s="2"/>
    </row>
    <row r="1410" spans="13:20">
      <c r="M1410" s="2"/>
      <c r="O1410" s="2"/>
      <c r="R1410" s="2"/>
      <c r="T1410" s="2"/>
    </row>
    <row r="1411" spans="13:20">
      <c r="M1411" s="2"/>
      <c r="O1411" s="2"/>
      <c r="R1411" s="2"/>
      <c r="T1411" s="2"/>
    </row>
    <row r="1412" spans="13:20">
      <c r="M1412" s="2"/>
      <c r="O1412" s="2"/>
      <c r="R1412" s="2"/>
      <c r="T1412" s="2"/>
    </row>
    <row r="1413" spans="13:20">
      <c r="M1413" s="2"/>
      <c r="O1413" s="2"/>
      <c r="R1413" s="2"/>
      <c r="T1413" s="2"/>
    </row>
    <row r="1414" spans="13:20">
      <c r="M1414" s="2"/>
      <c r="O1414" s="2"/>
      <c r="R1414" s="2"/>
      <c r="T1414" s="2"/>
    </row>
    <row r="1415" spans="13:20">
      <c r="M1415" s="2"/>
      <c r="O1415" s="2"/>
      <c r="R1415" s="2"/>
      <c r="T1415" s="2"/>
    </row>
    <row r="1416" spans="13:20">
      <c r="M1416" s="2"/>
      <c r="O1416" s="2"/>
      <c r="R1416" s="2"/>
      <c r="T1416" s="2"/>
    </row>
    <row r="1417" spans="13:20">
      <c r="M1417" s="2"/>
      <c r="O1417" s="2"/>
      <c r="R1417" s="2"/>
      <c r="T1417" s="2"/>
    </row>
    <row r="1418" spans="13:20">
      <c r="M1418" s="2"/>
      <c r="O1418" s="2"/>
      <c r="R1418" s="2"/>
      <c r="T1418" s="2"/>
    </row>
    <row r="1419" spans="13:20">
      <c r="M1419" s="2"/>
      <c r="O1419" s="2"/>
      <c r="R1419" s="2"/>
      <c r="T1419" s="2"/>
    </row>
    <row r="1420" spans="13:20">
      <c r="M1420" s="2"/>
      <c r="O1420" s="2"/>
      <c r="R1420" s="2"/>
      <c r="T1420" s="2"/>
    </row>
    <row r="1421" spans="13:20">
      <c r="M1421" s="2"/>
      <c r="O1421" s="2"/>
      <c r="R1421" s="2"/>
      <c r="T1421" s="2"/>
    </row>
    <row r="1422" spans="13:20">
      <c r="M1422" s="2"/>
      <c r="O1422" s="2"/>
      <c r="R1422" s="2"/>
      <c r="T1422" s="2"/>
    </row>
    <row r="1423" spans="13:20">
      <c r="M1423" s="2"/>
      <c r="O1423" s="2"/>
      <c r="R1423" s="2"/>
      <c r="T1423" s="2"/>
    </row>
    <row r="1424" spans="13:20">
      <c r="M1424" s="2"/>
      <c r="O1424" s="2"/>
      <c r="R1424" s="2"/>
      <c r="T1424" s="2"/>
    </row>
    <row r="1425" spans="13:20">
      <c r="M1425" s="2"/>
      <c r="O1425" s="2"/>
      <c r="R1425" s="2"/>
      <c r="T1425" s="2"/>
    </row>
    <row r="1426" spans="13:20">
      <c r="M1426" s="2"/>
      <c r="O1426" s="2"/>
      <c r="R1426" s="2"/>
      <c r="T1426" s="2"/>
    </row>
    <row r="1427" spans="13:20">
      <c r="M1427" s="2"/>
      <c r="O1427" s="2"/>
      <c r="R1427" s="2"/>
      <c r="T1427" s="2"/>
    </row>
    <row r="1428" spans="13:20">
      <c r="M1428" s="2"/>
      <c r="O1428" s="2"/>
      <c r="R1428" s="2"/>
      <c r="T1428" s="2"/>
    </row>
    <row r="1429" spans="13:20">
      <c r="M1429" s="2"/>
      <c r="O1429" s="2"/>
      <c r="R1429" s="2"/>
      <c r="T1429" s="2"/>
    </row>
    <row r="1430" spans="13:20">
      <c r="M1430" s="2"/>
      <c r="O1430" s="2"/>
      <c r="R1430" s="2"/>
      <c r="T1430" s="2"/>
    </row>
    <row r="1431" spans="13:20">
      <c r="M1431" s="2"/>
      <c r="O1431" s="2"/>
      <c r="R1431" s="2"/>
      <c r="T1431" s="2"/>
    </row>
    <row r="1432" spans="13:20">
      <c r="M1432" s="2"/>
      <c r="O1432" s="2"/>
      <c r="R1432" s="2"/>
      <c r="T1432" s="2"/>
    </row>
    <row r="1433" spans="13:20">
      <c r="M1433" s="2"/>
      <c r="O1433" s="2"/>
      <c r="R1433" s="2"/>
      <c r="T1433" s="2"/>
    </row>
    <row r="1434" spans="13:20">
      <c r="M1434" s="2"/>
      <c r="O1434" s="2"/>
      <c r="R1434" s="2"/>
      <c r="T1434" s="2"/>
    </row>
    <row r="1435" spans="13:20">
      <c r="M1435" s="2"/>
      <c r="O1435" s="2"/>
      <c r="R1435" s="2"/>
      <c r="T1435" s="2"/>
    </row>
    <row r="1436" spans="13:20">
      <c r="M1436" s="2"/>
      <c r="O1436" s="2"/>
      <c r="R1436" s="2"/>
      <c r="T1436" s="2"/>
    </row>
    <row r="1437" spans="13:20">
      <c r="M1437" s="2"/>
      <c r="O1437" s="2"/>
      <c r="R1437" s="2"/>
      <c r="T1437" s="2"/>
    </row>
    <row r="1438" spans="13:20">
      <c r="M1438" s="2"/>
      <c r="O1438" s="2"/>
      <c r="R1438" s="2"/>
      <c r="T1438" s="2"/>
    </row>
    <row r="1439" spans="13:20">
      <c r="M1439" s="2"/>
      <c r="O1439" s="2"/>
      <c r="R1439" s="2"/>
      <c r="T1439" s="2"/>
    </row>
    <row r="1440" spans="13:20">
      <c r="M1440" s="2"/>
      <c r="O1440" s="2"/>
      <c r="R1440" s="2"/>
      <c r="T1440" s="2"/>
    </row>
    <row r="1441" spans="13:20">
      <c r="M1441" s="2"/>
      <c r="O1441" s="2"/>
      <c r="R1441" s="2"/>
      <c r="T1441" s="2"/>
    </row>
    <row r="1442" spans="13:20">
      <c r="M1442" s="2"/>
      <c r="O1442" s="2"/>
      <c r="R1442" s="2"/>
      <c r="T1442" s="2"/>
    </row>
    <row r="1443" spans="13:20">
      <c r="M1443" s="2"/>
      <c r="O1443" s="2"/>
      <c r="R1443" s="2"/>
      <c r="T1443" s="2"/>
    </row>
    <row r="1444" spans="13:20">
      <c r="M1444" s="2"/>
      <c r="O1444" s="2"/>
      <c r="R1444" s="2"/>
      <c r="T1444" s="2"/>
    </row>
    <row r="1445" spans="13:20">
      <c r="M1445" s="2"/>
      <c r="O1445" s="2"/>
      <c r="R1445" s="2"/>
      <c r="T1445" s="2"/>
    </row>
    <row r="1446" spans="13:20">
      <c r="M1446" s="2"/>
      <c r="O1446" s="2"/>
      <c r="R1446" s="2"/>
      <c r="T1446" s="2"/>
    </row>
    <row r="1447" spans="13:20">
      <c r="M1447" s="2"/>
      <c r="O1447" s="2"/>
      <c r="R1447" s="2"/>
      <c r="T1447" s="2"/>
    </row>
    <row r="1448" spans="13:20">
      <c r="M1448" s="2"/>
      <c r="O1448" s="2"/>
      <c r="R1448" s="2"/>
      <c r="T1448" s="2"/>
    </row>
    <row r="1449" spans="13:20">
      <c r="M1449" s="2"/>
      <c r="O1449" s="2"/>
      <c r="R1449" s="2"/>
      <c r="T1449" s="2"/>
    </row>
    <row r="1450" spans="13:20">
      <c r="M1450" s="2"/>
      <c r="O1450" s="2"/>
      <c r="R1450" s="2"/>
      <c r="T1450" s="2"/>
    </row>
    <row r="1451" spans="13:20">
      <c r="M1451" s="2"/>
      <c r="O1451" s="2"/>
      <c r="R1451" s="2"/>
      <c r="T1451" s="2"/>
    </row>
    <row r="1452" spans="13:20">
      <c r="M1452" s="2"/>
      <c r="O1452" s="2"/>
      <c r="R1452" s="2"/>
      <c r="T1452" s="2"/>
    </row>
    <row r="1453" spans="13:20">
      <c r="M1453" s="2"/>
      <c r="O1453" s="2"/>
      <c r="R1453" s="2"/>
      <c r="T1453" s="2"/>
    </row>
    <row r="1454" spans="13:20">
      <c r="M1454" s="2"/>
      <c r="O1454" s="2"/>
      <c r="R1454" s="2"/>
      <c r="T1454" s="2"/>
    </row>
    <row r="1455" spans="13:20">
      <c r="M1455" s="2"/>
      <c r="O1455" s="2"/>
      <c r="R1455" s="2"/>
      <c r="T1455" s="2"/>
    </row>
    <row r="1456" spans="13:20">
      <c r="M1456" s="2"/>
      <c r="O1456" s="2"/>
      <c r="R1456" s="2"/>
      <c r="T1456" s="2"/>
    </row>
    <row r="1457" spans="13:20">
      <c r="M1457" s="2"/>
      <c r="O1457" s="2"/>
      <c r="R1457" s="2"/>
      <c r="T1457" s="2"/>
    </row>
    <row r="1458" spans="13:20">
      <c r="M1458" s="2"/>
      <c r="O1458" s="2"/>
      <c r="R1458" s="2"/>
      <c r="T1458" s="2"/>
    </row>
    <row r="1459" spans="13:20">
      <c r="M1459" s="2"/>
      <c r="O1459" s="2"/>
      <c r="R1459" s="2"/>
      <c r="T1459" s="2"/>
    </row>
    <row r="1460" spans="13:20">
      <c r="M1460" s="2"/>
      <c r="O1460" s="2"/>
      <c r="R1460" s="2"/>
      <c r="T1460" s="2"/>
    </row>
    <row r="1461" spans="13:20">
      <c r="M1461" s="2"/>
      <c r="O1461" s="2"/>
      <c r="R1461" s="2"/>
      <c r="T1461" s="2"/>
    </row>
    <row r="1462" spans="13:20">
      <c r="M1462" s="2"/>
      <c r="O1462" s="2"/>
      <c r="R1462" s="2"/>
      <c r="T1462" s="2"/>
    </row>
    <row r="1463" spans="13:20">
      <c r="M1463" s="2"/>
      <c r="O1463" s="2"/>
      <c r="R1463" s="2"/>
      <c r="T1463" s="2"/>
    </row>
    <row r="1464" spans="13:20">
      <c r="M1464" s="2"/>
      <c r="O1464" s="2"/>
      <c r="R1464" s="2"/>
      <c r="T1464" s="2"/>
    </row>
    <row r="1465" spans="13:20">
      <c r="M1465" s="2"/>
      <c r="O1465" s="2"/>
      <c r="R1465" s="2"/>
      <c r="T1465" s="2"/>
    </row>
    <row r="1466" spans="13:20">
      <c r="M1466" s="2"/>
      <c r="O1466" s="2"/>
      <c r="R1466" s="2"/>
      <c r="T1466" s="2"/>
    </row>
    <row r="1467" spans="13:20">
      <c r="M1467" s="2"/>
      <c r="O1467" s="2"/>
      <c r="R1467" s="2"/>
      <c r="T1467" s="2"/>
    </row>
    <row r="1468" spans="13:20">
      <c r="M1468" s="2"/>
      <c r="O1468" s="2"/>
      <c r="R1468" s="2"/>
      <c r="T1468" s="2"/>
    </row>
    <row r="1469" spans="13:20">
      <c r="M1469" s="2"/>
      <c r="O1469" s="2"/>
      <c r="R1469" s="2"/>
      <c r="T1469" s="2"/>
    </row>
    <row r="1470" spans="13:20">
      <c r="M1470" s="2"/>
      <c r="O1470" s="2"/>
      <c r="R1470" s="2"/>
      <c r="T1470" s="2"/>
    </row>
    <row r="1471" spans="13:20">
      <c r="M1471" s="2"/>
      <c r="O1471" s="2"/>
      <c r="R1471" s="2"/>
      <c r="T1471" s="2"/>
    </row>
    <row r="1472" spans="13:20">
      <c r="M1472" s="2"/>
      <c r="O1472" s="2"/>
      <c r="R1472" s="2"/>
      <c r="T1472" s="2"/>
    </row>
    <row r="1473" spans="13:20">
      <c r="M1473" s="2"/>
      <c r="O1473" s="2"/>
      <c r="R1473" s="2"/>
      <c r="T1473" s="2"/>
    </row>
    <row r="1474" spans="13:20">
      <c r="M1474" s="2"/>
      <c r="O1474" s="2"/>
      <c r="R1474" s="2"/>
      <c r="T1474" s="2"/>
    </row>
    <row r="1475" spans="13:20">
      <c r="M1475" s="2"/>
      <c r="O1475" s="2"/>
      <c r="R1475" s="2"/>
      <c r="T1475" s="2"/>
    </row>
    <row r="1476" spans="13:20">
      <c r="M1476" s="2"/>
      <c r="O1476" s="2"/>
      <c r="R1476" s="2"/>
      <c r="T1476" s="2"/>
    </row>
    <row r="1477" spans="13:20">
      <c r="M1477" s="2"/>
      <c r="O1477" s="2"/>
      <c r="R1477" s="2"/>
      <c r="T1477" s="2"/>
    </row>
    <row r="1478" spans="13:20">
      <c r="M1478" s="2"/>
      <c r="O1478" s="2"/>
      <c r="R1478" s="2"/>
      <c r="T1478" s="2"/>
    </row>
    <row r="1479" spans="13:20">
      <c r="M1479" s="2"/>
      <c r="O1479" s="2"/>
      <c r="R1479" s="2"/>
      <c r="T1479" s="2"/>
    </row>
    <row r="1480" spans="13:20">
      <c r="M1480" s="2"/>
      <c r="O1480" s="2"/>
      <c r="R1480" s="2"/>
      <c r="T1480" s="2"/>
    </row>
    <row r="1481" spans="13:20">
      <c r="M1481" s="2"/>
      <c r="O1481" s="2"/>
      <c r="R1481" s="2"/>
      <c r="T1481" s="2"/>
    </row>
    <row r="1482" spans="13:20">
      <c r="M1482" s="2"/>
      <c r="O1482" s="2"/>
      <c r="R1482" s="2"/>
      <c r="T1482" s="2"/>
    </row>
    <row r="1483" spans="13:20">
      <c r="M1483" s="2"/>
      <c r="O1483" s="2"/>
      <c r="R1483" s="2"/>
      <c r="T1483" s="2"/>
    </row>
    <row r="1484" spans="13:20">
      <c r="M1484" s="2"/>
      <c r="O1484" s="2"/>
      <c r="R1484" s="2"/>
      <c r="T1484" s="2"/>
    </row>
    <row r="1485" spans="13:20">
      <c r="M1485" s="2"/>
      <c r="O1485" s="2"/>
      <c r="R1485" s="2"/>
      <c r="T1485" s="2"/>
    </row>
    <row r="1486" spans="13:20">
      <c r="M1486" s="2"/>
      <c r="O1486" s="2"/>
      <c r="R1486" s="2"/>
      <c r="T1486" s="2"/>
    </row>
    <row r="1487" spans="13:20">
      <c r="M1487" s="2"/>
      <c r="O1487" s="2"/>
      <c r="R1487" s="2"/>
      <c r="T1487" s="2"/>
    </row>
    <row r="1488" spans="13:20">
      <c r="M1488" s="2"/>
      <c r="O1488" s="2"/>
      <c r="R1488" s="2"/>
      <c r="T1488" s="2"/>
    </row>
    <row r="1489" spans="13:20">
      <c r="M1489" s="2"/>
      <c r="O1489" s="2"/>
      <c r="R1489" s="2"/>
      <c r="T1489" s="2"/>
    </row>
    <row r="1490" spans="13:20">
      <c r="M1490" s="2"/>
      <c r="O1490" s="2"/>
      <c r="R1490" s="2"/>
      <c r="T1490" s="2"/>
    </row>
    <row r="1491" spans="13:20">
      <c r="M1491" s="2"/>
      <c r="O1491" s="2"/>
      <c r="R1491" s="2"/>
      <c r="T1491" s="2"/>
    </row>
    <row r="1492" spans="13:20">
      <c r="M1492" s="2"/>
      <c r="O1492" s="2"/>
      <c r="R1492" s="2"/>
      <c r="T1492" s="2"/>
    </row>
    <row r="1493" spans="13:20">
      <c r="M1493" s="2"/>
      <c r="O1493" s="2"/>
      <c r="R1493" s="2"/>
      <c r="T1493" s="2"/>
    </row>
    <row r="1494" spans="13:20">
      <c r="M1494" s="2"/>
      <c r="O1494" s="2"/>
      <c r="R1494" s="2"/>
      <c r="T1494" s="2"/>
    </row>
    <row r="1495" spans="13:20">
      <c r="M1495" s="2"/>
      <c r="O1495" s="2"/>
      <c r="R1495" s="2"/>
      <c r="T1495" s="2"/>
    </row>
    <row r="1496" spans="13:20">
      <c r="M1496" s="2"/>
      <c r="O1496" s="2"/>
      <c r="R1496" s="2"/>
      <c r="T1496" s="2"/>
    </row>
    <row r="1497" spans="13:20">
      <c r="M1497" s="2"/>
      <c r="O1497" s="2"/>
      <c r="R1497" s="2"/>
      <c r="T1497" s="2"/>
    </row>
    <row r="1498" spans="13:20">
      <c r="M1498" s="2"/>
      <c r="O1498" s="2"/>
      <c r="R1498" s="2"/>
      <c r="T1498" s="2"/>
    </row>
    <row r="1499" spans="13:20">
      <c r="M1499" s="2"/>
      <c r="O1499" s="2"/>
      <c r="R1499" s="2"/>
      <c r="T1499" s="2"/>
    </row>
    <row r="1500" spans="13:20">
      <c r="M1500" s="2"/>
      <c r="O1500" s="2"/>
      <c r="R1500" s="2"/>
      <c r="T1500" s="2"/>
    </row>
    <row r="1501" spans="13:20">
      <c r="M1501" s="2"/>
      <c r="O1501" s="2"/>
      <c r="R1501" s="2"/>
      <c r="T1501" s="2"/>
    </row>
    <row r="1502" spans="13:20">
      <c r="M1502" s="2"/>
      <c r="O1502" s="2"/>
      <c r="R1502" s="2"/>
      <c r="T1502" s="2"/>
    </row>
    <row r="1503" spans="13:20">
      <c r="M1503" s="2"/>
      <c r="O1503" s="2"/>
      <c r="R1503" s="2"/>
      <c r="T1503" s="2"/>
    </row>
    <row r="1504" spans="13:20">
      <c r="M1504" s="2"/>
      <c r="O1504" s="2"/>
      <c r="R1504" s="2"/>
      <c r="T1504" s="2"/>
    </row>
    <row r="1505" spans="13:20">
      <c r="M1505" s="2"/>
      <c r="O1505" s="2"/>
      <c r="R1505" s="2"/>
      <c r="T1505" s="2"/>
    </row>
    <row r="1506" spans="13:20">
      <c r="M1506" s="2"/>
      <c r="O1506" s="2"/>
      <c r="R1506" s="2"/>
      <c r="T1506" s="2"/>
    </row>
    <row r="1507" spans="13:20">
      <c r="M1507" s="2"/>
      <c r="O1507" s="2"/>
      <c r="R1507" s="2"/>
      <c r="T1507" s="2"/>
    </row>
    <row r="1508" spans="13:20">
      <c r="M1508" s="2"/>
      <c r="O1508" s="2"/>
      <c r="R1508" s="2"/>
      <c r="T1508" s="2"/>
    </row>
    <row r="1509" spans="13:20">
      <c r="M1509" s="2"/>
      <c r="O1509" s="2"/>
      <c r="R1509" s="2"/>
      <c r="T1509" s="2"/>
    </row>
    <row r="1510" spans="13:20">
      <c r="M1510" s="2"/>
      <c r="O1510" s="2"/>
      <c r="R1510" s="2"/>
      <c r="T1510" s="2"/>
    </row>
    <row r="1511" spans="13:20">
      <c r="M1511" s="2"/>
      <c r="O1511" s="2"/>
      <c r="R1511" s="2"/>
      <c r="T1511" s="2"/>
    </row>
    <row r="1512" spans="13:20">
      <c r="M1512" s="2"/>
      <c r="O1512" s="2"/>
      <c r="R1512" s="2"/>
      <c r="T1512" s="2"/>
    </row>
    <row r="1513" spans="13:20">
      <c r="M1513" s="2"/>
      <c r="O1513" s="2"/>
      <c r="R1513" s="2"/>
      <c r="T1513" s="2"/>
    </row>
    <row r="1514" spans="13:20">
      <c r="M1514" s="2"/>
      <c r="O1514" s="2"/>
      <c r="R1514" s="2"/>
      <c r="T1514" s="2"/>
    </row>
    <row r="1515" spans="13:20">
      <c r="M1515" s="2"/>
      <c r="O1515" s="2"/>
      <c r="R1515" s="2"/>
      <c r="T1515" s="2"/>
    </row>
    <row r="1516" spans="13:20">
      <c r="M1516" s="2"/>
      <c r="O1516" s="2"/>
      <c r="R1516" s="2"/>
      <c r="T1516" s="2"/>
    </row>
    <row r="1517" spans="13:20">
      <c r="M1517" s="2"/>
      <c r="O1517" s="2"/>
      <c r="R1517" s="2"/>
      <c r="T1517" s="2"/>
    </row>
    <row r="1518" spans="13:20">
      <c r="M1518" s="2"/>
      <c r="O1518" s="2"/>
      <c r="R1518" s="2"/>
      <c r="T1518" s="2"/>
    </row>
    <row r="1519" spans="13:20">
      <c r="M1519" s="2"/>
      <c r="O1519" s="2"/>
      <c r="R1519" s="2"/>
      <c r="T1519" s="2"/>
    </row>
    <row r="1520" spans="13:20">
      <c r="M1520" s="2"/>
      <c r="O1520" s="2"/>
      <c r="R1520" s="2"/>
      <c r="T1520" s="2"/>
    </row>
    <row r="1521" spans="13:20">
      <c r="M1521" s="2"/>
      <c r="O1521" s="2"/>
      <c r="R1521" s="2"/>
      <c r="T1521" s="2"/>
    </row>
    <row r="1522" spans="13:20">
      <c r="M1522" s="2"/>
      <c r="O1522" s="2"/>
      <c r="R1522" s="2"/>
      <c r="T1522" s="2"/>
    </row>
    <row r="1523" spans="13:20">
      <c r="M1523" s="2"/>
      <c r="O1523" s="2"/>
      <c r="R1523" s="2"/>
      <c r="T1523" s="2"/>
    </row>
    <row r="1524" spans="13:20">
      <c r="M1524" s="2"/>
      <c r="O1524" s="2"/>
      <c r="R1524" s="2"/>
      <c r="T1524" s="2"/>
    </row>
    <row r="1525" spans="13:20">
      <c r="M1525" s="2"/>
      <c r="O1525" s="2"/>
      <c r="R1525" s="2"/>
      <c r="T1525" s="2"/>
    </row>
    <row r="1526" spans="13:20">
      <c r="M1526" s="2"/>
      <c r="O1526" s="2"/>
      <c r="R1526" s="2"/>
      <c r="T1526" s="2"/>
    </row>
    <row r="1527" spans="13:20">
      <c r="M1527" s="2"/>
      <c r="O1527" s="2"/>
      <c r="R1527" s="2"/>
      <c r="T1527" s="2"/>
    </row>
    <row r="1528" spans="13:20">
      <c r="M1528" s="2"/>
      <c r="O1528" s="2"/>
      <c r="R1528" s="2"/>
      <c r="T1528" s="2"/>
    </row>
    <row r="1529" spans="13:20">
      <c r="M1529" s="2"/>
      <c r="O1529" s="2"/>
      <c r="R1529" s="2"/>
      <c r="T1529" s="2"/>
    </row>
    <row r="1530" spans="13:20">
      <c r="M1530" s="2"/>
      <c r="O1530" s="2"/>
      <c r="R1530" s="2"/>
      <c r="T1530" s="2"/>
    </row>
    <row r="1531" spans="13:20">
      <c r="M1531" s="2"/>
      <c r="O1531" s="2"/>
      <c r="R1531" s="2"/>
      <c r="T1531" s="2"/>
    </row>
    <row r="1532" spans="13:20">
      <c r="M1532" s="2"/>
      <c r="O1532" s="2"/>
      <c r="R1532" s="2"/>
      <c r="T1532" s="2"/>
    </row>
    <row r="1533" spans="13:20">
      <c r="M1533" s="2"/>
      <c r="O1533" s="2"/>
      <c r="R1533" s="2"/>
      <c r="T1533" s="2"/>
    </row>
    <row r="1534" spans="13:20">
      <c r="M1534" s="2"/>
      <c r="O1534" s="2"/>
      <c r="R1534" s="2"/>
      <c r="T1534" s="2"/>
    </row>
    <row r="1535" spans="13:20">
      <c r="M1535" s="2"/>
      <c r="O1535" s="2"/>
      <c r="R1535" s="2"/>
      <c r="T1535" s="2"/>
    </row>
    <row r="1536" spans="13:20">
      <c r="M1536" s="2"/>
      <c r="O1536" s="2"/>
      <c r="R1536" s="2"/>
      <c r="T1536" s="2"/>
    </row>
    <row r="1537" spans="13:20">
      <c r="M1537" s="2"/>
      <c r="O1537" s="2"/>
      <c r="R1537" s="2"/>
      <c r="T1537" s="2"/>
    </row>
    <row r="1538" spans="13:20">
      <c r="M1538" s="2"/>
      <c r="O1538" s="2"/>
      <c r="R1538" s="2"/>
      <c r="T1538" s="2"/>
    </row>
    <row r="1539" spans="13:20">
      <c r="M1539" s="2"/>
      <c r="O1539" s="2"/>
      <c r="R1539" s="2"/>
      <c r="T1539" s="2"/>
    </row>
    <row r="1540" spans="13:20">
      <c r="M1540" s="2"/>
      <c r="O1540" s="2"/>
      <c r="R1540" s="2"/>
      <c r="T1540" s="2"/>
    </row>
    <row r="1541" spans="13:20">
      <c r="M1541" s="2"/>
      <c r="O1541" s="2"/>
      <c r="R1541" s="2"/>
      <c r="T1541" s="2"/>
    </row>
    <row r="1542" spans="13:20">
      <c r="M1542" s="2"/>
      <c r="O1542" s="2"/>
      <c r="R1542" s="2"/>
      <c r="T1542" s="2"/>
    </row>
    <row r="1543" spans="13:20">
      <c r="M1543" s="2"/>
      <c r="O1543" s="2"/>
      <c r="R1543" s="2"/>
      <c r="T1543" s="2"/>
    </row>
    <row r="1544" spans="13:20">
      <c r="M1544" s="2"/>
      <c r="O1544" s="2"/>
      <c r="R1544" s="2"/>
      <c r="T1544" s="2"/>
    </row>
    <row r="1545" spans="13:20">
      <c r="M1545" s="2"/>
      <c r="O1545" s="2"/>
      <c r="R1545" s="2"/>
      <c r="T1545" s="2"/>
    </row>
    <row r="1546" spans="13:20">
      <c r="M1546" s="2"/>
      <c r="O1546" s="2"/>
      <c r="R1546" s="2"/>
      <c r="T1546" s="2"/>
    </row>
    <row r="1547" spans="13:20">
      <c r="M1547" s="2"/>
      <c r="O1547" s="2"/>
      <c r="R1547" s="2"/>
      <c r="T1547" s="2"/>
    </row>
    <row r="1548" spans="13:20">
      <c r="M1548" s="2"/>
      <c r="O1548" s="2"/>
      <c r="R1548" s="2"/>
      <c r="T1548" s="2"/>
    </row>
    <row r="1549" spans="13:20">
      <c r="M1549" s="2"/>
      <c r="O1549" s="2"/>
      <c r="R1549" s="2"/>
      <c r="T1549" s="2"/>
    </row>
    <row r="1550" spans="13:20">
      <c r="M1550" s="2"/>
      <c r="O1550" s="2"/>
      <c r="R1550" s="2"/>
      <c r="T1550" s="2"/>
    </row>
    <row r="1551" spans="13:20">
      <c r="M1551" s="2"/>
      <c r="O1551" s="2"/>
      <c r="R1551" s="2"/>
      <c r="T1551" s="2"/>
    </row>
    <row r="1552" spans="13:20">
      <c r="M1552" s="2"/>
      <c r="O1552" s="2"/>
      <c r="R1552" s="2"/>
      <c r="T1552" s="2"/>
    </row>
    <row r="1553" spans="13:20">
      <c r="M1553" s="2"/>
      <c r="O1553" s="2"/>
      <c r="R1553" s="2"/>
      <c r="T1553" s="2"/>
    </row>
    <row r="1554" spans="13:20">
      <c r="M1554" s="2"/>
      <c r="O1554" s="2"/>
      <c r="R1554" s="2"/>
      <c r="T1554" s="2"/>
    </row>
    <row r="1555" spans="13:20">
      <c r="M1555" s="2"/>
      <c r="O1555" s="2"/>
      <c r="R1555" s="2"/>
      <c r="T1555" s="2"/>
    </row>
    <row r="1556" spans="13:20">
      <c r="M1556" s="2"/>
      <c r="O1556" s="2"/>
      <c r="R1556" s="2"/>
      <c r="T1556" s="2"/>
    </row>
    <row r="1557" spans="13:20">
      <c r="M1557" s="2"/>
      <c r="O1557" s="2"/>
      <c r="R1557" s="2"/>
      <c r="T1557" s="2"/>
    </row>
    <row r="1558" spans="13:20">
      <c r="M1558" s="2"/>
      <c r="O1558" s="2"/>
      <c r="R1558" s="2"/>
      <c r="T1558" s="2"/>
    </row>
    <row r="1559" spans="13:20">
      <c r="M1559" s="2"/>
      <c r="O1559" s="2"/>
      <c r="R1559" s="2"/>
      <c r="T1559" s="2"/>
    </row>
    <row r="1560" spans="13:20">
      <c r="M1560" s="2"/>
      <c r="O1560" s="2"/>
      <c r="R1560" s="2"/>
      <c r="T1560" s="2"/>
    </row>
    <row r="1561" spans="13:20">
      <c r="M1561" s="2"/>
      <c r="O1561" s="2"/>
      <c r="R1561" s="2"/>
      <c r="T1561" s="2"/>
    </row>
    <row r="1562" spans="13:20">
      <c r="M1562" s="2"/>
      <c r="O1562" s="2"/>
      <c r="R1562" s="2"/>
      <c r="T1562" s="2"/>
    </row>
    <row r="1563" spans="13:20">
      <c r="M1563" s="2"/>
      <c r="O1563" s="2"/>
      <c r="R1563" s="2"/>
      <c r="T1563" s="2"/>
    </row>
    <row r="1564" spans="13:20">
      <c r="M1564" s="2"/>
      <c r="O1564" s="2"/>
      <c r="R1564" s="2"/>
      <c r="T1564" s="2"/>
    </row>
    <row r="1565" spans="13:20">
      <c r="M1565" s="2"/>
      <c r="O1565" s="2"/>
      <c r="R1565" s="2"/>
      <c r="T1565" s="2"/>
    </row>
    <row r="1566" spans="13:20">
      <c r="M1566" s="2"/>
      <c r="O1566" s="2"/>
      <c r="R1566" s="2"/>
      <c r="T1566" s="2"/>
    </row>
    <row r="1567" spans="13:20">
      <c r="M1567" s="2"/>
      <c r="O1567" s="2"/>
      <c r="R1567" s="2"/>
      <c r="T1567" s="2"/>
    </row>
    <row r="1568" spans="13:20">
      <c r="M1568" s="2"/>
      <c r="O1568" s="2"/>
      <c r="R1568" s="2"/>
      <c r="T1568" s="2"/>
    </row>
    <row r="1569" spans="13:20">
      <c r="M1569" s="2"/>
      <c r="O1569" s="2"/>
      <c r="R1569" s="2"/>
      <c r="T1569" s="2"/>
    </row>
    <row r="1570" spans="13:20">
      <c r="M1570" s="2"/>
      <c r="O1570" s="2"/>
      <c r="R1570" s="2"/>
      <c r="T1570" s="2"/>
    </row>
    <row r="1571" spans="13:20">
      <c r="M1571" s="2"/>
      <c r="O1571" s="2"/>
      <c r="R1571" s="2"/>
      <c r="T1571" s="2"/>
    </row>
    <row r="1572" spans="13:20">
      <c r="M1572" s="2"/>
      <c r="O1572" s="2"/>
      <c r="R1572" s="2"/>
      <c r="T1572" s="2"/>
    </row>
    <row r="1573" spans="13:20">
      <c r="M1573" s="2"/>
      <c r="O1573" s="2"/>
      <c r="R1573" s="2"/>
      <c r="T1573" s="2"/>
    </row>
    <row r="1574" spans="13:20">
      <c r="M1574" s="2"/>
      <c r="O1574" s="2"/>
      <c r="R1574" s="2"/>
      <c r="T1574" s="2"/>
    </row>
    <row r="1575" spans="13:20">
      <c r="M1575" s="2"/>
      <c r="O1575" s="2"/>
      <c r="R1575" s="2"/>
      <c r="T1575" s="2"/>
    </row>
    <row r="1576" spans="13:20">
      <c r="M1576" s="2"/>
      <c r="O1576" s="2"/>
      <c r="R1576" s="2"/>
      <c r="T1576" s="2"/>
    </row>
    <row r="1577" spans="13:20">
      <c r="M1577" s="2"/>
      <c r="O1577" s="2"/>
      <c r="R1577" s="2"/>
      <c r="T1577" s="2"/>
    </row>
    <row r="1578" spans="13:20">
      <c r="M1578" s="2"/>
      <c r="O1578" s="2"/>
      <c r="R1578" s="2"/>
      <c r="T1578" s="2"/>
    </row>
    <row r="1579" spans="13:20">
      <c r="M1579" s="2"/>
      <c r="O1579" s="2"/>
      <c r="R1579" s="2"/>
      <c r="T1579" s="2"/>
    </row>
    <row r="1580" spans="13:20">
      <c r="M1580" s="2"/>
      <c r="O1580" s="2"/>
      <c r="R1580" s="2"/>
      <c r="T1580" s="2"/>
    </row>
    <row r="1581" spans="13:20">
      <c r="M1581" s="2"/>
      <c r="O1581" s="2"/>
      <c r="R1581" s="2"/>
      <c r="T1581" s="2"/>
    </row>
    <row r="1582" spans="13:20">
      <c r="M1582" s="2"/>
      <c r="O1582" s="2"/>
      <c r="R1582" s="2"/>
      <c r="T1582" s="2"/>
    </row>
    <row r="1583" spans="13:20">
      <c r="M1583" s="2"/>
      <c r="O1583" s="2"/>
      <c r="R1583" s="2"/>
      <c r="T1583" s="2"/>
    </row>
    <row r="1584" spans="13:20">
      <c r="M1584" s="2"/>
      <c r="O1584" s="2"/>
      <c r="R1584" s="2"/>
      <c r="T1584" s="2"/>
    </row>
    <row r="1585" spans="13:20">
      <c r="M1585" s="2"/>
      <c r="O1585" s="2"/>
      <c r="R1585" s="2"/>
      <c r="T1585" s="2"/>
    </row>
    <row r="1586" spans="13:20">
      <c r="M1586" s="2"/>
      <c r="O1586" s="2"/>
      <c r="R1586" s="2"/>
      <c r="T1586" s="2"/>
    </row>
    <row r="1587" spans="13:20">
      <c r="M1587" s="2"/>
      <c r="O1587" s="2"/>
      <c r="R1587" s="2"/>
      <c r="T1587" s="2"/>
    </row>
    <row r="1588" spans="13:20">
      <c r="M1588" s="2"/>
      <c r="O1588" s="2"/>
      <c r="R1588" s="2"/>
      <c r="T1588" s="2"/>
    </row>
    <row r="1589" spans="13:20">
      <c r="M1589" s="2"/>
      <c r="O1589" s="2"/>
      <c r="R1589" s="2"/>
      <c r="T1589" s="2"/>
    </row>
    <row r="1590" spans="13:20">
      <c r="M1590" s="2"/>
      <c r="O1590" s="2"/>
      <c r="R1590" s="2"/>
      <c r="T1590" s="2"/>
    </row>
    <row r="1591" spans="13:20">
      <c r="M1591" s="2"/>
      <c r="O1591" s="2"/>
      <c r="R1591" s="2"/>
      <c r="T1591" s="2"/>
    </row>
    <row r="1592" spans="13:20">
      <c r="M1592" s="2"/>
      <c r="O1592" s="2"/>
      <c r="R1592" s="2"/>
      <c r="T1592" s="2"/>
    </row>
    <row r="1593" spans="13:20">
      <c r="M1593" s="2"/>
      <c r="O1593" s="2"/>
      <c r="R1593" s="2"/>
      <c r="T1593" s="2"/>
    </row>
    <row r="1594" spans="13:20">
      <c r="M1594" s="2"/>
      <c r="O1594" s="2"/>
      <c r="R1594" s="2"/>
      <c r="T1594" s="2"/>
    </row>
    <row r="1595" spans="13:20">
      <c r="M1595" s="2"/>
      <c r="O1595" s="2"/>
      <c r="R1595" s="2"/>
      <c r="T1595" s="2"/>
    </row>
    <row r="1596" spans="13:20">
      <c r="M1596" s="2"/>
      <c r="O1596" s="2"/>
      <c r="R1596" s="2"/>
      <c r="T1596" s="2"/>
    </row>
    <row r="1597" spans="13:20">
      <c r="M1597" s="2"/>
      <c r="O1597" s="2"/>
      <c r="R1597" s="2"/>
      <c r="T1597" s="2"/>
    </row>
    <row r="1598" spans="13:20">
      <c r="M1598" s="2"/>
      <c r="O1598" s="2"/>
      <c r="R1598" s="2"/>
      <c r="T1598" s="2"/>
    </row>
    <row r="1599" spans="13:20">
      <c r="M1599" s="2"/>
      <c r="O1599" s="2"/>
      <c r="R1599" s="2"/>
      <c r="T1599" s="2"/>
    </row>
    <row r="1600" spans="13:20">
      <c r="M1600" s="2"/>
      <c r="O1600" s="2"/>
      <c r="R1600" s="2"/>
      <c r="T1600" s="2"/>
    </row>
    <row r="1601" spans="13:20">
      <c r="M1601" s="2"/>
      <c r="O1601" s="2"/>
      <c r="R1601" s="2"/>
      <c r="T1601" s="2"/>
    </row>
    <row r="1602" spans="13:20">
      <c r="M1602" s="2"/>
      <c r="O1602" s="2"/>
      <c r="R1602" s="2"/>
      <c r="T1602" s="2"/>
    </row>
    <row r="1603" spans="13:20">
      <c r="M1603" s="2"/>
      <c r="O1603" s="2"/>
      <c r="R1603" s="2"/>
      <c r="T1603" s="2"/>
    </row>
    <row r="1604" spans="13:20">
      <c r="M1604" s="2"/>
      <c r="O1604" s="2"/>
      <c r="R1604" s="2"/>
      <c r="T1604" s="2"/>
    </row>
    <row r="1605" spans="13:20">
      <c r="M1605" s="2"/>
      <c r="O1605" s="2"/>
      <c r="R1605" s="2"/>
      <c r="T1605" s="2"/>
    </row>
    <row r="1606" spans="13:20">
      <c r="M1606" s="2"/>
      <c r="O1606" s="2"/>
      <c r="R1606" s="2"/>
      <c r="T1606" s="2"/>
    </row>
    <row r="1607" spans="13:20">
      <c r="M1607" s="2"/>
      <c r="O1607" s="2"/>
      <c r="R1607" s="2"/>
      <c r="T1607" s="2"/>
    </row>
    <row r="1608" spans="13:20">
      <c r="M1608" s="2"/>
      <c r="O1608" s="2"/>
      <c r="R1608" s="2"/>
      <c r="T1608" s="2"/>
    </row>
    <row r="1609" spans="13:20">
      <c r="M1609" s="2"/>
      <c r="O1609" s="2"/>
      <c r="R1609" s="2"/>
      <c r="T1609" s="2"/>
    </row>
    <row r="1610" spans="13:20">
      <c r="M1610" s="2"/>
      <c r="O1610" s="2"/>
      <c r="R1610" s="2"/>
      <c r="T1610" s="2"/>
    </row>
    <row r="1611" spans="13:20">
      <c r="M1611" s="2"/>
      <c r="O1611" s="2"/>
      <c r="R1611" s="2"/>
      <c r="T1611" s="2"/>
    </row>
    <row r="1612" spans="13:20">
      <c r="M1612" s="2"/>
      <c r="O1612" s="2"/>
      <c r="R1612" s="2"/>
      <c r="T1612" s="2"/>
    </row>
    <row r="1613" spans="13:20">
      <c r="M1613" s="2"/>
      <c r="O1613" s="2"/>
      <c r="R1613" s="2"/>
      <c r="T1613" s="2"/>
    </row>
    <row r="1614" spans="13:20">
      <c r="M1614" s="2"/>
      <c r="O1614" s="2"/>
      <c r="R1614" s="2"/>
      <c r="T1614" s="2"/>
    </row>
    <row r="1615" spans="13:20">
      <c r="M1615" s="2"/>
      <c r="O1615" s="2"/>
      <c r="R1615" s="2"/>
      <c r="T1615" s="2"/>
    </row>
    <row r="1616" spans="13:20">
      <c r="M1616" s="2"/>
      <c r="O1616" s="2"/>
      <c r="R1616" s="2"/>
      <c r="T1616" s="2"/>
    </row>
    <row r="1617" spans="13:20">
      <c r="M1617" s="2"/>
      <c r="O1617" s="2"/>
      <c r="R1617" s="2"/>
      <c r="T1617" s="2"/>
    </row>
    <row r="1618" spans="13:20">
      <c r="M1618" s="2"/>
      <c r="O1618" s="2"/>
      <c r="R1618" s="2"/>
      <c r="T1618" s="2"/>
    </row>
    <row r="1619" spans="13:20">
      <c r="M1619" s="2"/>
      <c r="O1619" s="2"/>
      <c r="R1619" s="2"/>
      <c r="T1619" s="2"/>
    </row>
    <row r="1620" spans="13:20">
      <c r="M1620" s="2"/>
      <c r="O1620" s="2"/>
      <c r="R1620" s="2"/>
      <c r="T1620" s="2"/>
    </row>
    <row r="1621" spans="13:20">
      <c r="M1621" s="2"/>
      <c r="O1621" s="2"/>
      <c r="R1621" s="2"/>
      <c r="T1621" s="2"/>
    </row>
    <row r="1622" spans="13:20">
      <c r="M1622" s="2"/>
      <c r="O1622" s="2"/>
      <c r="R1622" s="2"/>
      <c r="T1622" s="2"/>
    </row>
    <row r="1623" spans="13:20">
      <c r="M1623" s="2"/>
      <c r="O1623" s="2"/>
      <c r="R1623" s="2"/>
      <c r="T1623" s="2"/>
    </row>
    <row r="1624" spans="13:20">
      <c r="M1624" s="2"/>
      <c r="O1624" s="2"/>
      <c r="R1624" s="2"/>
      <c r="T1624" s="2"/>
    </row>
    <row r="1625" spans="13:20">
      <c r="M1625" s="2"/>
      <c r="O1625" s="2"/>
      <c r="R1625" s="2"/>
      <c r="T1625" s="2"/>
    </row>
    <row r="1626" spans="13:20">
      <c r="M1626" s="2"/>
      <c r="O1626" s="2"/>
      <c r="R1626" s="2"/>
      <c r="T1626" s="2"/>
    </row>
    <row r="1627" spans="13:20">
      <c r="M1627" s="2"/>
      <c r="O1627" s="2"/>
      <c r="R1627" s="2"/>
      <c r="T1627" s="2"/>
    </row>
    <row r="1628" spans="13:20">
      <c r="M1628" s="2"/>
      <c r="O1628" s="2"/>
      <c r="R1628" s="2"/>
      <c r="T1628" s="2"/>
    </row>
    <row r="1629" spans="13:20">
      <c r="M1629" s="2"/>
      <c r="O1629" s="2"/>
      <c r="R1629" s="2"/>
      <c r="T1629" s="2"/>
    </row>
    <row r="1630" spans="13:20">
      <c r="M1630" s="2"/>
      <c r="O1630" s="2"/>
      <c r="R1630" s="2"/>
      <c r="T1630" s="2"/>
    </row>
    <row r="1631" spans="13:20">
      <c r="M1631" s="2"/>
      <c r="O1631" s="2"/>
      <c r="R1631" s="2"/>
      <c r="T1631" s="2"/>
    </row>
    <row r="1632" spans="13:20">
      <c r="M1632" s="2"/>
      <c r="O1632" s="2"/>
      <c r="R1632" s="2"/>
      <c r="T1632" s="2"/>
    </row>
    <row r="1633" spans="13:20">
      <c r="M1633" s="2"/>
      <c r="O1633" s="2"/>
      <c r="R1633" s="2"/>
      <c r="T1633" s="2"/>
    </row>
    <row r="1634" spans="13:20">
      <c r="M1634" s="2"/>
      <c r="O1634" s="2"/>
      <c r="R1634" s="2"/>
      <c r="T1634" s="2"/>
    </row>
    <row r="1635" spans="13:20">
      <c r="M1635" s="2"/>
      <c r="O1635" s="2"/>
      <c r="R1635" s="2"/>
      <c r="T1635" s="2"/>
    </row>
    <row r="1636" spans="13:20">
      <c r="M1636" s="2"/>
      <c r="O1636" s="2"/>
      <c r="R1636" s="2"/>
      <c r="T1636" s="2"/>
    </row>
    <row r="1637" spans="13:20">
      <c r="M1637" s="2"/>
      <c r="O1637" s="2"/>
      <c r="R1637" s="2"/>
      <c r="T1637" s="2"/>
    </row>
    <row r="1638" spans="13:20">
      <c r="M1638" s="2"/>
      <c r="O1638" s="2"/>
      <c r="R1638" s="2"/>
      <c r="T1638" s="2"/>
    </row>
    <row r="1639" spans="13:20">
      <c r="M1639" s="2"/>
      <c r="O1639" s="2"/>
      <c r="R1639" s="2"/>
      <c r="T1639" s="2"/>
    </row>
    <row r="1640" spans="13:20">
      <c r="M1640" s="2"/>
      <c r="O1640" s="2"/>
      <c r="R1640" s="2"/>
      <c r="T1640" s="2"/>
    </row>
    <row r="1641" spans="13:20">
      <c r="M1641" s="2"/>
      <c r="O1641" s="2"/>
      <c r="R1641" s="2"/>
      <c r="T1641" s="2"/>
    </row>
    <row r="1642" spans="13:20">
      <c r="M1642" s="2"/>
      <c r="O1642" s="2"/>
      <c r="R1642" s="2"/>
      <c r="T1642" s="2"/>
    </row>
    <row r="1643" spans="13:20">
      <c r="M1643" s="2"/>
      <c r="O1643" s="2"/>
      <c r="R1643" s="2"/>
      <c r="T1643" s="2"/>
    </row>
    <row r="1644" spans="13:20">
      <c r="M1644" s="2"/>
      <c r="O1644" s="2"/>
      <c r="R1644" s="2"/>
      <c r="T1644" s="2"/>
    </row>
    <row r="1645" spans="13:20">
      <c r="M1645" s="2"/>
      <c r="O1645" s="2"/>
      <c r="R1645" s="2"/>
      <c r="T1645" s="2"/>
    </row>
    <row r="1646" spans="13:20">
      <c r="M1646" s="2"/>
      <c r="O1646" s="2"/>
      <c r="R1646" s="2"/>
      <c r="T1646" s="2"/>
    </row>
    <row r="1647" spans="13:20">
      <c r="M1647" s="2"/>
      <c r="O1647" s="2"/>
      <c r="R1647" s="2"/>
      <c r="T1647" s="2"/>
    </row>
    <row r="1648" spans="13:20">
      <c r="M1648" s="2"/>
      <c r="O1648" s="2"/>
      <c r="R1648" s="2"/>
      <c r="T1648" s="2"/>
    </row>
    <row r="1649" spans="13:20">
      <c r="M1649" s="2"/>
      <c r="O1649" s="2"/>
      <c r="R1649" s="2"/>
      <c r="T1649" s="2"/>
    </row>
    <row r="1650" spans="13:20">
      <c r="M1650" s="2"/>
      <c r="O1650" s="2"/>
      <c r="R1650" s="2"/>
      <c r="T1650" s="2"/>
    </row>
    <row r="1651" spans="13:20">
      <c r="M1651" s="2"/>
      <c r="O1651" s="2"/>
      <c r="R1651" s="2"/>
      <c r="T1651" s="2"/>
    </row>
    <row r="1652" spans="13:20">
      <c r="M1652" s="2"/>
      <c r="O1652" s="2"/>
      <c r="R1652" s="2"/>
      <c r="T1652" s="2"/>
    </row>
    <row r="1653" spans="13:20">
      <c r="M1653" s="2"/>
      <c r="O1653" s="2"/>
      <c r="R1653" s="2"/>
      <c r="T1653" s="2"/>
    </row>
    <row r="1654" spans="13:20">
      <c r="M1654" s="2"/>
      <c r="O1654" s="2"/>
      <c r="R1654" s="2"/>
      <c r="T1654" s="2"/>
    </row>
    <row r="1655" spans="13:20">
      <c r="M1655" s="2"/>
      <c r="O1655" s="2"/>
      <c r="R1655" s="2"/>
      <c r="T1655" s="2"/>
    </row>
    <row r="1656" spans="13:20">
      <c r="M1656" s="2"/>
      <c r="O1656" s="2"/>
      <c r="R1656" s="2"/>
      <c r="T1656" s="2"/>
    </row>
    <row r="1657" spans="13:20">
      <c r="M1657" s="2"/>
      <c r="O1657" s="2"/>
      <c r="R1657" s="2"/>
      <c r="T1657" s="2"/>
    </row>
    <row r="1658" spans="13:20">
      <c r="M1658" s="2"/>
      <c r="O1658" s="2"/>
      <c r="R1658" s="2"/>
      <c r="T1658" s="2"/>
    </row>
    <row r="1659" spans="13:20">
      <c r="M1659" s="2"/>
      <c r="O1659" s="2"/>
      <c r="R1659" s="2"/>
      <c r="T1659" s="2"/>
    </row>
    <row r="1660" spans="13:20">
      <c r="M1660" s="2"/>
      <c r="O1660" s="2"/>
      <c r="R1660" s="2"/>
      <c r="T1660" s="2"/>
    </row>
    <row r="1661" spans="13:20">
      <c r="M1661" s="2"/>
      <c r="O1661" s="2"/>
      <c r="R1661" s="2"/>
      <c r="T1661" s="2"/>
    </row>
    <row r="1662" spans="13:20">
      <c r="M1662" s="2"/>
      <c r="O1662" s="2"/>
      <c r="R1662" s="2"/>
      <c r="T1662" s="2"/>
    </row>
    <row r="1663" spans="13:20">
      <c r="M1663" s="2"/>
      <c r="O1663" s="2"/>
      <c r="R1663" s="2"/>
      <c r="T1663" s="2"/>
    </row>
    <row r="1664" spans="13:20">
      <c r="M1664" s="2"/>
      <c r="O1664" s="2"/>
      <c r="R1664" s="2"/>
      <c r="T1664" s="2"/>
    </row>
    <row r="1665" spans="13:20">
      <c r="M1665" s="2"/>
      <c r="O1665" s="2"/>
      <c r="R1665" s="2"/>
      <c r="T1665" s="2"/>
    </row>
    <row r="1666" spans="13:20">
      <c r="M1666" s="2"/>
      <c r="O1666" s="2"/>
      <c r="R1666" s="2"/>
      <c r="T1666" s="2"/>
    </row>
    <row r="1667" spans="13:20">
      <c r="M1667" s="2"/>
      <c r="O1667" s="2"/>
      <c r="R1667" s="2"/>
      <c r="T1667" s="2"/>
    </row>
    <row r="1668" spans="13:20">
      <c r="M1668" s="2"/>
      <c r="O1668" s="2"/>
      <c r="R1668" s="2"/>
      <c r="T1668" s="2"/>
    </row>
    <row r="1669" spans="13:20">
      <c r="M1669" s="2"/>
      <c r="O1669" s="2"/>
      <c r="R1669" s="2"/>
      <c r="T1669" s="2"/>
    </row>
    <row r="1670" spans="13:20">
      <c r="M1670" s="2"/>
      <c r="O1670" s="2"/>
      <c r="R1670" s="2"/>
      <c r="T1670" s="2"/>
    </row>
    <row r="1671" spans="13:20">
      <c r="M1671" s="2"/>
      <c r="O1671" s="2"/>
      <c r="R1671" s="2"/>
      <c r="T1671" s="2"/>
    </row>
    <row r="1672" spans="13:20">
      <c r="M1672" s="2"/>
      <c r="O1672" s="2"/>
      <c r="R1672" s="2"/>
      <c r="T1672" s="2"/>
    </row>
    <row r="1673" spans="13:20">
      <c r="M1673" s="2"/>
      <c r="O1673" s="2"/>
      <c r="R1673" s="2"/>
      <c r="T1673" s="2"/>
    </row>
    <row r="1674" spans="13:20">
      <c r="M1674" s="2"/>
      <c r="O1674" s="2"/>
      <c r="R1674" s="2"/>
      <c r="T1674" s="2"/>
    </row>
    <row r="1675" spans="13:20">
      <c r="M1675" s="2"/>
      <c r="O1675" s="2"/>
      <c r="R1675" s="2"/>
      <c r="T1675" s="2"/>
    </row>
    <row r="1676" spans="13:20">
      <c r="M1676" s="2"/>
      <c r="O1676" s="2"/>
      <c r="R1676" s="2"/>
      <c r="T1676" s="2"/>
    </row>
    <row r="1677" spans="13:20">
      <c r="M1677" s="2"/>
      <c r="O1677" s="2"/>
      <c r="R1677" s="2"/>
      <c r="T1677" s="2"/>
    </row>
    <row r="1678" spans="13:20">
      <c r="M1678" s="2"/>
      <c r="O1678" s="2"/>
      <c r="R1678" s="2"/>
      <c r="T1678" s="2"/>
    </row>
    <row r="1679" spans="13:20">
      <c r="M1679" s="2"/>
      <c r="O1679" s="2"/>
      <c r="R1679" s="2"/>
      <c r="T1679" s="2"/>
    </row>
    <row r="1680" spans="13:20">
      <c r="M1680" s="2"/>
      <c r="O1680" s="2"/>
      <c r="R1680" s="2"/>
      <c r="T1680" s="2"/>
    </row>
    <row r="1681" spans="13:20">
      <c r="M1681" s="2"/>
      <c r="O1681" s="2"/>
      <c r="R1681" s="2"/>
      <c r="T1681" s="2"/>
    </row>
    <row r="1682" spans="13:20">
      <c r="M1682" s="2"/>
      <c r="O1682" s="2"/>
      <c r="R1682" s="2"/>
      <c r="T1682" s="2"/>
    </row>
    <row r="1683" spans="13:20">
      <c r="M1683" s="2"/>
      <c r="O1683" s="2"/>
      <c r="R1683" s="2"/>
      <c r="T1683" s="2"/>
    </row>
    <row r="1684" spans="13:20">
      <c r="M1684" s="2"/>
      <c r="O1684" s="2"/>
      <c r="R1684" s="2"/>
      <c r="T1684" s="2"/>
    </row>
    <row r="1685" spans="13:20">
      <c r="M1685" s="2"/>
      <c r="O1685" s="2"/>
      <c r="R1685" s="2"/>
      <c r="T1685" s="2"/>
    </row>
    <row r="1686" spans="13:20">
      <c r="M1686" s="2"/>
      <c r="O1686" s="2"/>
      <c r="R1686" s="2"/>
      <c r="T1686" s="2"/>
    </row>
    <row r="1687" spans="13:20">
      <c r="M1687" s="2"/>
      <c r="O1687" s="2"/>
      <c r="R1687" s="2"/>
      <c r="T1687" s="2"/>
    </row>
    <row r="1688" spans="13:20">
      <c r="M1688" s="2"/>
      <c r="O1688" s="2"/>
      <c r="R1688" s="2"/>
      <c r="T1688" s="2"/>
    </row>
    <row r="1689" spans="13:20">
      <c r="M1689" s="2"/>
      <c r="O1689" s="2"/>
      <c r="R1689" s="2"/>
      <c r="T1689" s="2"/>
    </row>
    <row r="1690" spans="13:20">
      <c r="M1690" s="2"/>
      <c r="O1690" s="2"/>
      <c r="R1690" s="2"/>
      <c r="T1690" s="2"/>
    </row>
    <row r="1691" spans="13:20">
      <c r="M1691" s="2"/>
      <c r="O1691" s="2"/>
      <c r="R1691" s="2"/>
      <c r="T1691" s="2"/>
    </row>
    <row r="1692" spans="13:20">
      <c r="M1692" s="2"/>
      <c r="O1692" s="2"/>
      <c r="R1692" s="2"/>
      <c r="T1692" s="2"/>
    </row>
    <row r="1693" spans="13:20">
      <c r="M1693" s="2"/>
      <c r="O1693" s="2"/>
      <c r="R1693" s="2"/>
      <c r="T1693" s="2"/>
    </row>
    <row r="1694" spans="13:20">
      <c r="M1694" s="2"/>
      <c r="O1694" s="2"/>
      <c r="R1694" s="2"/>
      <c r="T1694" s="2"/>
    </row>
    <row r="1695" spans="13:20">
      <c r="M1695" s="2"/>
      <c r="O1695" s="2"/>
      <c r="R1695" s="2"/>
      <c r="T1695" s="2"/>
    </row>
    <row r="1696" spans="13:20">
      <c r="M1696" s="2"/>
      <c r="O1696" s="2"/>
      <c r="R1696" s="2"/>
      <c r="T1696" s="2"/>
    </row>
    <row r="1697" spans="13:20">
      <c r="M1697" s="2"/>
      <c r="O1697" s="2"/>
      <c r="R1697" s="2"/>
      <c r="T1697" s="2"/>
    </row>
    <row r="1698" spans="13:20">
      <c r="M1698" s="2"/>
      <c r="O1698" s="2"/>
      <c r="R1698" s="2"/>
      <c r="T1698" s="2"/>
    </row>
    <row r="1699" spans="13:20">
      <c r="M1699" s="2"/>
      <c r="O1699" s="2"/>
      <c r="R1699" s="2"/>
      <c r="T1699" s="2"/>
    </row>
    <row r="1700" spans="13:20">
      <c r="M1700" s="2"/>
      <c r="O1700" s="2"/>
      <c r="R1700" s="2"/>
      <c r="T1700" s="2"/>
    </row>
    <row r="1701" spans="13:20">
      <c r="M1701" s="2"/>
      <c r="O1701" s="2"/>
      <c r="R1701" s="2"/>
      <c r="T1701" s="2"/>
    </row>
    <row r="1702" spans="13:20">
      <c r="M1702" s="2"/>
      <c r="O1702" s="2"/>
      <c r="R1702" s="2"/>
      <c r="T1702" s="2"/>
    </row>
    <row r="1703" spans="13:20">
      <c r="M1703" s="2"/>
      <c r="O1703" s="2"/>
      <c r="R1703" s="2"/>
      <c r="T1703" s="2"/>
    </row>
    <row r="1704" spans="13:20">
      <c r="M1704" s="2"/>
      <c r="O1704" s="2"/>
      <c r="R1704" s="2"/>
      <c r="T1704" s="2"/>
    </row>
    <row r="1705" spans="13:20">
      <c r="M1705" s="2"/>
      <c r="O1705" s="2"/>
      <c r="R1705" s="2"/>
      <c r="T1705" s="2"/>
    </row>
    <row r="1706" spans="13:20">
      <c r="M1706" s="2"/>
      <c r="O1706" s="2"/>
      <c r="R1706" s="2"/>
      <c r="T1706" s="2"/>
    </row>
    <row r="1707" spans="13:20">
      <c r="M1707" s="2"/>
      <c r="O1707" s="2"/>
      <c r="R1707" s="2"/>
      <c r="T1707" s="2"/>
    </row>
    <row r="1708" spans="13:20">
      <c r="M1708" s="2"/>
      <c r="O1708" s="2"/>
      <c r="R1708" s="2"/>
      <c r="T1708" s="2"/>
    </row>
    <row r="1709" spans="13:20">
      <c r="M1709" s="2"/>
      <c r="O1709" s="2"/>
      <c r="R1709" s="2"/>
      <c r="T1709" s="2"/>
    </row>
    <row r="1710" spans="13:20">
      <c r="M1710" s="2"/>
      <c r="O1710" s="2"/>
      <c r="R1710" s="2"/>
      <c r="T1710" s="2"/>
    </row>
    <row r="1711" spans="13:20">
      <c r="M1711" s="2"/>
      <c r="O1711" s="2"/>
      <c r="R1711" s="2"/>
      <c r="T1711" s="2"/>
    </row>
    <row r="1712" spans="13:20">
      <c r="M1712" s="2"/>
      <c r="O1712" s="2"/>
      <c r="R1712" s="2"/>
      <c r="T1712" s="2"/>
    </row>
    <row r="1713" spans="13:20">
      <c r="M1713" s="2"/>
      <c r="O1713" s="2"/>
      <c r="R1713" s="2"/>
      <c r="T1713" s="2"/>
    </row>
    <row r="1714" spans="13:20">
      <c r="M1714" s="2"/>
      <c r="O1714" s="2"/>
      <c r="R1714" s="2"/>
      <c r="T1714" s="2"/>
    </row>
    <row r="1715" spans="13:20">
      <c r="M1715" s="2"/>
      <c r="O1715" s="2"/>
      <c r="R1715" s="2"/>
      <c r="T1715" s="2"/>
    </row>
    <row r="1716" spans="13:20">
      <c r="M1716" s="2"/>
      <c r="O1716" s="2"/>
      <c r="R1716" s="2"/>
      <c r="T1716" s="2"/>
    </row>
    <row r="1717" spans="13:20">
      <c r="M1717" s="2"/>
      <c r="O1717" s="2"/>
      <c r="R1717" s="2"/>
      <c r="T1717" s="2"/>
    </row>
    <row r="1718" spans="13:20">
      <c r="M1718" s="2"/>
      <c r="O1718" s="2"/>
      <c r="R1718" s="2"/>
      <c r="T1718" s="2"/>
    </row>
    <row r="1719" spans="13:20">
      <c r="M1719" s="2"/>
      <c r="O1719" s="2"/>
      <c r="R1719" s="2"/>
      <c r="T1719" s="2"/>
    </row>
    <row r="1720" spans="13:20">
      <c r="M1720" s="2"/>
      <c r="O1720" s="2"/>
      <c r="R1720" s="2"/>
      <c r="T1720" s="2"/>
    </row>
    <row r="1721" spans="13:20">
      <c r="M1721" s="2"/>
      <c r="O1721" s="2"/>
      <c r="R1721" s="2"/>
      <c r="T1721" s="2"/>
    </row>
    <row r="1722" spans="13:20">
      <c r="M1722" s="2"/>
      <c r="O1722" s="2"/>
      <c r="R1722" s="2"/>
      <c r="T1722" s="2"/>
    </row>
    <row r="1723" spans="13:20">
      <c r="M1723" s="2"/>
      <c r="O1723" s="2"/>
      <c r="R1723" s="2"/>
      <c r="T1723" s="2"/>
    </row>
    <row r="1724" spans="13:20">
      <c r="M1724" s="2"/>
      <c r="O1724" s="2"/>
      <c r="R1724" s="2"/>
      <c r="T1724" s="2"/>
    </row>
    <row r="1725" spans="13:20">
      <c r="M1725" s="2"/>
      <c r="O1725" s="2"/>
      <c r="R1725" s="2"/>
      <c r="T1725" s="2"/>
    </row>
    <row r="1726" spans="13:20">
      <c r="M1726" s="2"/>
      <c r="O1726" s="2"/>
      <c r="R1726" s="2"/>
      <c r="T1726" s="2"/>
    </row>
    <row r="1727" spans="13:20">
      <c r="M1727" s="2"/>
      <c r="O1727" s="2"/>
      <c r="R1727" s="2"/>
      <c r="T1727" s="2"/>
    </row>
    <row r="1728" spans="13:20">
      <c r="M1728" s="2"/>
      <c r="O1728" s="2"/>
      <c r="R1728" s="2"/>
      <c r="T1728" s="2"/>
    </row>
    <row r="1729" spans="13:20">
      <c r="M1729" s="2"/>
      <c r="O1729" s="2"/>
      <c r="R1729" s="2"/>
      <c r="T1729" s="2"/>
    </row>
    <row r="1730" spans="13:20">
      <c r="M1730" s="2"/>
      <c r="O1730" s="2"/>
      <c r="R1730" s="2"/>
      <c r="T1730" s="2"/>
    </row>
    <row r="1731" spans="13:20">
      <c r="M1731" s="2"/>
      <c r="O1731" s="2"/>
      <c r="R1731" s="2"/>
      <c r="T1731" s="2"/>
    </row>
    <row r="1732" spans="13:20">
      <c r="M1732" s="2"/>
      <c r="O1732" s="2"/>
      <c r="R1732" s="2"/>
      <c r="T1732" s="2"/>
    </row>
    <row r="1733" spans="13:20">
      <c r="M1733" s="2"/>
      <c r="O1733" s="2"/>
      <c r="R1733" s="2"/>
      <c r="T1733" s="2"/>
    </row>
    <row r="1734" spans="13:20">
      <c r="M1734" s="2"/>
      <c r="O1734" s="2"/>
      <c r="R1734" s="2"/>
      <c r="T1734" s="2"/>
    </row>
    <row r="1735" spans="13:20">
      <c r="M1735" s="2"/>
      <c r="O1735" s="2"/>
      <c r="R1735" s="2"/>
      <c r="T1735" s="2"/>
    </row>
    <row r="1736" spans="13:20">
      <c r="M1736" s="2"/>
      <c r="O1736" s="2"/>
      <c r="R1736" s="2"/>
      <c r="T1736" s="2"/>
    </row>
    <row r="1737" spans="13:20">
      <c r="M1737" s="2"/>
      <c r="O1737" s="2"/>
      <c r="R1737" s="2"/>
      <c r="T1737" s="2"/>
    </row>
    <row r="1738" spans="13:20">
      <c r="M1738" s="2"/>
      <c r="O1738" s="2"/>
      <c r="R1738" s="2"/>
      <c r="T1738" s="2"/>
    </row>
    <row r="1739" spans="13:20">
      <c r="M1739" s="2"/>
      <c r="O1739" s="2"/>
      <c r="R1739" s="2"/>
      <c r="T1739" s="2"/>
    </row>
    <row r="1740" spans="13:20">
      <c r="M1740" s="2"/>
      <c r="O1740" s="2"/>
      <c r="R1740" s="2"/>
      <c r="T1740" s="2"/>
    </row>
    <row r="1741" spans="13:20">
      <c r="M1741" s="2"/>
      <c r="O1741" s="2"/>
      <c r="R1741" s="2"/>
      <c r="T1741" s="2"/>
    </row>
    <row r="1742" spans="13:20">
      <c r="M1742" s="2"/>
      <c r="O1742" s="2"/>
      <c r="R1742" s="2"/>
      <c r="T1742" s="2"/>
    </row>
    <row r="1743" spans="13:20">
      <c r="M1743" s="2"/>
      <c r="O1743" s="2"/>
      <c r="R1743" s="2"/>
      <c r="T1743" s="2"/>
    </row>
    <row r="1744" spans="13:20">
      <c r="M1744" s="2"/>
      <c r="O1744" s="2"/>
      <c r="R1744" s="2"/>
      <c r="T1744" s="2"/>
    </row>
    <row r="1745" spans="13:20">
      <c r="M1745" s="2"/>
      <c r="O1745" s="2"/>
      <c r="R1745" s="2"/>
      <c r="T1745" s="2"/>
    </row>
    <row r="1746" spans="13:20">
      <c r="M1746" s="2"/>
      <c r="O1746" s="2"/>
      <c r="R1746" s="2"/>
      <c r="T1746" s="2"/>
    </row>
    <row r="1747" spans="13:20">
      <c r="M1747" s="2"/>
      <c r="O1747" s="2"/>
      <c r="R1747" s="2"/>
      <c r="T1747" s="2"/>
    </row>
    <row r="1748" spans="13:20">
      <c r="M1748" s="2"/>
      <c r="O1748" s="2"/>
      <c r="R1748" s="2"/>
      <c r="T1748" s="2"/>
    </row>
    <row r="1749" spans="13:20">
      <c r="M1749" s="2"/>
      <c r="O1749" s="2"/>
      <c r="R1749" s="2"/>
      <c r="T1749" s="2"/>
    </row>
    <row r="1750" spans="13:20">
      <c r="M1750" s="2"/>
      <c r="O1750" s="2"/>
      <c r="R1750" s="2"/>
      <c r="T1750" s="2"/>
    </row>
    <row r="1751" spans="13:20">
      <c r="M1751" s="2"/>
      <c r="O1751" s="2"/>
      <c r="R1751" s="2"/>
      <c r="T1751" s="2"/>
    </row>
    <row r="1752" spans="13:20">
      <c r="M1752" s="2"/>
      <c r="O1752" s="2"/>
      <c r="R1752" s="2"/>
      <c r="T1752" s="2"/>
    </row>
    <row r="1753" spans="13:20">
      <c r="M1753" s="2"/>
      <c r="O1753" s="2"/>
      <c r="R1753" s="2"/>
      <c r="T1753" s="2"/>
    </row>
    <row r="1754" spans="13:20">
      <c r="M1754" s="2"/>
      <c r="O1754" s="2"/>
      <c r="R1754" s="2"/>
      <c r="T1754" s="2"/>
    </row>
    <row r="1755" spans="13:20">
      <c r="M1755" s="2"/>
      <c r="O1755" s="2"/>
      <c r="R1755" s="2"/>
      <c r="T1755" s="2"/>
    </row>
    <row r="1756" spans="13:20">
      <c r="M1756" s="2"/>
      <c r="O1756" s="2"/>
      <c r="R1756" s="2"/>
      <c r="T1756" s="2"/>
    </row>
    <row r="1757" spans="13:20">
      <c r="M1757" s="2"/>
      <c r="O1757" s="2"/>
      <c r="R1757" s="2"/>
      <c r="T1757" s="2"/>
    </row>
    <row r="1758" spans="13:20">
      <c r="M1758" s="2"/>
      <c r="O1758" s="2"/>
      <c r="R1758" s="2"/>
      <c r="T1758" s="2"/>
    </row>
    <row r="1759" spans="13:20">
      <c r="M1759" s="2"/>
      <c r="O1759" s="2"/>
      <c r="R1759" s="2"/>
      <c r="T1759" s="2"/>
    </row>
    <row r="1760" spans="13:20">
      <c r="M1760" s="2"/>
      <c r="O1760" s="2"/>
      <c r="R1760" s="2"/>
      <c r="T1760" s="2"/>
    </row>
    <row r="1761" spans="13:20">
      <c r="M1761" s="2"/>
      <c r="O1761" s="2"/>
      <c r="R1761" s="2"/>
      <c r="T1761" s="2"/>
    </row>
    <row r="1762" spans="13:20">
      <c r="M1762" s="2"/>
      <c r="O1762" s="2"/>
      <c r="R1762" s="2"/>
      <c r="T1762" s="2"/>
    </row>
    <row r="1763" spans="13:20">
      <c r="M1763" s="2"/>
      <c r="O1763" s="2"/>
      <c r="R1763" s="2"/>
      <c r="T1763" s="2"/>
    </row>
    <row r="1764" spans="13:20">
      <c r="M1764" s="2"/>
      <c r="O1764" s="2"/>
      <c r="R1764" s="2"/>
      <c r="T1764" s="2"/>
    </row>
    <row r="1765" spans="13:20">
      <c r="M1765" s="2"/>
      <c r="O1765" s="2"/>
      <c r="R1765" s="2"/>
      <c r="T1765" s="2"/>
    </row>
    <row r="1766" spans="13:20">
      <c r="M1766" s="2"/>
      <c r="O1766" s="2"/>
      <c r="R1766" s="2"/>
      <c r="T1766" s="2"/>
    </row>
    <row r="1767" spans="13:20">
      <c r="M1767" s="2"/>
      <c r="O1767" s="2"/>
      <c r="R1767" s="2"/>
      <c r="T1767" s="2"/>
    </row>
    <row r="1768" spans="13:20">
      <c r="M1768" s="2"/>
      <c r="O1768" s="2"/>
      <c r="R1768" s="2"/>
      <c r="T1768" s="2"/>
    </row>
    <row r="1769" spans="13:20">
      <c r="M1769" s="2"/>
      <c r="O1769" s="2"/>
      <c r="R1769" s="2"/>
      <c r="T1769" s="2"/>
    </row>
    <row r="1770" spans="13:20">
      <c r="M1770" s="2"/>
      <c r="O1770" s="2"/>
      <c r="R1770" s="2"/>
      <c r="T1770" s="2"/>
    </row>
    <row r="1771" spans="13:20">
      <c r="M1771" s="2"/>
      <c r="O1771" s="2"/>
      <c r="R1771" s="2"/>
      <c r="T1771" s="2"/>
    </row>
    <row r="1772" spans="13:20">
      <c r="M1772" s="2"/>
      <c r="O1772" s="2"/>
      <c r="R1772" s="2"/>
      <c r="T1772" s="2"/>
    </row>
    <row r="1773" spans="13:20">
      <c r="M1773" s="2"/>
      <c r="O1773" s="2"/>
      <c r="R1773" s="2"/>
      <c r="T1773" s="2"/>
    </row>
    <row r="1774" spans="13:20">
      <c r="M1774" s="2"/>
      <c r="O1774" s="2"/>
      <c r="R1774" s="2"/>
      <c r="T1774" s="2"/>
    </row>
    <row r="1775" spans="13:20">
      <c r="M1775" s="2"/>
      <c r="O1775" s="2"/>
      <c r="R1775" s="2"/>
      <c r="T1775" s="2"/>
    </row>
    <row r="1776" spans="13:20">
      <c r="M1776" s="2"/>
      <c r="O1776" s="2"/>
      <c r="R1776" s="2"/>
      <c r="T1776" s="2"/>
    </row>
    <row r="1777" spans="13:20">
      <c r="M1777" s="2"/>
      <c r="O1777" s="2"/>
      <c r="R1777" s="2"/>
      <c r="T1777" s="2"/>
    </row>
    <row r="1778" spans="13:20">
      <c r="M1778" s="2"/>
      <c r="O1778" s="2"/>
      <c r="R1778" s="2"/>
      <c r="T1778" s="2"/>
    </row>
    <row r="1779" spans="13:20">
      <c r="M1779" s="2"/>
      <c r="O1779" s="2"/>
      <c r="R1779" s="2"/>
      <c r="T1779" s="2"/>
    </row>
    <row r="1780" spans="13:20">
      <c r="M1780" s="2"/>
      <c r="O1780" s="2"/>
      <c r="R1780" s="2"/>
      <c r="T1780" s="2"/>
    </row>
    <row r="1781" spans="13:20">
      <c r="M1781" s="2"/>
      <c r="O1781" s="2"/>
      <c r="R1781" s="2"/>
      <c r="T1781" s="2"/>
    </row>
    <row r="1782" spans="13:20">
      <c r="M1782" s="2"/>
      <c r="O1782" s="2"/>
      <c r="R1782" s="2"/>
      <c r="T1782" s="2"/>
    </row>
    <row r="1783" spans="13:20">
      <c r="M1783" s="2"/>
      <c r="O1783" s="2"/>
      <c r="R1783" s="2"/>
      <c r="T1783" s="2"/>
    </row>
    <row r="1784" spans="13:20">
      <c r="M1784" s="2"/>
      <c r="O1784" s="2"/>
      <c r="R1784" s="2"/>
      <c r="T1784" s="2"/>
    </row>
    <row r="1785" spans="13:20">
      <c r="M1785" s="2"/>
      <c r="O1785" s="2"/>
      <c r="R1785" s="2"/>
      <c r="T1785" s="2"/>
    </row>
    <row r="1786" spans="13:20">
      <c r="M1786" s="2"/>
      <c r="O1786" s="2"/>
      <c r="R1786" s="2"/>
      <c r="T1786" s="2"/>
    </row>
    <row r="1787" spans="13:20">
      <c r="M1787" s="2"/>
      <c r="O1787" s="2"/>
      <c r="R1787" s="2"/>
      <c r="T1787" s="2"/>
    </row>
    <row r="1788" spans="13:20">
      <c r="M1788" s="2"/>
      <c r="O1788" s="2"/>
      <c r="R1788" s="2"/>
      <c r="T1788" s="2"/>
    </row>
    <row r="1789" spans="13:20">
      <c r="M1789" s="2"/>
      <c r="O1789" s="2"/>
      <c r="R1789" s="2"/>
      <c r="T1789" s="2"/>
    </row>
    <row r="1790" spans="13:20">
      <c r="M1790" s="2"/>
      <c r="O1790" s="2"/>
      <c r="R1790" s="2"/>
      <c r="T1790" s="2"/>
    </row>
    <row r="1791" spans="13:20">
      <c r="M1791" s="2"/>
      <c r="O1791" s="2"/>
      <c r="R1791" s="2"/>
      <c r="T1791" s="2"/>
    </row>
    <row r="1792" spans="13:20">
      <c r="M1792" s="2"/>
      <c r="O1792" s="2"/>
      <c r="R1792" s="2"/>
      <c r="T1792" s="2"/>
    </row>
    <row r="1793" spans="13:20">
      <c r="M1793" s="2"/>
      <c r="O1793" s="2"/>
      <c r="R1793" s="2"/>
      <c r="T1793" s="2"/>
    </row>
    <row r="1794" spans="13:20">
      <c r="M1794" s="2"/>
      <c r="O1794" s="2"/>
      <c r="R1794" s="2"/>
      <c r="T1794" s="2"/>
    </row>
    <row r="1795" spans="13:20">
      <c r="M1795" s="2"/>
      <c r="O1795" s="2"/>
      <c r="R1795" s="2"/>
      <c r="T1795" s="2"/>
    </row>
    <row r="1796" spans="13:20">
      <c r="M1796" s="2"/>
      <c r="O1796" s="2"/>
      <c r="R1796" s="2"/>
      <c r="T1796" s="2"/>
    </row>
    <row r="1797" spans="13:20">
      <c r="M1797" s="2"/>
      <c r="O1797" s="2"/>
      <c r="R1797" s="2"/>
      <c r="T1797" s="2"/>
    </row>
    <row r="1798" spans="13:20">
      <c r="M1798" s="2"/>
      <c r="O1798" s="2"/>
      <c r="R1798" s="2"/>
      <c r="T1798" s="2"/>
    </row>
    <row r="1799" spans="13:20">
      <c r="M1799" s="2"/>
      <c r="O1799" s="2"/>
      <c r="R1799" s="2"/>
      <c r="T1799" s="2"/>
    </row>
    <row r="1800" spans="13:20">
      <c r="M1800" s="2"/>
      <c r="O1800" s="2"/>
      <c r="R1800" s="2"/>
      <c r="T1800" s="2"/>
    </row>
    <row r="1801" spans="13:20">
      <c r="M1801" s="2"/>
      <c r="O1801" s="2"/>
      <c r="R1801" s="2"/>
      <c r="T1801" s="2"/>
    </row>
    <row r="1802" spans="13:20">
      <c r="M1802" s="2"/>
      <c r="O1802" s="2"/>
      <c r="R1802" s="2"/>
      <c r="T1802" s="2"/>
    </row>
    <row r="1803" spans="13:20">
      <c r="M1803" s="2"/>
      <c r="O1803" s="2"/>
      <c r="R1803" s="2"/>
      <c r="T1803" s="2"/>
    </row>
    <row r="1804" spans="13:20">
      <c r="M1804" s="2"/>
      <c r="O1804" s="2"/>
      <c r="R1804" s="2"/>
      <c r="T1804" s="2"/>
    </row>
    <row r="1805" spans="13:20">
      <c r="M1805" s="2"/>
      <c r="O1805" s="2"/>
      <c r="R1805" s="2"/>
      <c r="T1805" s="2"/>
    </row>
    <row r="1806" spans="13:20">
      <c r="M1806" s="2"/>
      <c r="O1806" s="2"/>
      <c r="R1806" s="2"/>
      <c r="T1806" s="2"/>
    </row>
    <row r="1807" spans="13:20">
      <c r="M1807" s="2"/>
      <c r="O1807" s="2"/>
      <c r="R1807" s="2"/>
      <c r="T1807" s="2"/>
    </row>
    <row r="1808" spans="13:20">
      <c r="M1808" s="2"/>
      <c r="O1808" s="2"/>
      <c r="R1808" s="2"/>
      <c r="T1808" s="2"/>
    </row>
    <row r="1809" spans="13:20">
      <c r="M1809" s="2"/>
      <c r="O1809" s="2"/>
      <c r="R1809" s="2"/>
      <c r="T1809" s="2"/>
    </row>
    <row r="1810" spans="13:20">
      <c r="M1810" s="2"/>
      <c r="O1810" s="2"/>
      <c r="R1810" s="2"/>
      <c r="T1810" s="2"/>
    </row>
    <row r="1811" spans="13:20">
      <c r="M1811" s="2"/>
      <c r="O1811" s="2"/>
      <c r="R1811" s="2"/>
      <c r="T1811" s="2"/>
    </row>
    <row r="1812" spans="13:20">
      <c r="M1812" s="2"/>
      <c r="O1812" s="2"/>
      <c r="R1812" s="2"/>
      <c r="T1812" s="2"/>
    </row>
    <row r="1813" spans="13:20">
      <c r="M1813" s="2"/>
      <c r="O1813" s="2"/>
      <c r="R1813" s="2"/>
      <c r="T1813" s="2"/>
    </row>
    <row r="1814" spans="13:20">
      <c r="M1814" s="2"/>
      <c r="O1814" s="2"/>
      <c r="R1814" s="2"/>
      <c r="T1814" s="2"/>
    </row>
    <row r="1815" spans="13:20">
      <c r="M1815" s="2"/>
      <c r="O1815" s="2"/>
      <c r="R1815" s="2"/>
      <c r="T1815" s="2"/>
    </row>
    <row r="1816" spans="13:20">
      <c r="M1816" s="2"/>
      <c r="O1816" s="2"/>
      <c r="R1816" s="2"/>
      <c r="T1816" s="2"/>
    </row>
    <row r="1817" spans="13:20">
      <c r="M1817" s="2"/>
      <c r="O1817" s="2"/>
      <c r="R1817" s="2"/>
      <c r="T1817" s="2"/>
    </row>
    <row r="1818" spans="13:20">
      <c r="M1818" s="2"/>
      <c r="O1818" s="2"/>
      <c r="R1818" s="2"/>
      <c r="T1818" s="2"/>
    </row>
    <row r="1819" spans="13:20">
      <c r="M1819" s="2"/>
      <c r="O1819" s="2"/>
      <c r="R1819" s="2"/>
      <c r="T1819" s="2"/>
    </row>
    <row r="1820" spans="13:20">
      <c r="M1820" s="2"/>
      <c r="O1820" s="2"/>
      <c r="R1820" s="2"/>
      <c r="T1820" s="2"/>
    </row>
    <row r="1821" spans="13:20">
      <c r="M1821" s="2"/>
      <c r="O1821" s="2"/>
      <c r="R1821" s="2"/>
      <c r="T1821" s="2"/>
    </row>
    <row r="1822" spans="13:20">
      <c r="M1822" s="2"/>
      <c r="O1822" s="2"/>
      <c r="R1822" s="2"/>
      <c r="T1822" s="2"/>
    </row>
    <row r="1823" spans="13:20">
      <c r="M1823" s="2"/>
      <c r="O1823" s="2"/>
      <c r="R1823" s="2"/>
      <c r="T1823" s="2"/>
    </row>
    <row r="1824" spans="13:20">
      <c r="M1824" s="2"/>
      <c r="O1824" s="2"/>
      <c r="R1824" s="2"/>
      <c r="T1824" s="2"/>
    </row>
    <row r="1825" spans="13:20">
      <c r="M1825" s="2"/>
      <c r="O1825" s="2"/>
      <c r="R1825" s="2"/>
      <c r="T1825" s="2"/>
    </row>
    <row r="1826" spans="13:20">
      <c r="M1826" s="2"/>
      <c r="O1826" s="2"/>
      <c r="R1826" s="2"/>
      <c r="T1826" s="2"/>
    </row>
    <row r="1827" spans="13:20">
      <c r="M1827" s="2"/>
      <c r="O1827" s="2"/>
      <c r="R1827" s="2"/>
      <c r="T1827" s="2"/>
    </row>
    <row r="1828" spans="13:20">
      <c r="M1828" s="2"/>
      <c r="O1828" s="2"/>
      <c r="R1828" s="2"/>
      <c r="T1828" s="2"/>
    </row>
    <row r="1829" spans="13:20">
      <c r="M1829" s="2"/>
      <c r="O1829" s="2"/>
      <c r="R1829" s="2"/>
      <c r="T1829" s="2"/>
    </row>
    <row r="1830" spans="13:20">
      <c r="M1830" s="2"/>
      <c r="O1830" s="2"/>
      <c r="R1830" s="2"/>
      <c r="T1830" s="2"/>
    </row>
    <row r="1831" spans="13:20">
      <c r="M1831" s="2"/>
      <c r="O1831" s="2"/>
      <c r="R1831" s="2"/>
      <c r="T1831" s="2"/>
    </row>
    <row r="1832" spans="13:20">
      <c r="M1832" s="2"/>
      <c r="O1832" s="2"/>
      <c r="R1832" s="2"/>
      <c r="T1832" s="2"/>
    </row>
    <row r="1833" spans="13:20">
      <c r="M1833" s="2"/>
      <c r="O1833" s="2"/>
      <c r="R1833" s="2"/>
      <c r="T1833" s="2"/>
    </row>
    <row r="1834" spans="13:20">
      <c r="M1834" s="2"/>
      <c r="O1834" s="2"/>
      <c r="R1834" s="2"/>
      <c r="T1834" s="2"/>
    </row>
    <row r="1835" spans="13:20">
      <c r="M1835" s="2"/>
      <c r="O1835" s="2"/>
      <c r="R1835" s="2"/>
      <c r="T1835" s="2"/>
    </row>
    <row r="1836" spans="13:20">
      <c r="M1836" s="2"/>
      <c r="O1836" s="2"/>
      <c r="R1836" s="2"/>
      <c r="T1836" s="2"/>
    </row>
    <row r="1837" spans="13:20">
      <c r="M1837" s="2"/>
      <c r="O1837" s="2"/>
      <c r="R1837" s="2"/>
      <c r="T1837" s="2"/>
    </row>
    <row r="1838" spans="13:20">
      <c r="M1838" s="2"/>
      <c r="O1838" s="2"/>
      <c r="R1838" s="2"/>
      <c r="T1838" s="2"/>
    </row>
    <row r="1839" spans="13:20">
      <c r="M1839" s="2"/>
      <c r="O1839" s="2"/>
      <c r="R1839" s="2"/>
      <c r="T1839" s="2"/>
    </row>
    <row r="1840" spans="13:20">
      <c r="M1840" s="2"/>
      <c r="O1840" s="2"/>
      <c r="R1840" s="2"/>
      <c r="T1840" s="2"/>
    </row>
    <row r="1841" spans="13:20">
      <c r="M1841" s="2"/>
      <c r="O1841" s="2"/>
      <c r="R1841" s="2"/>
      <c r="T1841" s="2"/>
    </row>
    <row r="1842" spans="13:20">
      <c r="M1842" s="2"/>
      <c r="O1842" s="2"/>
      <c r="R1842" s="2"/>
      <c r="T1842" s="2"/>
    </row>
    <row r="1843" spans="13:20">
      <c r="M1843" s="2"/>
      <c r="O1843" s="2"/>
      <c r="R1843" s="2"/>
      <c r="T1843" s="2"/>
    </row>
    <row r="1844" spans="13:20">
      <c r="M1844" s="2"/>
      <c r="O1844" s="2"/>
      <c r="R1844" s="2"/>
      <c r="T1844" s="2"/>
    </row>
    <row r="1845" spans="13:20">
      <c r="M1845" s="2"/>
      <c r="O1845" s="2"/>
      <c r="R1845" s="2"/>
      <c r="T1845" s="2"/>
    </row>
    <row r="1846" spans="13:20">
      <c r="M1846" s="2"/>
      <c r="O1846" s="2"/>
      <c r="R1846" s="2"/>
      <c r="T1846" s="2"/>
    </row>
    <row r="1847" spans="13:20">
      <c r="M1847" s="2"/>
      <c r="O1847" s="2"/>
      <c r="R1847" s="2"/>
      <c r="T1847" s="2"/>
    </row>
    <row r="1848" spans="13:20">
      <c r="M1848" s="2"/>
      <c r="O1848" s="2"/>
      <c r="R1848" s="2"/>
      <c r="T1848" s="2"/>
    </row>
    <row r="1849" spans="13:20">
      <c r="M1849" s="2"/>
      <c r="O1849" s="2"/>
      <c r="R1849" s="2"/>
      <c r="T1849" s="2"/>
    </row>
    <row r="1850" spans="13:20">
      <c r="M1850" s="2"/>
      <c r="O1850" s="2"/>
      <c r="R1850" s="2"/>
      <c r="T1850" s="2"/>
    </row>
    <row r="1851" spans="13:20">
      <c r="M1851" s="2"/>
      <c r="O1851" s="2"/>
      <c r="R1851" s="2"/>
      <c r="T1851" s="2"/>
    </row>
    <row r="1852" spans="13:20">
      <c r="M1852" s="2"/>
      <c r="O1852" s="2"/>
      <c r="R1852" s="2"/>
      <c r="T1852" s="2"/>
    </row>
    <row r="1853" spans="13:20">
      <c r="M1853" s="2"/>
      <c r="O1853" s="2"/>
      <c r="R1853" s="2"/>
      <c r="T1853" s="2"/>
    </row>
    <row r="1854" spans="13:20">
      <c r="M1854" s="2"/>
      <c r="O1854" s="2"/>
      <c r="R1854" s="2"/>
      <c r="T1854" s="2"/>
    </row>
    <row r="1855" spans="13:20">
      <c r="M1855" s="2"/>
      <c r="O1855" s="2"/>
      <c r="R1855" s="2"/>
      <c r="T1855" s="2"/>
    </row>
    <row r="1856" spans="13:20">
      <c r="M1856" s="2"/>
      <c r="O1856" s="2"/>
      <c r="R1856" s="2"/>
      <c r="T1856" s="2"/>
    </row>
    <row r="1857" spans="13:20">
      <c r="M1857" s="2"/>
      <c r="O1857" s="2"/>
      <c r="R1857" s="2"/>
      <c r="T1857" s="2"/>
    </row>
    <row r="1858" spans="13:20">
      <c r="M1858" s="2"/>
      <c r="O1858" s="2"/>
      <c r="R1858" s="2"/>
      <c r="T1858" s="2"/>
    </row>
    <row r="1859" spans="13:20">
      <c r="M1859" s="2"/>
      <c r="O1859" s="2"/>
      <c r="R1859" s="2"/>
      <c r="T1859" s="2"/>
    </row>
    <row r="1860" spans="13:20">
      <c r="M1860" s="2"/>
      <c r="O1860" s="2"/>
      <c r="R1860" s="2"/>
      <c r="T1860" s="2"/>
    </row>
    <row r="1861" spans="13:20">
      <c r="M1861" s="2"/>
      <c r="O1861" s="2"/>
      <c r="R1861" s="2"/>
      <c r="T1861" s="2"/>
    </row>
    <row r="1862" spans="13:20">
      <c r="M1862" s="2"/>
      <c r="O1862" s="2"/>
      <c r="R1862" s="2"/>
      <c r="T1862" s="2"/>
    </row>
    <row r="1863" spans="13:20">
      <c r="M1863" s="2"/>
      <c r="O1863" s="2"/>
      <c r="R1863" s="2"/>
      <c r="T1863" s="2"/>
    </row>
    <row r="1864" spans="13:20">
      <c r="M1864" s="2"/>
      <c r="O1864" s="2"/>
      <c r="R1864" s="2"/>
      <c r="T1864" s="2"/>
    </row>
    <row r="1865" spans="13:20">
      <c r="M1865" s="2"/>
      <c r="O1865" s="2"/>
      <c r="R1865" s="2"/>
      <c r="T1865" s="2"/>
    </row>
    <row r="1866" spans="13:20">
      <c r="M1866" s="2"/>
      <c r="O1866" s="2"/>
      <c r="R1866" s="2"/>
      <c r="T1866" s="2"/>
    </row>
    <row r="1867" spans="13:20">
      <c r="M1867" s="2"/>
      <c r="O1867" s="2"/>
      <c r="R1867" s="2"/>
      <c r="T1867" s="2"/>
    </row>
    <row r="1868" spans="13:20">
      <c r="M1868" s="2"/>
      <c r="O1868" s="2"/>
      <c r="R1868" s="2"/>
      <c r="T1868" s="2"/>
    </row>
    <row r="1869" spans="13:20">
      <c r="M1869" s="2"/>
      <c r="O1869" s="2"/>
      <c r="R1869" s="2"/>
      <c r="T1869" s="2"/>
    </row>
    <row r="1870" spans="13:20">
      <c r="M1870" s="2"/>
      <c r="O1870" s="2"/>
      <c r="R1870" s="2"/>
      <c r="T1870" s="2"/>
    </row>
    <row r="1871" spans="13:20">
      <c r="M1871" s="2"/>
      <c r="O1871" s="2"/>
      <c r="R1871" s="2"/>
      <c r="T1871" s="2"/>
    </row>
    <row r="1872" spans="13:20">
      <c r="M1872" s="2"/>
      <c r="O1872" s="2"/>
      <c r="R1872" s="2"/>
      <c r="T1872" s="2"/>
    </row>
    <row r="1873" spans="13:20">
      <c r="M1873" s="2"/>
      <c r="O1873" s="2"/>
      <c r="R1873" s="2"/>
      <c r="T1873" s="2"/>
    </row>
    <row r="1874" spans="13:20">
      <c r="M1874" s="2"/>
      <c r="O1874" s="2"/>
      <c r="R1874" s="2"/>
      <c r="T1874" s="2"/>
    </row>
    <row r="1875" spans="13:20">
      <c r="M1875" s="2"/>
      <c r="O1875" s="2"/>
      <c r="R1875" s="2"/>
      <c r="T1875" s="2"/>
    </row>
    <row r="1876" spans="13:20">
      <c r="M1876" s="2"/>
      <c r="O1876" s="2"/>
      <c r="R1876" s="2"/>
      <c r="T1876" s="2"/>
    </row>
    <row r="1877" spans="13:20">
      <c r="M1877" s="2"/>
      <c r="O1877" s="2"/>
      <c r="R1877" s="2"/>
      <c r="T1877" s="2"/>
    </row>
    <row r="1878" spans="13:20">
      <c r="M1878" s="2"/>
      <c r="O1878" s="2"/>
      <c r="R1878" s="2"/>
      <c r="T1878" s="2"/>
    </row>
    <row r="1879" spans="13:20">
      <c r="M1879" s="2"/>
      <c r="O1879" s="2"/>
      <c r="R1879" s="2"/>
      <c r="T1879" s="2"/>
    </row>
    <row r="1880" spans="13:20">
      <c r="M1880" s="2"/>
      <c r="O1880" s="2"/>
      <c r="R1880" s="2"/>
      <c r="T1880" s="2"/>
    </row>
    <row r="1881" spans="13:20">
      <c r="M1881" s="2"/>
      <c r="O1881" s="2"/>
      <c r="R1881" s="2"/>
      <c r="T1881" s="2"/>
    </row>
    <row r="1882" spans="13:20">
      <c r="M1882" s="2"/>
      <c r="O1882" s="2"/>
      <c r="R1882" s="2"/>
      <c r="T1882" s="2"/>
    </row>
    <row r="1883" spans="13:20">
      <c r="M1883" s="2"/>
      <c r="O1883" s="2"/>
      <c r="R1883" s="2"/>
      <c r="T1883" s="2"/>
    </row>
    <row r="1884" spans="13:20">
      <c r="M1884" s="2"/>
      <c r="O1884" s="2"/>
      <c r="R1884" s="2"/>
      <c r="T1884" s="2"/>
    </row>
    <row r="1885" spans="13:20">
      <c r="M1885" s="2"/>
      <c r="O1885" s="2"/>
      <c r="R1885" s="2"/>
      <c r="T1885" s="2"/>
    </row>
    <row r="1886" spans="13:20">
      <c r="M1886" s="2"/>
      <c r="O1886" s="2"/>
      <c r="R1886" s="2"/>
      <c r="T1886" s="2"/>
    </row>
    <row r="1887" spans="13:20">
      <c r="M1887" s="2"/>
      <c r="O1887" s="2"/>
      <c r="R1887" s="2"/>
      <c r="T1887" s="2"/>
    </row>
    <row r="1888" spans="13:20">
      <c r="M1888" s="2"/>
      <c r="O1888" s="2"/>
      <c r="R1888" s="2"/>
      <c r="T1888" s="2"/>
    </row>
    <row r="1889" spans="13:20">
      <c r="M1889" s="2"/>
      <c r="O1889" s="2"/>
      <c r="R1889" s="2"/>
      <c r="T1889" s="2"/>
    </row>
    <row r="1890" spans="13:20">
      <c r="M1890" s="2"/>
      <c r="O1890" s="2"/>
      <c r="R1890" s="2"/>
      <c r="T1890" s="2"/>
    </row>
    <row r="1891" spans="13:20">
      <c r="M1891" s="2"/>
      <c r="O1891" s="2"/>
      <c r="R1891" s="2"/>
      <c r="T1891" s="2"/>
    </row>
    <row r="1892" spans="13:20">
      <c r="M1892" s="2"/>
      <c r="O1892" s="2"/>
      <c r="R1892" s="2"/>
      <c r="T1892" s="2"/>
    </row>
    <row r="1893" spans="13:20">
      <c r="M1893" s="2"/>
      <c r="O1893" s="2"/>
      <c r="R1893" s="2"/>
      <c r="T1893" s="2"/>
    </row>
    <row r="1894" spans="13:20">
      <c r="M1894" s="2"/>
      <c r="O1894" s="2"/>
      <c r="R1894" s="2"/>
      <c r="T1894" s="2"/>
    </row>
    <row r="1895" spans="13:20">
      <c r="M1895" s="2"/>
      <c r="O1895" s="2"/>
      <c r="R1895" s="2"/>
      <c r="T1895" s="2"/>
    </row>
    <row r="1896" spans="13:20">
      <c r="M1896" s="2"/>
      <c r="O1896" s="2"/>
      <c r="R1896" s="2"/>
      <c r="T1896" s="2"/>
    </row>
    <row r="1897" spans="13:20">
      <c r="M1897" s="2"/>
      <c r="O1897" s="2"/>
      <c r="R1897" s="2"/>
      <c r="T1897" s="2"/>
    </row>
    <row r="1898" spans="13:20">
      <c r="M1898" s="2"/>
      <c r="O1898" s="2"/>
      <c r="R1898" s="2"/>
      <c r="T1898" s="2"/>
    </row>
    <row r="1899" spans="13:20">
      <c r="M1899" s="2"/>
      <c r="O1899" s="2"/>
      <c r="R1899" s="2"/>
      <c r="T1899" s="2"/>
    </row>
    <row r="1900" spans="13:20">
      <c r="M1900" s="2"/>
      <c r="O1900" s="2"/>
      <c r="R1900" s="2"/>
      <c r="T1900" s="2"/>
    </row>
    <row r="1901" spans="13:20">
      <c r="M1901" s="2"/>
      <c r="O1901" s="2"/>
      <c r="R1901" s="2"/>
      <c r="T1901" s="2"/>
    </row>
    <row r="1902" spans="13:20">
      <c r="M1902" s="2"/>
      <c r="O1902" s="2"/>
      <c r="R1902" s="2"/>
      <c r="T1902" s="2"/>
    </row>
    <row r="1903" spans="13:20">
      <c r="M1903" s="2"/>
      <c r="O1903" s="2"/>
      <c r="R1903" s="2"/>
      <c r="T1903" s="2"/>
    </row>
    <row r="1904" spans="13:20">
      <c r="M1904" s="2"/>
      <c r="O1904" s="2"/>
      <c r="R1904" s="2"/>
      <c r="T1904" s="2"/>
    </row>
    <row r="1905" spans="13:20">
      <c r="M1905" s="2"/>
      <c r="O1905" s="2"/>
      <c r="R1905" s="2"/>
      <c r="T1905" s="2"/>
    </row>
    <row r="1906" spans="13:20">
      <c r="M1906" s="2"/>
      <c r="O1906" s="2"/>
      <c r="R1906" s="2"/>
      <c r="T1906" s="2"/>
    </row>
    <row r="1907" spans="13:20">
      <c r="M1907" s="2"/>
      <c r="O1907" s="2"/>
      <c r="R1907" s="2"/>
      <c r="T1907" s="2"/>
    </row>
    <row r="1908" spans="13:20">
      <c r="M1908" s="2"/>
      <c r="O1908" s="2"/>
      <c r="R1908" s="2"/>
      <c r="T1908" s="2"/>
    </row>
    <row r="1909" spans="13:20">
      <c r="M1909" s="2"/>
      <c r="O1909" s="2"/>
      <c r="R1909" s="2"/>
      <c r="T1909" s="2"/>
    </row>
    <row r="1910" spans="13:20">
      <c r="M1910" s="2"/>
      <c r="O1910" s="2"/>
      <c r="R1910" s="2"/>
      <c r="T1910" s="2"/>
    </row>
    <row r="1911" spans="13:20">
      <c r="M1911" s="2"/>
      <c r="O1911" s="2"/>
      <c r="R1911" s="2"/>
      <c r="T1911" s="2"/>
    </row>
    <row r="1912" spans="13:20">
      <c r="M1912" s="2"/>
      <c r="O1912" s="2"/>
      <c r="R1912" s="2"/>
      <c r="T1912" s="2"/>
    </row>
    <row r="1913" spans="13:20">
      <c r="M1913" s="2"/>
      <c r="O1913" s="2"/>
      <c r="R1913" s="2"/>
      <c r="T1913" s="2"/>
    </row>
    <row r="1914" spans="13:20">
      <c r="M1914" s="2"/>
      <c r="O1914" s="2"/>
      <c r="R1914" s="2"/>
      <c r="T1914" s="2"/>
    </row>
    <row r="1915" spans="13:20">
      <c r="M1915" s="2"/>
      <c r="O1915" s="2"/>
      <c r="R1915" s="2"/>
      <c r="T1915" s="2"/>
    </row>
    <row r="1916" spans="13:20">
      <c r="M1916" s="2"/>
      <c r="O1916" s="2"/>
      <c r="R1916" s="2"/>
      <c r="T1916" s="2"/>
    </row>
    <row r="1917" spans="13:20">
      <c r="M1917" s="2"/>
      <c r="O1917" s="2"/>
      <c r="R1917" s="2"/>
      <c r="T1917" s="2"/>
    </row>
    <row r="1918" spans="13:20">
      <c r="M1918" s="2"/>
      <c r="O1918" s="2"/>
      <c r="R1918" s="2"/>
      <c r="T1918" s="2"/>
    </row>
    <row r="1919" spans="13:20">
      <c r="M1919" s="2"/>
      <c r="O1919" s="2"/>
      <c r="R1919" s="2"/>
      <c r="T1919" s="2"/>
    </row>
    <row r="1920" spans="13:20">
      <c r="M1920" s="2"/>
      <c r="O1920" s="2"/>
      <c r="R1920" s="2"/>
      <c r="T1920" s="2"/>
    </row>
    <row r="1921" spans="13:20">
      <c r="M1921" s="2"/>
      <c r="O1921" s="2"/>
      <c r="R1921" s="2"/>
      <c r="T1921" s="2"/>
    </row>
    <row r="1922" spans="13:20">
      <c r="M1922" s="2"/>
      <c r="O1922" s="2"/>
      <c r="R1922" s="2"/>
      <c r="T1922" s="2"/>
    </row>
    <row r="1923" spans="13:20">
      <c r="M1923" s="2"/>
      <c r="O1923" s="2"/>
      <c r="R1923" s="2"/>
      <c r="T1923" s="2"/>
    </row>
    <row r="1924" spans="13:20">
      <c r="M1924" s="2"/>
      <c r="O1924" s="2"/>
      <c r="R1924" s="2"/>
      <c r="T1924" s="2"/>
    </row>
    <row r="1925" spans="13:20">
      <c r="M1925" s="2"/>
      <c r="O1925" s="2"/>
      <c r="R1925" s="2"/>
      <c r="T1925" s="2"/>
    </row>
    <row r="1926" spans="13:20">
      <c r="M1926" s="2"/>
      <c r="O1926" s="2"/>
      <c r="R1926" s="2"/>
      <c r="T1926" s="2"/>
    </row>
    <row r="1927" spans="13:20">
      <c r="M1927" s="2"/>
      <c r="O1927" s="2"/>
      <c r="R1927" s="2"/>
      <c r="T1927" s="2"/>
    </row>
    <row r="1928" spans="13:20">
      <c r="M1928" s="2"/>
      <c r="O1928" s="2"/>
      <c r="R1928" s="2"/>
      <c r="T1928" s="2"/>
    </row>
    <row r="1929" spans="13:20">
      <c r="M1929" s="2"/>
      <c r="O1929" s="2"/>
      <c r="R1929" s="2"/>
      <c r="T1929" s="2"/>
    </row>
    <row r="1930" spans="13:20">
      <c r="M1930" s="2"/>
      <c r="O1930" s="2"/>
      <c r="R1930" s="2"/>
      <c r="T1930" s="2"/>
    </row>
    <row r="1931" spans="13:20">
      <c r="M1931" s="2"/>
      <c r="O1931" s="2"/>
      <c r="R1931" s="2"/>
      <c r="T1931" s="2"/>
    </row>
    <row r="1932" spans="13:20">
      <c r="M1932" s="2"/>
      <c r="O1932" s="2"/>
      <c r="R1932" s="2"/>
      <c r="T1932" s="2"/>
    </row>
    <row r="1933" spans="13:20">
      <c r="M1933" s="2"/>
      <c r="O1933" s="2"/>
      <c r="R1933" s="2"/>
      <c r="T1933" s="2"/>
    </row>
    <row r="1934" spans="13:20">
      <c r="M1934" s="2"/>
      <c r="O1934" s="2"/>
      <c r="R1934" s="2"/>
      <c r="T1934" s="2"/>
    </row>
    <row r="1935" spans="13:20">
      <c r="M1935" s="2"/>
      <c r="O1935" s="2"/>
      <c r="R1935" s="2"/>
      <c r="T1935" s="2"/>
    </row>
    <row r="1936" spans="13:20">
      <c r="M1936" s="2"/>
      <c r="O1936" s="2"/>
      <c r="R1936" s="2"/>
      <c r="T1936" s="2"/>
    </row>
    <row r="1937" spans="13:20">
      <c r="M1937" s="2"/>
      <c r="O1937" s="2"/>
      <c r="R1937" s="2"/>
      <c r="T1937" s="2"/>
    </row>
    <row r="1938" spans="13:20">
      <c r="M1938" s="2"/>
      <c r="O1938" s="2"/>
      <c r="R1938" s="2"/>
      <c r="T1938" s="2"/>
    </row>
    <row r="1939" spans="13:20">
      <c r="M1939" s="2"/>
      <c r="O1939" s="2"/>
      <c r="R1939" s="2"/>
      <c r="T1939" s="2"/>
    </row>
    <row r="1940" spans="13:20">
      <c r="M1940" s="2"/>
      <c r="O1940" s="2"/>
      <c r="R1940" s="2"/>
      <c r="T1940" s="2"/>
    </row>
    <row r="1941" spans="13:20">
      <c r="M1941" s="2"/>
      <c r="O1941" s="2"/>
      <c r="R1941" s="2"/>
      <c r="T1941" s="2"/>
    </row>
    <row r="1942" spans="13:20">
      <c r="M1942" s="2"/>
      <c r="O1942" s="2"/>
      <c r="R1942" s="2"/>
      <c r="T1942" s="2"/>
    </row>
    <row r="1943" spans="13:20">
      <c r="M1943" s="2"/>
      <c r="O1943" s="2"/>
      <c r="R1943" s="2"/>
      <c r="T1943" s="2"/>
    </row>
    <row r="1944" spans="13:20">
      <c r="M1944" s="2"/>
      <c r="O1944" s="2"/>
      <c r="R1944" s="2"/>
      <c r="T1944" s="2"/>
    </row>
    <row r="1945" spans="13:20">
      <c r="M1945" s="2"/>
      <c r="O1945" s="2"/>
      <c r="R1945" s="2"/>
      <c r="T1945" s="2"/>
    </row>
    <row r="1946" spans="13:20">
      <c r="M1946" s="2"/>
      <c r="O1946" s="2"/>
      <c r="R1946" s="2"/>
      <c r="T1946" s="2"/>
    </row>
    <row r="1947" spans="13:20">
      <c r="M1947" s="2"/>
      <c r="O1947" s="2"/>
      <c r="R1947" s="2"/>
      <c r="T1947" s="2"/>
    </row>
    <row r="1948" spans="13:20">
      <c r="M1948" s="2"/>
      <c r="O1948" s="2"/>
      <c r="R1948" s="2"/>
      <c r="T1948" s="2"/>
    </row>
    <row r="1949" spans="13:20">
      <c r="M1949" s="2"/>
      <c r="O1949" s="2"/>
      <c r="R1949" s="2"/>
      <c r="T1949" s="2"/>
    </row>
    <row r="1950" spans="13:20">
      <c r="M1950" s="2"/>
      <c r="O1950" s="2"/>
      <c r="R1950" s="2"/>
      <c r="T1950" s="2"/>
    </row>
    <row r="1951" spans="13:20">
      <c r="M1951" s="2"/>
      <c r="O1951" s="2"/>
      <c r="R1951" s="2"/>
      <c r="T1951" s="2"/>
    </row>
    <row r="1952" spans="13:20">
      <c r="M1952" s="2"/>
      <c r="O1952" s="2"/>
      <c r="R1952" s="2"/>
      <c r="T1952" s="2"/>
    </row>
    <row r="1953" spans="13:20">
      <c r="M1953" s="2"/>
      <c r="O1953" s="2"/>
      <c r="R1953" s="2"/>
      <c r="T1953" s="2"/>
    </row>
    <row r="1954" spans="13:20">
      <c r="M1954" s="2"/>
      <c r="O1954" s="2"/>
      <c r="R1954" s="2"/>
      <c r="T1954" s="2"/>
    </row>
    <row r="1955" spans="13:20">
      <c r="M1955" s="2"/>
      <c r="O1955" s="2"/>
      <c r="R1955" s="2"/>
      <c r="T1955" s="2"/>
    </row>
    <row r="1956" spans="13:20">
      <c r="M1956" s="2"/>
      <c r="O1956" s="2"/>
      <c r="R1956" s="2"/>
      <c r="T1956" s="2"/>
    </row>
    <row r="1957" spans="13:20">
      <c r="M1957" s="2"/>
      <c r="O1957" s="2"/>
      <c r="R1957" s="2"/>
      <c r="T1957" s="2"/>
    </row>
    <row r="1958" spans="13:20">
      <c r="M1958" s="2"/>
      <c r="O1958" s="2"/>
      <c r="R1958" s="2"/>
      <c r="T1958" s="2"/>
    </row>
    <row r="1959" spans="13:20">
      <c r="M1959" s="2"/>
      <c r="O1959" s="2"/>
      <c r="R1959" s="2"/>
      <c r="T1959" s="2"/>
    </row>
    <row r="1960" spans="13:20">
      <c r="M1960" s="2"/>
      <c r="O1960" s="2"/>
      <c r="R1960" s="2"/>
      <c r="T1960" s="2"/>
    </row>
    <row r="1961" spans="13:20">
      <c r="M1961" s="2"/>
      <c r="O1961" s="2"/>
      <c r="R1961" s="2"/>
      <c r="T1961" s="2"/>
    </row>
    <row r="1962" spans="13:20">
      <c r="M1962" s="2"/>
      <c r="O1962" s="2"/>
      <c r="R1962" s="2"/>
      <c r="T1962" s="2"/>
    </row>
    <row r="1963" spans="13:20">
      <c r="M1963" s="2"/>
      <c r="O1963" s="2"/>
      <c r="R1963" s="2"/>
      <c r="T1963" s="2"/>
    </row>
    <row r="1964" spans="13:20">
      <c r="M1964" s="2"/>
      <c r="O1964" s="2"/>
      <c r="R1964" s="2"/>
      <c r="T1964" s="2"/>
    </row>
    <row r="1965" spans="13:20">
      <c r="M1965" s="2"/>
      <c r="O1965" s="2"/>
      <c r="R1965" s="2"/>
      <c r="T1965" s="2"/>
    </row>
    <row r="1966" spans="13:20">
      <c r="M1966" s="2"/>
      <c r="O1966" s="2"/>
      <c r="R1966" s="2"/>
      <c r="T1966" s="2"/>
    </row>
    <row r="1967" spans="13:20">
      <c r="M1967" s="2"/>
      <c r="O1967" s="2"/>
      <c r="R1967" s="2"/>
      <c r="T1967" s="2"/>
    </row>
    <row r="1968" spans="13:20">
      <c r="M1968" s="2"/>
      <c r="O1968" s="2"/>
      <c r="R1968" s="2"/>
      <c r="T1968" s="2"/>
    </row>
    <row r="1969" spans="13:20">
      <c r="M1969" s="2"/>
      <c r="O1969" s="2"/>
      <c r="R1969" s="2"/>
      <c r="T1969" s="2"/>
    </row>
    <row r="1970" spans="13:20">
      <c r="M1970" s="2"/>
      <c r="O1970" s="2"/>
      <c r="R1970" s="2"/>
      <c r="T1970" s="2"/>
    </row>
    <row r="1971" spans="13:20">
      <c r="M1971" s="2"/>
      <c r="O1971" s="2"/>
      <c r="R1971" s="2"/>
      <c r="T1971" s="2"/>
    </row>
    <row r="1972" spans="13:20">
      <c r="M1972" s="2"/>
      <c r="O1972" s="2"/>
      <c r="R1972" s="2"/>
      <c r="T1972" s="2"/>
    </row>
    <row r="1973" spans="13:20">
      <c r="M1973" s="2"/>
      <c r="O1973" s="2"/>
      <c r="R1973" s="2"/>
      <c r="T1973" s="2"/>
    </row>
    <row r="1974" spans="13:20">
      <c r="M1974" s="2"/>
      <c r="O1974" s="2"/>
      <c r="R1974" s="2"/>
      <c r="T1974" s="2"/>
    </row>
    <row r="1975" spans="13:20">
      <c r="M1975" s="2"/>
      <c r="O1975" s="2"/>
      <c r="R1975" s="2"/>
      <c r="T1975" s="2"/>
    </row>
    <row r="1976" spans="13:20">
      <c r="M1976" s="2"/>
      <c r="O1976" s="2"/>
      <c r="R1976" s="2"/>
      <c r="T1976" s="2"/>
    </row>
    <row r="1977" spans="13:20">
      <c r="M1977" s="2"/>
      <c r="O1977" s="2"/>
      <c r="R1977" s="2"/>
      <c r="T1977" s="2"/>
    </row>
    <row r="1978" spans="13:20">
      <c r="M1978" s="2"/>
      <c r="O1978" s="2"/>
      <c r="R1978" s="2"/>
      <c r="T1978" s="2"/>
    </row>
    <row r="1979" spans="13:20">
      <c r="M1979" s="2"/>
      <c r="O1979" s="2"/>
      <c r="R1979" s="2"/>
      <c r="T1979" s="2"/>
    </row>
    <row r="1980" spans="13:20">
      <c r="M1980" s="2"/>
      <c r="O1980" s="2"/>
      <c r="R1980" s="2"/>
      <c r="T1980" s="2"/>
    </row>
    <row r="1981" spans="13:20">
      <c r="M1981" s="2"/>
      <c r="O1981" s="2"/>
      <c r="R1981" s="2"/>
      <c r="T1981" s="2"/>
    </row>
    <row r="1982" spans="13:20">
      <c r="M1982" s="2"/>
      <c r="O1982" s="2"/>
      <c r="R1982" s="2"/>
      <c r="T1982" s="2"/>
    </row>
    <row r="1983" spans="13:20">
      <c r="M1983" s="2"/>
      <c r="O1983" s="2"/>
      <c r="R1983" s="2"/>
      <c r="T1983" s="2"/>
    </row>
    <row r="1984" spans="13:20">
      <c r="M1984" s="2"/>
      <c r="O1984" s="2"/>
      <c r="R1984" s="2"/>
      <c r="T1984" s="2"/>
    </row>
    <row r="1985" spans="13:20">
      <c r="M1985" s="2"/>
      <c r="O1985" s="2"/>
      <c r="R1985" s="2"/>
      <c r="T1985" s="2"/>
    </row>
    <row r="1986" spans="13:20">
      <c r="M1986" s="2"/>
      <c r="O1986" s="2"/>
      <c r="R1986" s="2"/>
      <c r="T1986" s="2"/>
    </row>
    <row r="1987" spans="13:20">
      <c r="M1987" s="2"/>
      <c r="O1987" s="2"/>
      <c r="R1987" s="2"/>
      <c r="T1987" s="2"/>
    </row>
    <row r="1988" spans="13:20">
      <c r="M1988" s="2"/>
      <c r="O1988" s="2"/>
      <c r="R1988" s="2"/>
      <c r="T1988" s="2"/>
    </row>
    <row r="1989" spans="13:20">
      <c r="M1989" s="2"/>
      <c r="O1989" s="2"/>
      <c r="R1989" s="2"/>
      <c r="T1989" s="2"/>
    </row>
    <row r="1990" spans="13:20">
      <c r="M1990" s="2"/>
      <c r="O1990" s="2"/>
      <c r="R1990" s="2"/>
      <c r="T1990" s="2"/>
    </row>
    <row r="1991" spans="13:20">
      <c r="M1991" s="2"/>
      <c r="O1991" s="2"/>
      <c r="R1991" s="2"/>
      <c r="T1991" s="2"/>
    </row>
    <row r="1992" spans="13:20">
      <c r="M1992" s="2"/>
      <c r="O1992" s="2"/>
      <c r="R1992" s="2"/>
      <c r="T1992" s="2"/>
    </row>
    <row r="1993" spans="13:20">
      <c r="M1993" s="2"/>
      <c r="O1993" s="2"/>
      <c r="R1993" s="2"/>
      <c r="T1993" s="2"/>
    </row>
    <row r="1994" spans="13:20">
      <c r="M1994" s="2"/>
      <c r="O1994" s="2"/>
      <c r="R1994" s="2"/>
      <c r="T1994" s="2"/>
    </row>
    <row r="1995" spans="13:20">
      <c r="M1995" s="2"/>
      <c r="O1995" s="2"/>
      <c r="R1995" s="2"/>
      <c r="T1995" s="2"/>
    </row>
    <row r="1996" spans="13:20">
      <c r="M1996" s="2"/>
      <c r="O1996" s="2"/>
      <c r="R1996" s="2"/>
      <c r="T1996" s="2"/>
    </row>
    <row r="1997" spans="13:20">
      <c r="M1997" s="2"/>
      <c r="O1997" s="2"/>
      <c r="R1997" s="2"/>
      <c r="T1997" s="2"/>
    </row>
    <row r="1998" spans="13:20">
      <c r="M1998" s="2"/>
      <c r="O1998" s="2"/>
      <c r="R1998" s="2"/>
      <c r="T1998" s="2"/>
    </row>
    <row r="1999" spans="13:20">
      <c r="M1999" s="2"/>
      <c r="O1999" s="2"/>
      <c r="R1999" s="2"/>
      <c r="T1999" s="2"/>
    </row>
    <row r="2000" spans="13:20">
      <c r="M2000" s="2"/>
      <c r="O2000" s="2"/>
      <c r="R2000" s="2"/>
      <c r="T2000" s="2"/>
    </row>
    <row r="2001" spans="13:20">
      <c r="M2001" s="2"/>
      <c r="O2001" s="2"/>
      <c r="R2001" s="2"/>
      <c r="T2001" s="2"/>
    </row>
    <row r="2002" spans="13:20">
      <c r="M2002" s="2"/>
      <c r="O2002" s="2"/>
      <c r="R2002" s="2"/>
      <c r="T2002" s="2"/>
    </row>
    <row r="2003" spans="13:20">
      <c r="M2003" s="2"/>
      <c r="O2003" s="2"/>
      <c r="R2003" s="2"/>
      <c r="T2003" s="2"/>
    </row>
    <row r="2004" spans="13:20">
      <c r="M2004" s="2"/>
      <c r="O2004" s="2"/>
      <c r="R2004" s="2"/>
      <c r="T2004" s="2"/>
    </row>
    <row r="2005" spans="13:20">
      <c r="M2005" s="2"/>
      <c r="O2005" s="2"/>
      <c r="R2005" s="2"/>
      <c r="T2005" s="2"/>
    </row>
    <row r="2006" spans="13:20">
      <c r="M2006" s="2"/>
      <c r="O2006" s="2"/>
      <c r="R2006" s="2"/>
      <c r="T2006" s="2"/>
    </row>
    <row r="2007" spans="13:20">
      <c r="M2007" s="2"/>
      <c r="O2007" s="2"/>
      <c r="R2007" s="2"/>
      <c r="T2007" s="2"/>
    </row>
    <row r="2008" spans="13:20">
      <c r="M2008" s="2"/>
      <c r="O2008" s="2"/>
      <c r="R2008" s="2"/>
      <c r="T2008" s="2"/>
    </row>
    <row r="2009" spans="13:20">
      <c r="M2009" s="2"/>
      <c r="O2009" s="2"/>
      <c r="R2009" s="2"/>
      <c r="T2009" s="2"/>
    </row>
    <row r="2010" spans="13:20">
      <c r="M2010" s="2"/>
      <c r="O2010" s="2"/>
      <c r="R2010" s="2"/>
      <c r="T2010" s="2"/>
    </row>
    <row r="2011" spans="13:20">
      <c r="M2011" s="2"/>
      <c r="O2011" s="2"/>
      <c r="R2011" s="2"/>
      <c r="T2011" s="2"/>
    </row>
    <row r="2012" spans="13:20">
      <c r="M2012" s="2"/>
      <c r="O2012" s="2"/>
      <c r="R2012" s="2"/>
      <c r="T2012" s="2"/>
    </row>
    <row r="2013" spans="13:20">
      <c r="M2013" s="2"/>
      <c r="O2013" s="2"/>
      <c r="R2013" s="2"/>
      <c r="T2013" s="2"/>
    </row>
    <row r="2014" spans="13:20">
      <c r="M2014" s="2"/>
      <c r="O2014" s="2"/>
      <c r="R2014" s="2"/>
      <c r="T2014" s="2"/>
    </row>
    <row r="2015" spans="13:20">
      <c r="M2015" s="2"/>
      <c r="O2015" s="2"/>
      <c r="R2015" s="2"/>
      <c r="T2015" s="2"/>
    </row>
    <row r="2016" spans="13:20">
      <c r="M2016" s="2"/>
      <c r="O2016" s="2"/>
      <c r="R2016" s="2"/>
      <c r="T2016" s="2"/>
    </row>
    <row r="2017" spans="13:20">
      <c r="M2017" s="2"/>
      <c r="O2017" s="2"/>
      <c r="R2017" s="2"/>
      <c r="T2017" s="2"/>
    </row>
    <row r="2018" spans="13:20">
      <c r="M2018" s="2"/>
      <c r="O2018" s="2"/>
      <c r="R2018" s="2"/>
      <c r="T2018" s="2"/>
    </row>
    <row r="2019" spans="13:20">
      <c r="M2019" s="2"/>
      <c r="O2019" s="2"/>
      <c r="R2019" s="2"/>
      <c r="T2019" s="2"/>
    </row>
    <row r="2020" spans="13:20">
      <c r="M2020" s="2"/>
      <c r="O2020" s="2"/>
      <c r="R2020" s="2"/>
      <c r="T2020" s="2"/>
    </row>
    <row r="2021" spans="13:20">
      <c r="M2021" s="2"/>
      <c r="O2021" s="2"/>
      <c r="R2021" s="2"/>
      <c r="T2021" s="2"/>
    </row>
    <row r="2022" spans="13:20">
      <c r="M2022" s="2"/>
      <c r="O2022" s="2"/>
      <c r="R2022" s="2"/>
      <c r="T2022" s="2"/>
    </row>
    <row r="2023" spans="13:20">
      <c r="M2023" s="2"/>
      <c r="O2023" s="2"/>
      <c r="R2023" s="2"/>
      <c r="T2023" s="2"/>
    </row>
    <row r="2024" spans="13:20">
      <c r="M2024" s="2"/>
      <c r="O2024" s="2"/>
      <c r="R2024" s="2"/>
      <c r="T2024" s="2"/>
    </row>
    <row r="2025" spans="13:20">
      <c r="M2025" s="2"/>
      <c r="O2025" s="2"/>
      <c r="R2025" s="2"/>
      <c r="T2025" s="2"/>
    </row>
    <row r="2026" spans="13:20">
      <c r="M2026" s="2"/>
      <c r="O2026" s="2"/>
      <c r="R2026" s="2"/>
      <c r="T2026" s="2"/>
    </row>
    <row r="2027" spans="13:20">
      <c r="M2027" s="2"/>
      <c r="O2027" s="2"/>
      <c r="R2027" s="2"/>
      <c r="T2027" s="2"/>
    </row>
    <row r="2028" spans="13:20">
      <c r="M2028" s="2"/>
      <c r="O2028" s="2"/>
      <c r="R2028" s="2"/>
      <c r="T2028" s="2"/>
    </row>
    <row r="2029" spans="13:20">
      <c r="M2029" s="2"/>
      <c r="O2029" s="2"/>
      <c r="R2029" s="2"/>
      <c r="T2029" s="2"/>
    </row>
    <row r="2030" spans="13:20">
      <c r="M2030" s="2"/>
      <c r="O2030" s="2"/>
      <c r="R2030" s="2"/>
      <c r="T2030" s="2"/>
    </row>
    <row r="2031" spans="13:20">
      <c r="M2031" s="2"/>
      <c r="O2031" s="2"/>
      <c r="R2031" s="2"/>
      <c r="T2031" s="2"/>
    </row>
    <row r="2032" spans="13:20">
      <c r="M2032" s="2"/>
      <c r="O2032" s="2"/>
      <c r="R2032" s="2"/>
      <c r="T2032" s="2"/>
    </row>
    <row r="2033" spans="13:20">
      <c r="M2033" s="2"/>
      <c r="O2033" s="2"/>
      <c r="R2033" s="2"/>
      <c r="T2033" s="2"/>
    </row>
    <row r="2034" spans="13:20">
      <c r="M2034" s="2"/>
      <c r="O2034" s="2"/>
      <c r="R2034" s="2"/>
      <c r="T2034" s="2"/>
    </row>
    <row r="2035" spans="13:20">
      <c r="M2035" s="2"/>
      <c r="O2035" s="2"/>
      <c r="R2035" s="2"/>
      <c r="T2035" s="2"/>
    </row>
    <row r="2036" spans="13:20">
      <c r="M2036" s="2"/>
      <c r="O2036" s="2"/>
      <c r="R2036" s="2"/>
      <c r="T2036" s="2"/>
    </row>
    <row r="2037" spans="13:20">
      <c r="M2037" s="2"/>
      <c r="O2037" s="2"/>
      <c r="R2037" s="2"/>
      <c r="T2037" s="2"/>
    </row>
    <row r="2038" spans="13:20">
      <c r="M2038" s="2"/>
      <c r="O2038" s="2"/>
      <c r="R2038" s="2"/>
      <c r="T2038" s="2"/>
    </row>
    <row r="2039" spans="13:20">
      <c r="M2039" s="2"/>
      <c r="O2039" s="2"/>
      <c r="R2039" s="2"/>
      <c r="T2039" s="2"/>
    </row>
    <row r="2040" spans="13:20">
      <c r="M2040" s="2"/>
      <c r="O2040" s="2"/>
      <c r="R2040" s="2"/>
      <c r="T2040" s="2"/>
    </row>
    <row r="2041" spans="13:20">
      <c r="M2041" s="2"/>
      <c r="O2041" s="2"/>
      <c r="R2041" s="2"/>
      <c r="T2041" s="2"/>
    </row>
    <row r="2042" spans="13:20">
      <c r="M2042" s="2"/>
      <c r="O2042" s="2"/>
      <c r="R2042" s="2"/>
      <c r="T2042" s="2"/>
    </row>
    <row r="2043" spans="13:20">
      <c r="M2043" s="2"/>
      <c r="O2043" s="2"/>
      <c r="R2043" s="2"/>
      <c r="T2043" s="2"/>
    </row>
    <row r="2044" spans="13:20">
      <c r="M2044" s="2"/>
      <c r="O2044" s="2"/>
      <c r="R2044" s="2"/>
      <c r="T2044" s="2"/>
    </row>
    <row r="2045" spans="13:20">
      <c r="M2045" s="2"/>
      <c r="O2045" s="2"/>
      <c r="R2045" s="2"/>
      <c r="T2045" s="2"/>
    </row>
    <row r="2046" spans="13:20">
      <c r="M2046" s="2"/>
      <c r="O2046" s="2"/>
      <c r="R2046" s="2"/>
      <c r="T2046" s="2"/>
    </row>
    <row r="2047" spans="13:20">
      <c r="M2047" s="2"/>
      <c r="O2047" s="2"/>
      <c r="R2047" s="2"/>
      <c r="T2047" s="2"/>
    </row>
    <row r="2048" spans="13:20">
      <c r="M2048" s="2"/>
      <c r="O2048" s="2"/>
      <c r="R2048" s="2"/>
      <c r="T2048" s="2"/>
    </row>
    <row r="2049" spans="13:20">
      <c r="M2049" s="2"/>
      <c r="O2049" s="2"/>
      <c r="R2049" s="2"/>
      <c r="T2049" s="2"/>
    </row>
    <row r="2050" spans="13:20">
      <c r="M2050" s="2"/>
      <c r="O2050" s="2"/>
      <c r="R2050" s="2"/>
      <c r="T2050" s="2"/>
    </row>
    <row r="2051" spans="13:20">
      <c r="M2051" s="2"/>
      <c r="O2051" s="2"/>
      <c r="R2051" s="2"/>
      <c r="T2051" s="2"/>
    </row>
    <row r="2052" spans="13:20">
      <c r="M2052" s="2"/>
      <c r="O2052" s="2"/>
      <c r="R2052" s="2"/>
      <c r="T2052" s="2"/>
    </row>
    <row r="2053" spans="13:20">
      <c r="M2053" s="2"/>
      <c r="O2053" s="2"/>
      <c r="R2053" s="2"/>
      <c r="T2053" s="2"/>
    </row>
    <row r="2054" spans="13:20">
      <c r="M2054" s="2"/>
      <c r="O2054" s="2"/>
      <c r="R2054" s="2"/>
      <c r="T2054" s="2"/>
    </row>
    <row r="2055" spans="13:20">
      <c r="M2055" s="2"/>
      <c r="O2055" s="2"/>
      <c r="R2055" s="2"/>
      <c r="T2055" s="2"/>
    </row>
    <row r="2056" spans="13:20">
      <c r="M2056" s="2"/>
      <c r="O2056" s="2"/>
      <c r="R2056" s="2"/>
      <c r="T2056" s="2"/>
    </row>
    <row r="2057" spans="13:20">
      <c r="M2057" s="2"/>
      <c r="O2057" s="2"/>
      <c r="R2057" s="2"/>
      <c r="T2057" s="2"/>
    </row>
    <row r="2058" spans="13:20">
      <c r="M2058" s="2"/>
      <c r="O2058" s="2"/>
      <c r="R2058" s="2"/>
      <c r="T2058" s="2"/>
    </row>
    <row r="2059" spans="13:20">
      <c r="M2059" s="2"/>
      <c r="O2059" s="2"/>
      <c r="R2059" s="2"/>
      <c r="T2059" s="2"/>
    </row>
    <row r="2060" spans="13:20">
      <c r="M2060" s="2"/>
      <c r="O2060" s="2"/>
      <c r="R2060" s="2"/>
      <c r="T2060" s="2"/>
    </row>
    <row r="2061" spans="13:20">
      <c r="M2061" s="2"/>
      <c r="O2061" s="2"/>
      <c r="R2061" s="2"/>
      <c r="T2061" s="2"/>
    </row>
    <row r="2062" spans="13:20">
      <c r="M2062" s="2"/>
      <c r="O2062" s="2"/>
      <c r="R2062" s="2"/>
      <c r="T2062" s="2"/>
    </row>
    <row r="2063" spans="13:20">
      <c r="M2063" s="2"/>
      <c r="O2063" s="2"/>
      <c r="R2063" s="2"/>
      <c r="T2063" s="2"/>
    </row>
    <row r="2064" spans="13:20">
      <c r="M2064" s="2"/>
      <c r="O2064" s="2"/>
      <c r="R2064" s="2"/>
      <c r="T2064" s="2"/>
    </row>
    <row r="2065" spans="13:20">
      <c r="M2065" s="2"/>
      <c r="O2065" s="2"/>
      <c r="R2065" s="2"/>
      <c r="T2065" s="2"/>
    </row>
    <row r="2066" spans="13:20">
      <c r="M2066" s="2"/>
      <c r="O2066" s="2"/>
      <c r="R2066" s="2"/>
      <c r="T2066" s="2"/>
    </row>
    <row r="2067" spans="13:20">
      <c r="M2067" s="2"/>
      <c r="O2067" s="2"/>
      <c r="R2067" s="2"/>
      <c r="T2067" s="2"/>
    </row>
    <row r="2068" spans="13:20">
      <c r="M2068" s="2"/>
      <c r="O2068" s="2"/>
      <c r="R2068" s="2"/>
      <c r="T2068" s="2"/>
    </row>
    <row r="2069" spans="13:20">
      <c r="M2069" s="2"/>
      <c r="O2069" s="2"/>
      <c r="R2069" s="2"/>
      <c r="T2069" s="2"/>
    </row>
    <row r="2070" spans="13:20">
      <c r="M2070" s="2"/>
      <c r="O2070" s="2"/>
      <c r="R2070" s="2"/>
      <c r="T2070" s="2"/>
    </row>
    <row r="2071" spans="13:20">
      <c r="M2071" s="2"/>
      <c r="O2071" s="2"/>
      <c r="R2071" s="2"/>
      <c r="T2071" s="2"/>
    </row>
    <row r="2072" spans="13:20">
      <c r="M2072" s="2"/>
      <c r="O2072" s="2"/>
      <c r="R2072" s="2"/>
      <c r="T2072" s="2"/>
    </row>
    <row r="2073" spans="13:20">
      <c r="M2073" s="2"/>
      <c r="O2073" s="2"/>
      <c r="R2073" s="2"/>
      <c r="T2073" s="2"/>
    </row>
    <row r="2074" spans="13:20">
      <c r="M2074" s="2"/>
      <c r="O2074" s="2"/>
      <c r="R2074" s="2"/>
      <c r="T2074" s="2"/>
    </row>
    <row r="2075" spans="13:20">
      <c r="M2075" s="2"/>
      <c r="O2075" s="2"/>
      <c r="R2075" s="2"/>
      <c r="T2075" s="2"/>
    </row>
    <row r="2076" spans="13:20">
      <c r="M2076" s="2"/>
      <c r="O2076" s="2"/>
      <c r="R2076" s="2"/>
      <c r="T2076" s="2"/>
    </row>
    <row r="2077" spans="13:20">
      <c r="M2077" s="2"/>
      <c r="O2077" s="2"/>
      <c r="R2077" s="2"/>
      <c r="T2077" s="2"/>
    </row>
    <row r="2078" spans="13:20">
      <c r="M2078" s="2"/>
      <c r="O2078" s="2"/>
      <c r="R2078" s="2"/>
      <c r="T2078" s="2"/>
    </row>
    <row r="2079" spans="13:20">
      <c r="M2079" s="2"/>
      <c r="O2079" s="2"/>
      <c r="R2079" s="2"/>
      <c r="T2079" s="2"/>
    </row>
    <row r="2080" spans="13:20">
      <c r="M2080" s="2"/>
      <c r="O2080" s="2"/>
      <c r="R2080" s="2"/>
      <c r="T2080" s="2"/>
    </row>
    <row r="2081" spans="13:20">
      <c r="M2081" s="2"/>
      <c r="O2081" s="2"/>
      <c r="R2081" s="2"/>
      <c r="T2081" s="2"/>
    </row>
    <row r="2082" spans="13:20">
      <c r="M2082" s="2"/>
      <c r="O2082" s="2"/>
      <c r="R2082" s="2"/>
      <c r="T2082" s="2"/>
    </row>
    <row r="2083" spans="13:20">
      <c r="M2083" s="2"/>
      <c r="O2083" s="2"/>
      <c r="R2083" s="2"/>
      <c r="T2083" s="2"/>
    </row>
    <row r="2084" spans="13:20">
      <c r="M2084" s="2"/>
      <c r="O2084" s="2"/>
      <c r="R2084" s="2"/>
      <c r="T2084" s="2"/>
    </row>
    <row r="2085" spans="13:20">
      <c r="M2085" s="2"/>
      <c r="O2085" s="2"/>
      <c r="R2085" s="2"/>
      <c r="T2085" s="2"/>
    </row>
    <row r="2086" spans="13:20">
      <c r="M2086" s="2"/>
      <c r="O2086" s="2"/>
      <c r="R2086" s="2"/>
      <c r="T2086" s="2"/>
    </row>
    <row r="2087" spans="13:20">
      <c r="M2087" s="2"/>
      <c r="O2087" s="2"/>
      <c r="R2087" s="2"/>
      <c r="T2087" s="2"/>
    </row>
    <row r="2088" spans="13:20">
      <c r="M2088" s="2"/>
      <c r="O2088" s="2"/>
      <c r="R2088" s="2"/>
      <c r="T2088" s="2"/>
    </row>
    <row r="2089" spans="13:20">
      <c r="M2089" s="2"/>
      <c r="O2089" s="2"/>
      <c r="R2089" s="2"/>
      <c r="T2089" s="2"/>
    </row>
    <row r="2090" spans="13:20">
      <c r="M2090" s="2"/>
      <c r="O2090" s="2"/>
      <c r="R2090" s="2"/>
      <c r="T2090" s="2"/>
    </row>
    <row r="2091" spans="13:20">
      <c r="M2091" s="2"/>
      <c r="O2091" s="2"/>
      <c r="R2091" s="2"/>
      <c r="T2091" s="2"/>
    </row>
    <row r="2092" spans="13:20">
      <c r="M2092" s="2"/>
      <c r="O2092" s="2"/>
      <c r="R2092" s="2"/>
      <c r="T2092" s="2"/>
    </row>
    <row r="2093" spans="13:20">
      <c r="M2093" s="2"/>
      <c r="O2093" s="2"/>
      <c r="R2093" s="2"/>
      <c r="T2093" s="2"/>
    </row>
    <row r="2094" spans="13:20">
      <c r="M2094" s="2"/>
      <c r="O2094" s="2"/>
      <c r="R2094" s="2"/>
      <c r="T2094" s="2"/>
    </row>
    <row r="2095" spans="13:20">
      <c r="M2095" s="2"/>
      <c r="O2095" s="2"/>
      <c r="R2095" s="2"/>
      <c r="T2095" s="2"/>
    </row>
    <row r="2096" spans="13:20">
      <c r="M2096" s="2"/>
      <c r="O2096" s="2"/>
      <c r="R2096" s="2"/>
      <c r="T2096" s="2"/>
    </row>
    <row r="2097" spans="13:20">
      <c r="M2097" s="2"/>
      <c r="O2097" s="2"/>
      <c r="R2097" s="2"/>
      <c r="T2097" s="2"/>
    </row>
    <row r="2098" spans="13:20">
      <c r="M2098" s="2"/>
      <c r="O2098" s="2"/>
      <c r="R2098" s="2"/>
      <c r="T2098" s="2"/>
    </row>
    <row r="2099" spans="13:20">
      <c r="M2099" s="2"/>
      <c r="O2099" s="2"/>
      <c r="R2099" s="2"/>
      <c r="T2099" s="2"/>
    </row>
    <row r="2100" spans="13:20">
      <c r="M2100" s="2"/>
      <c r="O2100" s="2"/>
      <c r="R2100" s="2"/>
      <c r="T2100" s="2"/>
    </row>
    <row r="2101" spans="13:20">
      <c r="M2101" s="2"/>
      <c r="O2101" s="2"/>
      <c r="R2101" s="2"/>
      <c r="T2101" s="2"/>
    </row>
    <row r="2102" spans="13:20">
      <c r="M2102" s="2"/>
      <c r="O2102" s="2"/>
      <c r="R2102" s="2"/>
      <c r="T2102" s="2"/>
    </row>
    <row r="2103" spans="13:20">
      <c r="M2103" s="2"/>
      <c r="O2103" s="2"/>
      <c r="R2103" s="2"/>
      <c r="T2103" s="2"/>
    </row>
    <row r="2104" spans="13:20">
      <c r="M2104" s="2"/>
      <c r="O2104" s="2"/>
      <c r="R2104" s="2"/>
      <c r="T2104" s="2"/>
    </row>
    <row r="2105" spans="13:20">
      <c r="M2105" s="2"/>
      <c r="O2105" s="2"/>
      <c r="R2105" s="2"/>
      <c r="T2105" s="2"/>
    </row>
    <row r="2106" spans="13:20">
      <c r="M2106" s="2"/>
      <c r="O2106" s="2"/>
      <c r="R2106" s="2"/>
      <c r="T2106" s="2"/>
    </row>
    <row r="2107" spans="13:20">
      <c r="M2107" s="2"/>
      <c r="O2107" s="2"/>
      <c r="R2107" s="2"/>
      <c r="T2107" s="2"/>
    </row>
    <row r="2108" spans="13:20">
      <c r="M2108" s="2"/>
      <c r="O2108" s="2"/>
      <c r="R2108" s="2"/>
      <c r="T2108" s="2"/>
    </row>
    <row r="2109" spans="13:20">
      <c r="M2109" s="2"/>
      <c r="O2109" s="2"/>
      <c r="R2109" s="2"/>
      <c r="T2109" s="2"/>
    </row>
    <row r="2110" spans="13:20">
      <c r="M2110" s="2"/>
      <c r="O2110" s="2"/>
      <c r="R2110" s="2"/>
      <c r="T2110" s="2"/>
    </row>
    <row r="2111" spans="13:20">
      <c r="M2111" s="2"/>
      <c r="O2111" s="2"/>
      <c r="R2111" s="2"/>
      <c r="T2111" s="2"/>
    </row>
    <row r="2112" spans="13:20">
      <c r="M2112" s="2"/>
      <c r="O2112" s="2"/>
      <c r="R2112" s="2"/>
      <c r="T2112" s="2"/>
    </row>
    <row r="2113" spans="13:20">
      <c r="M2113" s="2"/>
      <c r="O2113" s="2"/>
      <c r="R2113" s="2"/>
      <c r="T2113" s="2"/>
    </row>
    <row r="2114" spans="13:20">
      <c r="M2114" s="2"/>
      <c r="O2114" s="2"/>
      <c r="R2114" s="2"/>
      <c r="T2114" s="2"/>
    </row>
    <row r="2115" spans="13:20">
      <c r="M2115" s="2"/>
      <c r="O2115" s="2"/>
      <c r="R2115" s="2"/>
      <c r="T2115" s="2"/>
    </row>
    <row r="2116" spans="13:20">
      <c r="M2116" s="2"/>
      <c r="O2116" s="2"/>
      <c r="R2116" s="2"/>
      <c r="T2116" s="2"/>
    </row>
    <row r="2117" spans="13:20">
      <c r="M2117" s="2"/>
      <c r="O2117" s="2"/>
      <c r="R2117" s="2"/>
      <c r="T2117" s="2"/>
    </row>
    <row r="2118" spans="13:20">
      <c r="M2118" s="2"/>
      <c r="O2118" s="2"/>
      <c r="R2118" s="2"/>
      <c r="T2118" s="2"/>
    </row>
    <row r="2119" spans="13:20">
      <c r="M2119" s="2"/>
      <c r="O2119" s="2"/>
      <c r="R2119" s="2"/>
      <c r="T2119" s="2"/>
    </row>
    <row r="2120" spans="13:20">
      <c r="M2120" s="2"/>
      <c r="O2120" s="2"/>
      <c r="R2120" s="2"/>
      <c r="T2120" s="2"/>
    </row>
    <row r="2121" spans="13:20">
      <c r="M2121" s="2"/>
      <c r="O2121" s="2"/>
      <c r="R2121" s="2"/>
      <c r="T2121" s="2"/>
    </row>
    <row r="2122" spans="13:20">
      <c r="M2122" s="2"/>
      <c r="O2122" s="2"/>
      <c r="R2122" s="2"/>
      <c r="T2122" s="2"/>
    </row>
    <row r="2123" spans="13:20">
      <c r="M2123" s="2"/>
      <c r="O2123" s="2"/>
      <c r="R2123" s="2"/>
      <c r="T2123" s="2"/>
    </row>
    <row r="2124" spans="13:20">
      <c r="M2124" s="2"/>
      <c r="O2124" s="2"/>
      <c r="R2124" s="2"/>
      <c r="T2124" s="2"/>
    </row>
    <row r="2125" spans="13:20">
      <c r="M2125" s="2"/>
      <c r="O2125" s="2"/>
      <c r="R2125" s="2"/>
      <c r="T2125" s="2"/>
    </row>
    <row r="2126" spans="13:20">
      <c r="M2126" s="2"/>
      <c r="O2126" s="2"/>
      <c r="R2126" s="2"/>
      <c r="T2126" s="2"/>
    </row>
    <row r="2127" spans="13:20">
      <c r="M2127" s="2"/>
      <c r="O2127" s="2"/>
      <c r="R2127" s="2"/>
      <c r="T2127" s="2"/>
    </row>
    <row r="2128" spans="13:20">
      <c r="M2128" s="2"/>
      <c r="O2128" s="2"/>
      <c r="R2128" s="2"/>
      <c r="T2128" s="2"/>
    </row>
    <row r="2129" spans="13:20">
      <c r="M2129" s="2"/>
      <c r="O2129" s="2"/>
      <c r="R2129" s="2"/>
      <c r="T2129" s="2"/>
    </row>
    <row r="2130" spans="13:20">
      <c r="M2130" s="2"/>
      <c r="O2130" s="2"/>
      <c r="R2130" s="2"/>
      <c r="T2130" s="2"/>
    </row>
    <row r="2131" spans="13:20">
      <c r="M2131" s="2"/>
      <c r="O2131" s="2"/>
      <c r="R2131" s="2"/>
      <c r="T2131" s="2"/>
    </row>
    <row r="2132" spans="13:20">
      <c r="M2132" s="2"/>
      <c r="O2132" s="2"/>
      <c r="R2132" s="2"/>
      <c r="T2132" s="2"/>
    </row>
    <row r="2133" spans="13:20">
      <c r="M2133" s="2"/>
      <c r="O2133" s="2"/>
      <c r="R2133" s="2"/>
      <c r="T2133" s="2"/>
    </row>
    <row r="2134" spans="13:20">
      <c r="M2134" s="2"/>
      <c r="O2134" s="2"/>
      <c r="R2134" s="2"/>
      <c r="T2134" s="2"/>
    </row>
    <row r="2135" spans="13:20">
      <c r="M2135" s="2"/>
      <c r="O2135" s="2"/>
      <c r="R2135" s="2"/>
      <c r="T2135" s="2"/>
    </row>
    <row r="2136" spans="13:20">
      <c r="M2136" s="2"/>
      <c r="O2136" s="2"/>
      <c r="R2136" s="2"/>
      <c r="T2136" s="2"/>
    </row>
    <row r="2137" spans="13:20">
      <c r="M2137" s="2"/>
      <c r="O2137" s="2"/>
      <c r="R2137" s="2"/>
      <c r="T2137" s="2"/>
    </row>
    <row r="2138" spans="13:20">
      <c r="M2138" s="2"/>
      <c r="O2138" s="2"/>
      <c r="R2138" s="2"/>
      <c r="T2138" s="2"/>
    </row>
    <row r="2139" spans="13:20">
      <c r="M2139" s="2"/>
      <c r="O2139" s="2"/>
      <c r="R2139" s="2"/>
      <c r="T2139" s="2"/>
    </row>
    <row r="2140" spans="13:20">
      <c r="M2140" s="2"/>
      <c r="O2140" s="2"/>
      <c r="R2140" s="2"/>
      <c r="T2140" s="2"/>
    </row>
    <row r="2141" spans="13:20">
      <c r="M2141" s="2"/>
      <c r="O2141" s="2"/>
      <c r="R2141" s="2"/>
      <c r="T2141" s="2"/>
    </row>
    <row r="2142" spans="13:20">
      <c r="M2142" s="2"/>
      <c r="O2142" s="2"/>
      <c r="R2142" s="2"/>
      <c r="T2142" s="2"/>
    </row>
    <row r="2143" spans="13:20">
      <c r="M2143" s="2"/>
      <c r="O2143" s="2"/>
      <c r="R2143" s="2"/>
      <c r="T2143" s="2"/>
    </row>
    <row r="2144" spans="13:20">
      <c r="M2144" s="2"/>
      <c r="O2144" s="2"/>
      <c r="R2144" s="2"/>
      <c r="T2144" s="2"/>
    </row>
    <row r="2145" spans="13:20">
      <c r="M2145" s="2"/>
      <c r="O2145" s="2"/>
      <c r="R2145" s="2"/>
      <c r="T2145" s="2"/>
    </row>
    <row r="2146" spans="13:20">
      <c r="M2146" s="2"/>
      <c r="O2146" s="2"/>
      <c r="R2146" s="2"/>
      <c r="T2146" s="2"/>
    </row>
    <row r="2147" spans="13:20">
      <c r="M2147" s="2"/>
      <c r="O2147" s="2"/>
      <c r="R2147" s="2"/>
      <c r="T2147" s="2"/>
    </row>
    <row r="2148" spans="13:20">
      <c r="M2148" s="2"/>
      <c r="O2148" s="2"/>
      <c r="R2148" s="2"/>
      <c r="T2148" s="2"/>
    </row>
    <row r="2149" spans="13:20">
      <c r="M2149" s="2"/>
      <c r="O2149" s="2"/>
      <c r="R2149" s="2"/>
      <c r="T2149" s="2"/>
    </row>
    <row r="2150" spans="13:20">
      <c r="M2150" s="2"/>
      <c r="O2150" s="2"/>
      <c r="R2150" s="2"/>
      <c r="T2150" s="2"/>
    </row>
    <row r="2151" spans="13:20">
      <c r="M2151" s="2"/>
      <c r="O2151" s="2"/>
      <c r="R2151" s="2"/>
      <c r="T2151" s="2"/>
    </row>
    <row r="2152" spans="13:20">
      <c r="M2152" s="2"/>
      <c r="O2152" s="2"/>
      <c r="R2152" s="2"/>
      <c r="T2152" s="2"/>
    </row>
    <row r="2153" spans="13:20">
      <c r="M2153" s="2"/>
      <c r="O2153" s="2"/>
      <c r="R2153" s="2"/>
      <c r="T2153" s="2"/>
    </row>
    <row r="2154" spans="13:20">
      <c r="M2154" s="2"/>
      <c r="O2154" s="2"/>
      <c r="R2154" s="2"/>
      <c r="T2154" s="2"/>
    </row>
    <row r="2155" spans="13:20">
      <c r="M2155" s="2"/>
      <c r="O2155" s="2"/>
      <c r="R2155" s="2"/>
      <c r="T2155" s="2"/>
    </row>
    <row r="2156" spans="13:20">
      <c r="M2156" s="2"/>
      <c r="O2156" s="2"/>
      <c r="R2156" s="2"/>
      <c r="T2156" s="2"/>
    </row>
    <row r="2157" spans="13:20">
      <c r="M2157" s="2"/>
      <c r="O2157" s="2"/>
      <c r="R2157" s="2"/>
      <c r="T2157" s="2"/>
    </row>
    <row r="2158" spans="13:20">
      <c r="M2158" s="2"/>
      <c r="O2158" s="2"/>
      <c r="R2158" s="2"/>
      <c r="T2158" s="2"/>
    </row>
    <row r="2159" spans="13:20">
      <c r="M2159" s="2"/>
      <c r="O2159" s="2"/>
      <c r="R2159" s="2"/>
      <c r="T2159" s="2"/>
    </row>
    <row r="2160" spans="13:20">
      <c r="M2160" s="2"/>
      <c r="O2160" s="2"/>
      <c r="R2160" s="2"/>
      <c r="T2160" s="2"/>
    </row>
    <row r="2161" spans="13:20">
      <c r="M2161" s="2"/>
      <c r="O2161" s="2"/>
      <c r="R2161" s="2"/>
      <c r="T2161" s="2"/>
    </row>
    <row r="2162" spans="13:20">
      <c r="M2162" s="2"/>
      <c r="O2162" s="2"/>
      <c r="R2162" s="2"/>
      <c r="T2162" s="2"/>
    </row>
    <row r="2163" spans="13:20">
      <c r="M2163" s="2"/>
      <c r="O2163" s="2"/>
      <c r="R2163" s="2"/>
      <c r="T2163" s="2"/>
    </row>
    <row r="2164" spans="13:20">
      <c r="M2164" s="2"/>
      <c r="O2164" s="2"/>
      <c r="R2164" s="2"/>
      <c r="T2164" s="2"/>
    </row>
    <row r="2165" spans="13:20">
      <c r="M2165" s="2"/>
      <c r="O2165" s="2"/>
      <c r="R2165" s="2"/>
      <c r="T2165" s="2"/>
    </row>
    <row r="2166" spans="13:20">
      <c r="M2166" s="2"/>
      <c r="O2166" s="2"/>
      <c r="R2166" s="2"/>
      <c r="T2166" s="2"/>
    </row>
    <row r="2167" spans="13:20">
      <c r="M2167" s="2"/>
      <c r="O2167" s="2"/>
      <c r="R2167" s="2"/>
      <c r="T2167" s="2"/>
    </row>
    <row r="2168" spans="13:20">
      <c r="M2168" s="2"/>
      <c r="O2168" s="2"/>
      <c r="R2168" s="2"/>
      <c r="T2168" s="2"/>
    </row>
    <row r="2169" spans="13:20">
      <c r="M2169" s="2"/>
      <c r="O2169" s="2"/>
      <c r="R2169" s="2"/>
      <c r="T2169" s="2"/>
    </row>
    <row r="2170" spans="13:20">
      <c r="M2170" s="2"/>
      <c r="O2170" s="2"/>
      <c r="R2170" s="2"/>
      <c r="T2170" s="2"/>
    </row>
    <row r="2171" spans="13:20">
      <c r="M2171" s="2"/>
      <c r="O2171" s="2"/>
      <c r="R2171" s="2"/>
      <c r="T2171" s="2"/>
    </row>
    <row r="2172" spans="13:20">
      <c r="M2172" s="2"/>
      <c r="O2172" s="2"/>
      <c r="R2172" s="2"/>
      <c r="T2172" s="2"/>
    </row>
    <row r="2173" spans="13:20">
      <c r="M2173" s="2"/>
      <c r="O2173" s="2"/>
      <c r="R2173" s="2"/>
      <c r="T2173" s="2"/>
    </row>
    <row r="2174" spans="13:20">
      <c r="M2174" s="2"/>
      <c r="O2174" s="2"/>
      <c r="R2174" s="2"/>
      <c r="T2174" s="2"/>
    </row>
    <row r="2175" spans="13:20">
      <c r="M2175" s="2"/>
      <c r="O2175" s="2"/>
      <c r="R2175" s="2"/>
      <c r="T2175" s="2"/>
    </row>
    <row r="2176" spans="13:20">
      <c r="M2176" s="2"/>
      <c r="O2176" s="2"/>
      <c r="R2176" s="2"/>
      <c r="T2176" s="2"/>
    </row>
    <row r="2177" spans="13:20">
      <c r="M2177" s="2"/>
      <c r="O2177" s="2"/>
      <c r="R2177" s="2"/>
      <c r="T2177" s="2"/>
    </row>
    <row r="2178" spans="13:20">
      <c r="M2178" s="2"/>
      <c r="O2178" s="2"/>
      <c r="R2178" s="2"/>
      <c r="T2178" s="2"/>
    </row>
    <row r="2179" spans="13:20">
      <c r="M2179" s="2"/>
      <c r="O2179" s="2"/>
      <c r="R2179" s="2"/>
      <c r="T2179" s="2"/>
    </row>
    <row r="2180" spans="13:20">
      <c r="M2180" s="2"/>
      <c r="O2180" s="2"/>
      <c r="R2180" s="2"/>
      <c r="T2180" s="2"/>
    </row>
    <row r="2181" spans="13:20">
      <c r="M2181" s="2"/>
      <c r="O2181" s="2"/>
      <c r="R2181" s="2"/>
      <c r="T2181" s="2"/>
    </row>
    <row r="2182" spans="13:20">
      <c r="M2182" s="2"/>
      <c r="O2182" s="2"/>
      <c r="R2182" s="2"/>
      <c r="T2182" s="2"/>
    </row>
    <row r="2183" spans="13:20">
      <c r="M2183" s="2"/>
      <c r="O2183" s="2"/>
      <c r="R2183" s="2"/>
      <c r="T2183" s="2"/>
    </row>
    <row r="2184" spans="13:20">
      <c r="M2184" s="2"/>
      <c r="O2184" s="2"/>
      <c r="R2184" s="2"/>
      <c r="T2184" s="2"/>
    </row>
    <row r="2185" spans="13:20">
      <c r="M2185" s="2"/>
      <c r="O2185" s="2"/>
      <c r="R2185" s="2"/>
      <c r="T2185" s="2"/>
    </row>
    <row r="2186" spans="13:20">
      <c r="M2186" s="2"/>
      <c r="O2186" s="2"/>
      <c r="R2186" s="2"/>
      <c r="T2186" s="2"/>
    </row>
    <row r="2187" spans="13:20">
      <c r="M2187" s="2"/>
      <c r="O2187" s="2"/>
      <c r="R2187" s="2"/>
      <c r="T2187" s="2"/>
    </row>
    <row r="2188" spans="13:20">
      <c r="M2188" s="2"/>
      <c r="O2188" s="2"/>
      <c r="R2188" s="2"/>
      <c r="T2188" s="2"/>
    </row>
    <row r="2189" spans="13:20">
      <c r="M2189" s="2"/>
      <c r="O2189" s="2"/>
      <c r="R2189" s="2"/>
      <c r="T2189" s="2"/>
    </row>
    <row r="2190" spans="13:20">
      <c r="M2190" s="2"/>
      <c r="O2190" s="2"/>
      <c r="R2190" s="2"/>
      <c r="T2190" s="2"/>
    </row>
    <row r="2191" spans="13:20">
      <c r="M2191" s="2"/>
      <c r="O2191" s="2"/>
      <c r="R2191" s="2"/>
      <c r="T2191" s="2"/>
    </row>
    <row r="2192" spans="13:20">
      <c r="M2192" s="2"/>
      <c r="O2192" s="2"/>
      <c r="R2192" s="2"/>
      <c r="T2192" s="2"/>
    </row>
    <row r="2193" spans="13:20">
      <c r="M2193" s="2"/>
      <c r="O2193" s="2"/>
      <c r="R2193" s="2"/>
      <c r="T2193" s="2"/>
    </row>
    <row r="2194" spans="13:20">
      <c r="M2194" s="2"/>
      <c r="O2194" s="2"/>
      <c r="R2194" s="2"/>
      <c r="T2194" s="2"/>
    </row>
    <row r="2195" spans="13:20">
      <c r="M2195" s="2"/>
      <c r="O2195" s="2"/>
      <c r="R2195" s="2"/>
      <c r="T2195" s="2"/>
    </row>
    <row r="2196" spans="13:20">
      <c r="M2196" s="2"/>
      <c r="O2196" s="2"/>
      <c r="R2196" s="2"/>
      <c r="T2196" s="2"/>
    </row>
    <row r="2197" spans="13:20">
      <c r="M2197" s="2"/>
      <c r="O2197" s="2"/>
      <c r="R2197" s="2"/>
      <c r="T2197" s="2"/>
    </row>
    <row r="2198" spans="13:20">
      <c r="M2198" s="2"/>
      <c r="O2198" s="2"/>
      <c r="R2198" s="2"/>
      <c r="T2198" s="2"/>
    </row>
    <row r="2199" spans="13:20">
      <c r="M2199" s="2"/>
      <c r="O2199" s="2"/>
      <c r="R2199" s="2"/>
      <c r="T2199" s="2"/>
    </row>
    <row r="2200" spans="13:20">
      <c r="M2200" s="2"/>
      <c r="O2200" s="2"/>
      <c r="R2200" s="2"/>
      <c r="T2200" s="2"/>
    </row>
    <row r="2201" spans="13:20">
      <c r="M2201" s="2"/>
      <c r="O2201" s="2"/>
      <c r="R2201" s="2"/>
      <c r="T2201" s="2"/>
    </row>
    <row r="2202" spans="13:20">
      <c r="M2202" s="2"/>
      <c r="O2202" s="2"/>
      <c r="R2202" s="2"/>
      <c r="T2202" s="2"/>
    </row>
    <row r="2203" spans="13:20">
      <c r="M2203" s="2"/>
      <c r="O2203" s="2"/>
      <c r="R2203" s="2"/>
      <c r="T2203" s="2"/>
    </row>
    <row r="2204" spans="13:20">
      <c r="M2204" s="2"/>
      <c r="O2204" s="2"/>
      <c r="R2204" s="2"/>
      <c r="T2204" s="2"/>
    </row>
    <row r="2205" spans="13:20">
      <c r="M2205" s="2"/>
      <c r="O2205" s="2"/>
      <c r="R2205" s="2"/>
      <c r="T2205" s="2"/>
    </row>
    <row r="2206" spans="13:20">
      <c r="M2206" s="2"/>
      <c r="O2206" s="2"/>
      <c r="R2206" s="2"/>
      <c r="T2206" s="2"/>
    </row>
    <row r="2207" spans="13:20">
      <c r="M2207" s="2"/>
      <c r="O2207" s="2"/>
      <c r="R2207" s="2"/>
      <c r="T2207" s="2"/>
    </row>
    <row r="2208" spans="13:20">
      <c r="M2208" s="2"/>
      <c r="O2208" s="2"/>
      <c r="R2208" s="2"/>
      <c r="T2208" s="2"/>
    </row>
    <row r="2209" spans="13:20">
      <c r="M2209" s="2"/>
      <c r="O2209" s="2"/>
      <c r="R2209" s="2"/>
      <c r="T2209" s="2"/>
    </row>
    <row r="2210" spans="13:20">
      <c r="M2210" s="2"/>
      <c r="O2210" s="2"/>
      <c r="R2210" s="2"/>
      <c r="T2210" s="2"/>
    </row>
    <row r="2211" spans="13:20">
      <c r="M2211" s="2"/>
      <c r="O2211" s="2"/>
      <c r="R2211" s="2"/>
      <c r="T2211" s="2"/>
    </row>
    <row r="2212" spans="13:20">
      <c r="M2212" s="2"/>
      <c r="O2212" s="2"/>
      <c r="R2212" s="2"/>
      <c r="T2212" s="2"/>
    </row>
    <row r="2213" spans="13:20">
      <c r="M2213" s="2"/>
      <c r="O2213" s="2"/>
      <c r="R2213" s="2"/>
      <c r="T2213" s="2"/>
    </row>
    <row r="2214" spans="13:20">
      <c r="M2214" s="2"/>
      <c r="O2214" s="2"/>
      <c r="R2214" s="2"/>
      <c r="T2214" s="2"/>
    </row>
    <row r="2215" spans="13:20">
      <c r="M2215" s="2"/>
      <c r="O2215" s="2"/>
      <c r="R2215" s="2"/>
      <c r="T2215" s="2"/>
    </row>
    <row r="2216" spans="13:20">
      <c r="M2216" s="2"/>
      <c r="O2216" s="2"/>
      <c r="R2216" s="2"/>
      <c r="T2216" s="2"/>
    </row>
    <row r="2217" spans="13:20">
      <c r="M2217" s="2"/>
      <c r="O2217" s="2"/>
      <c r="R2217" s="2"/>
      <c r="T2217" s="2"/>
    </row>
    <row r="2218" spans="13:20">
      <c r="M2218" s="2"/>
      <c r="O2218" s="2"/>
      <c r="R2218" s="2"/>
      <c r="T2218" s="2"/>
    </row>
    <row r="2219" spans="13:20">
      <c r="M2219" s="2"/>
      <c r="O2219" s="2"/>
      <c r="R2219" s="2"/>
      <c r="T2219" s="2"/>
    </row>
    <row r="2220" spans="13:20">
      <c r="M2220" s="2"/>
      <c r="O2220" s="2"/>
      <c r="R2220" s="2"/>
      <c r="T2220" s="2"/>
    </row>
    <row r="2221" spans="13:20">
      <c r="M2221" s="2"/>
      <c r="O2221" s="2"/>
      <c r="R2221" s="2"/>
      <c r="T2221" s="2"/>
    </row>
    <row r="2222" spans="13:20">
      <c r="M2222" s="2"/>
      <c r="O2222" s="2"/>
      <c r="R2222" s="2"/>
      <c r="T2222" s="2"/>
    </row>
    <row r="2223" spans="13:20">
      <c r="M2223" s="2"/>
      <c r="O2223" s="2"/>
      <c r="R2223" s="2"/>
      <c r="T2223" s="2"/>
    </row>
    <row r="2224" spans="13:20">
      <c r="M2224" s="2"/>
      <c r="O2224" s="2"/>
      <c r="R2224" s="2"/>
      <c r="T2224" s="2"/>
    </row>
    <row r="2225" spans="13:20">
      <c r="M2225" s="2"/>
      <c r="O2225" s="2"/>
      <c r="R2225" s="2"/>
      <c r="T2225" s="2"/>
    </row>
    <row r="2226" spans="13:20">
      <c r="M2226" s="2"/>
      <c r="O2226" s="2"/>
      <c r="R2226" s="2"/>
      <c r="T2226" s="2"/>
    </row>
    <row r="2227" spans="13:20">
      <c r="M2227" s="2"/>
      <c r="O2227" s="2"/>
      <c r="R2227" s="2"/>
      <c r="T2227" s="2"/>
    </row>
    <row r="2228" spans="13:20">
      <c r="M2228" s="2"/>
      <c r="O2228" s="2"/>
      <c r="R2228" s="2"/>
      <c r="T2228" s="2"/>
    </row>
    <row r="2229" spans="13:20">
      <c r="M2229" s="2"/>
      <c r="O2229" s="2"/>
      <c r="R2229" s="2"/>
      <c r="T2229" s="2"/>
    </row>
    <row r="2230" spans="13:20">
      <c r="M2230" s="2"/>
      <c r="O2230" s="2"/>
      <c r="R2230" s="2"/>
      <c r="T2230" s="2"/>
    </row>
    <row r="2231" spans="13:20">
      <c r="M2231" s="2"/>
      <c r="O2231" s="2"/>
      <c r="R2231" s="2"/>
      <c r="T2231" s="2"/>
    </row>
    <row r="2232" spans="13:20">
      <c r="M2232" s="2"/>
      <c r="O2232" s="2"/>
      <c r="R2232" s="2"/>
      <c r="T2232" s="2"/>
    </row>
    <row r="2233" spans="13:20">
      <c r="M2233" s="2"/>
      <c r="O2233" s="2"/>
      <c r="R2233" s="2"/>
      <c r="T2233" s="2"/>
    </row>
    <row r="2234" spans="13:20">
      <c r="M2234" s="2"/>
      <c r="O2234" s="2"/>
      <c r="R2234" s="2"/>
      <c r="T2234" s="2"/>
    </row>
    <row r="2235" spans="13:20">
      <c r="M2235" s="2"/>
      <c r="O2235" s="2"/>
      <c r="R2235" s="2"/>
      <c r="T2235" s="2"/>
    </row>
    <row r="2236" spans="13:20">
      <c r="M2236" s="2"/>
      <c r="O2236" s="2"/>
      <c r="R2236" s="2"/>
      <c r="T2236" s="2"/>
    </row>
    <row r="2237" spans="13:20">
      <c r="M2237" s="2"/>
      <c r="O2237" s="2"/>
      <c r="R2237" s="2"/>
      <c r="T2237" s="2"/>
    </row>
    <row r="2238" spans="13:20">
      <c r="M2238" s="2"/>
      <c r="O2238" s="2"/>
      <c r="R2238" s="2"/>
      <c r="T2238" s="2"/>
    </row>
    <row r="2239" spans="13:20">
      <c r="M2239" s="2"/>
      <c r="O2239" s="2"/>
      <c r="R2239" s="2"/>
      <c r="T2239" s="2"/>
    </row>
    <row r="2240" spans="13:20">
      <c r="M2240" s="2"/>
      <c r="O2240" s="2"/>
      <c r="R2240" s="2"/>
      <c r="T2240" s="2"/>
    </row>
    <row r="2241" spans="13:20">
      <c r="M2241" s="2"/>
      <c r="O2241" s="2"/>
      <c r="R2241" s="2"/>
      <c r="T2241" s="2"/>
    </row>
    <row r="2242" spans="13:20">
      <c r="M2242" s="2"/>
      <c r="O2242" s="2"/>
      <c r="R2242" s="2"/>
      <c r="T2242" s="2"/>
    </row>
    <row r="2243" spans="13:20">
      <c r="M2243" s="2"/>
      <c r="O2243" s="2"/>
      <c r="R2243" s="2"/>
      <c r="T2243" s="2"/>
    </row>
    <row r="2244" spans="13:20">
      <c r="M2244" s="2"/>
      <c r="O2244" s="2"/>
      <c r="R2244" s="2"/>
      <c r="T2244" s="2"/>
    </row>
    <row r="2245" spans="13:20">
      <c r="M2245" s="2"/>
      <c r="O2245" s="2"/>
      <c r="R2245" s="2"/>
      <c r="T2245" s="2"/>
    </row>
    <row r="2246" spans="13:20">
      <c r="M2246" s="2"/>
      <c r="O2246" s="2"/>
      <c r="R2246" s="2"/>
      <c r="T2246" s="2"/>
    </row>
    <row r="2247" spans="13:20">
      <c r="M2247" s="2"/>
      <c r="O2247" s="2"/>
      <c r="R2247" s="2"/>
      <c r="T2247" s="2"/>
    </row>
    <row r="2248" spans="13:20">
      <c r="M2248" s="2"/>
      <c r="O2248" s="2"/>
      <c r="R2248" s="2"/>
      <c r="T2248" s="2"/>
    </row>
    <row r="2249" spans="13:20">
      <c r="M2249" s="2"/>
      <c r="O2249" s="2"/>
      <c r="R2249" s="2"/>
      <c r="T2249" s="2"/>
    </row>
    <row r="2250" spans="13:20">
      <c r="M2250" s="2"/>
      <c r="O2250" s="2"/>
      <c r="R2250" s="2"/>
      <c r="T2250" s="2"/>
    </row>
    <row r="2251" spans="13:20">
      <c r="M2251" s="2"/>
      <c r="O2251" s="2"/>
      <c r="R2251" s="2"/>
      <c r="T2251" s="2"/>
    </row>
    <row r="2252" spans="13:20">
      <c r="M2252" s="2"/>
      <c r="O2252" s="2"/>
      <c r="R2252" s="2"/>
      <c r="T2252" s="2"/>
    </row>
    <row r="2253" spans="13:20">
      <c r="M2253" s="2"/>
      <c r="O2253" s="2"/>
      <c r="R2253" s="2"/>
      <c r="T2253" s="2"/>
    </row>
    <row r="2254" spans="13:20">
      <c r="M2254" s="2"/>
      <c r="O2254" s="2"/>
      <c r="R2254" s="2"/>
      <c r="T2254" s="2"/>
    </row>
    <row r="2255" spans="13:20">
      <c r="M2255" s="2"/>
      <c r="O2255" s="2"/>
      <c r="R2255" s="2"/>
      <c r="T2255" s="2"/>
    </row>
    <row r="2256" spans="13:20">
      <c r="M2256" s="2"/>
      <c r="O2256" s="2"/>
      <c r="R2256" s="2"/>
      <c r="T2256" s="2"/>
    </row>
    <row r="2257" spans="13:20">
      <c r="M2257" s="2"/>
      <c r="O2257" s="2"/>
      <c r="R2257" s="2"/>
      <c r="T2257" s="2"/>
    </row>
    <row r="2258" spans="13:20">
      <c r="M2258" s="2"/>
      <c r="O2258" s="2"/>
      <c r="R2258" s="2"/>
      <c r="T2258" s="2"/>
    </row>
    <row r="2259" spans="13:20">
      <c r="M2259" s="2"/>
      <c r="O2259" s="2"/>
      <c r="R2259" s="2"/>
      <c r="T2259" s="2"/>
    </row>
    <row r="2260" spans="13:20">
      <c r="M2260" s="2"/>
      <c r="O2260" s="2"/>
      <c r="R2260" s="2"/>
      <c r="T2260" s="2"/>
    </row>
    <row r="2261" spans="13:20">
      <c r="M2261" s="2"/>
      <c r="O2261" s="2"/>
      <c r="R2261" s="2"/>
      <c r="T2261" s="2"/>
    </row>
    <row r="2262" spans="13:20">
      <c r="M2262" s="2"/>
      <c r="O2262" s="2"/>
      <c r="R2262" s="2"/>
      <c r="T2262" s="2"/>
    </row>
    <row r="2263" spans="13:20">
      <c r="M2263" s="2"/>
      <c r="O2263" s="2"/>
      <c r="R2263" s="2"/>
      <c r="T2263" s="2"/>
    </row>
    <row r="2264" spans="13:20">
      <c r="M2264" s="2"/>
      <c r="O2264" s="2"/>
      <c r="R2264" s="2"/>
      <c r="T2264" s="2"/>
    </row>
    <row r="2265" spans="13:20">
      <c r="M2265" s="2"/>
      <c r="O2265" s="2"/>
      <c r="R2265" s="2"/>
      <c r="T2265" s="2"/>
    </row>
    <row r="2266" spans="13:20">
      <c r="M2266" s="2"/>
      <c r="O2266" s="2"/>
      <c r="R2266" s="2"/>
      <c r="T2266" s="2"/>
    </row>
    <row r="2267" spans="13:20">
      <c r="M2267" s="2"/>
      <c r="O2267" s="2"/>
      <c r="R2267" s="2"/>
      <c r="T2267" s="2"/>
    </row>
    <row r="2268" spans="13:20">
      <c r="M2268" s="2"/>
      <c r="O2268" s="2"/>
      <c r="R2268" s="2"/>
      <c r="T2268" s="2"/>
    </row>
    <row r="2269" spans="13:20">
      <c r="M2269" s="2"/>
      <c r="O2269" s="2"/>
      <c r="R2269" s="2"/>
      <c r="T2269" s="2"/>
    </row>
    <row r="2270" spans="13:20">
      <c r="M2270" s="2"/>
      <c r="O2270" s="2"/>
      <c r="R2270" s="2"/>
      <c r="T2270" s="2"/>
    </row>
    <row r="2271" spans="13:20">
      <c r="M2271" s="2"/>
      <c r="O2271" s="2"/>
      <c r="R2271" s="2"/>
      <c r="T2271" s="2"/>
    </row>
    <row r="2272" spans="13:20">
      <c r="M2272" s="2"/>
      <c r="O2272" s="2"/>
      <c r="R2272" s="2"/>
      <c r="T2272" s="2"/>
    </row>
    <row r="2273" spans="13:20">
      <c r="M2273" s="2"/>
      <c r="O2273" s="2"/>
      <c r="R2273" s="2"/>
      <c r="T2273" s="2"/>
    </row>
    <row r="2274" spans="13:20">
      <c r="M2274" s="2"/>
      <c r="O2274" s="2"/>
      <c r="R2274" s="2"/>
      <c r="T2274" s="2"/>
    </row>
    <row r="2275" spans="13:20">
      <c r="M2275" s="2"/>
      <c r="O2275" s="2"/>
      <c r="R2275" s="2"/>
      <c r="T2275" s="2"/>
    </row>
    <row r="2276" spans="13:20">
      <c r="M2276" s="2"/>
      <c r="O2276" s="2"/>
      <c r="R2276" s="2"/>
      <c r="T2276" s="2"/>
    </row>
    <row r="2277" spans="13:20">
      <c r="M2277" s="2"/>
      <c r="O2277" s="2"/>
      <c r="R2277" s="2"/>
      <c r="T2277" s="2"/>
    </row>
    <row r="2278" spans="13:20">
      <c r="M2278" s="2"/>
      <c r="O2278" s="2"/>
      <c r="R2278" s="2"/>
      <c r="T2278" s="2"/>
    </row>
    <row r="2279" spans="13:20">
      <c r="M2279" s="2"/>
      <c r="O2279" s="2"/>
      <c r="R2279" s="2"/>
      <c r="T2279" s="2"/>
    </row>
    <row r="2280" spans="13:20">
      <c r="M2280" s="2"/>
      <c r="O2280" s="2"/>
      <c r="R2280" s="2"/>
      <c r="T2280" s="2"/>
    </row>
    <row r="2281" spans="13:20">
      <c r="M2281" s="2"/>
      <c r="O2281" s="2"/>
      <c r="R2281" s="2"/>
      <c r="T2281" s="2"/>
    </row>
    <row r="2282" spans="13:20">
      <c r="M2282" s="2"/>
      <c r="O2282" s="2"/>
      <c r="R2282" s="2"/>
      <c r="T2282" s="2"/>
    </row>
    <row r="2283" spans="13:20">
      <c r="M2283" s="2"/>
      <c r="O2283" s="2"/>
      <c r="R2283" s="2"/>
      <c r="T2283" s="2"/>
    </row>
    <row r="2284" spans="13:20">
      <c r="M2284" s="2"/>
      <c r="O2284" s="2"/>
      <c r="R2284" s="2"/>
      <c r="T2284" s="2"/>
    </row>
    <row r="2285" spans="13:20">
      <c r="M2285" s="2"/>
      <c r="O2285" s="2"/>
      <c r="R2285" s="2"/>
      <c r="T2285" s="2"/>
    </row>
    <row r="2286" spans="13:20">
      <c r="M2286" s="2"/>
      <c r="O2286" s="2"/>
      <c r="R2286" s="2"/>
      <c r="T2286" s="2"/>
    </row>
    <row r="2287" spans="13:20">
      <c r="M2287" s="2"/>
      <c r="O2287" s="2"/>
      <c r="R2287" s="2"/>
      <c r="T2287" s="2"/>
    </row>
    <row r="2288" spans="13:20">
      <c r="M2288" s="2"/>
      <c r="O2288" s="2"/>
      <c r="R2288" s="2"/>
      <c r="T2288" s="2"/>
    </row>
    <row r="2289" spans="13:20">
      <c r="M2289" s="2"/>
      <c r="O2289" s="2"/>
      <c r="R2289" s="2"/>
      <c r="T2289" s="2"/>
    </row>
    <row r="2290" spans="13:20">
      <c r="M2290" s="2"/>
      <c r="O2290" s="2"/>
      <c r="R2290" s="2"/>
      <c r="T2290" s="2"/>
    </row>
    <row r="2291" spans="13:20">
      <c r="M2291" s="2"/>
      <c r="O2291" s="2"/>
      <c r="R2291" s="2"/>
      <c r="T2291" s="2"/>
    </row>
    <row r="2292" spans="13:20">
      <c r="M2292" s="2"/>
      <c r="O2292" s="2"/>
      <c r="R2292" s="2"/>
      <c r="T2292" s="2"/>
    </row>
    <row r="2293" spans="13:20">
      <c r="M2293" s="2"/>
      <c r="O2293" s="2"/>
      <c r="R2293" s="2"/>
      <c r="T2293" s="2"/>
    </row>
    <row r="2294" spans="13:20">
      <c r="M2294" s="2"/>
      <c r="O2294" s="2"/>
      <c r="R2294" s="2"/>
      <c r="T2294" s="2"/>
    </row>
    <row r="2295" spans="13:20">
      <c r="M2295" s="2"/>
      <c r="O2295" s="2"/>
      <c r="R2295" s="2"/>
      <c r="T2295" s="2"/>
    </row>
    <row r="2296" spans="13:20">
      <c r="M2296" s="2"/>
      <c r="O2296" s="2"/>
      <c r="R2296" s="2"/>
      <c r="T2296" s="2"/>
    </row>
    <row r="2297" spans="13:20">
      <c r="M2297" s="2"/>
      <c r="O2297" s="2"/>
      <c r="R2297" s="2"/>
      <c r="T2297" s="2"/>
    </row>
    <row r="2298" spans="13:20">
      <c r="M2298" s="2"/>
      <c r="O2298" s="2"/>
      <c r="R2298" s="2"/>
      <c r="T2298" s="2"/>
    </row>
    <row r="2299" spans="13:20">
      <c r="M2299" s="2"/>
      <c r="O2299" s="2"/>
      <c r="R2299" s="2"/>
      <c r="T2299" s="2"/>
    </row>
    <row r="2300" spans="13:20">
      <c r="M2300" s="2"/>
      <c r="O2300" s="2"/>
      <c r="R2300" s="2"/>
      <c r="T2300" s="2"/>
    </row>
    <row r="2301" spans="13:20">
      <c r="M2301" s="2"/>
      <c r="O2301" s="2"/>
      <c r="R2301" s="2"/>
      <c r="T2301" s="2"/>
    </row>
    <row r="2302" spans="13:20">
      <c r="M2302" s="2"/>
      <c r="O2302" s="2"/>
      <c r="R2302" s="2"/>
      <c r="T2302" s="2"/>
    </row>
    <row r="2303" spans="13:20">
      <c r="M2303" s="2"/>
      <c r="O2303" s="2"/>
      <c r="R2303" s="2"/>
      <c r="T2303" s="2"/>
    </row>
    <row r="2304" spans="13:20">
      <c r="M2304" s="2"/>
      <c r="O2304" s="2"/>
      <c r="R2304" s="2"/>
      <c r="T2304" s="2"/>
    </row>
    <row r="2305" spans="13:20">
      <c r="M2305" s="2"/>
      <c r="O2305" s="2"/>
      <c r="R2305" s="2"/>
      <c r="T2305" s="2"/>
    </row>
    <row r="2306" spans="13:20">
      <c r="M2306" s="2"/>
      <c r="O2306" s="2"/>
      <c r="R2306" s="2"/>
      <c r="T2306" s="2"/>
    </row>
    <row r="2307" spans="13:20">
      <c r="M2307" s="2"/>
      <c r="O2307" s="2"/>
      <c r="R2307" s="2"/>
      <c r="T2307" s="2"/>
    </row>
    <row r="2308" spans="13:20">
      <c r="M2308" s="2"/>
      <c r="O2308" s="2"/>
      <c r="R2308" s="2"/>
      <c r="T2308" s="2"/>
    </row>
    <row r="2309" spans="13:20">
      <c r="M2309" s="2"/>
      <c r="O2309" s="2"/>
      <c r="R2309" s="2"/>
      <c r="T2309" s="2"/>
    </row>
    <row r="2310" spans="13:20">
      <c r="M2310" s="2"/>
      <c r="O2310" s="2"/>
      <c r="R2310" s="2"/>
      <c r="T2310" s="2"/>
    </row>
    <row r="2311" spans="13:20">
      <c r="M2311" s="2"/>
      <c r="O2311" s="2"/>
      <c r="R2311" s="2"/>
      <c r="T2311" s="2"/>
    </row>
    <row r="2312" spans="13:20">
      <c r="M2312" s="2"/>
      <c r="O2312" s="2"/>
      <c r="R2312" s="2"/>
      <c r="T2312" s="2"/>
    </row>
    <row r="2313" spans="13:20">
      <c r="M2313" s="2"/>
      <c r="O2313" s="2"/>
      <c r="R2313" s="2"/>
      <c r="T2313" s="2"/>
    </row>
    <row r="2314" spans="13:20">
      <c r="M2314" s="2"/>
      <c r="O2314" s="2"/>
      <c r="R2314" s="2"/>
      <c r="T2314" s="2"/>
    </row>
    <row r="2315" spans="13:20">
      <c r="M2315" s="2"/>
      <c r="O2315" s="2"/>
      <c r="R2315" s="2"/>
      <c r="T2315" s="2"/>
    </row>
    <row r="2316" spans="13:20">
      <c r="M2316" s="2"/>
      <c r="O2316" s="2"/>
      <c r="R2316" s="2"/>
      <c r="T2316" s="2"/>
    </row>
    <row r="2317" spans="13:20">
      <c r="M2317" s="2"/>
      <c r="O2317" s="2"/>
      <c r="R2317" s="2"/>
      <c r="T2317" s="2"/>
    </row>
    <row r="2318" spans="13:20">
      <c r="M2318" s="2"/>
      <c r="O2318" s="2"/>
      <c r="R2318" s="2"/>
      <c r="T2318" s="2"/>
    </row>
    <row r="2319" spans="13:20">
      <c r="M2319" s="2"/>
      <c r="O2319" s="2"/>
      <c r="R2319" s="2"/>
      <c r="T2319" s="2"/>
    </row>
    <row r="2320" spans="13:20">
      <c r="M2320" s="2"/>
      <c r="O2320" s="2"/>
      <c r="R2320" s="2"/>
      <c r="T2320" s="2"/>
    </row>
    <row r="2321" spans="13:20">
      <c r="M2321" s="2"/>
      <c r="O2321" s="2"/>
      <c r="R2321" s="2"/>
      <c r="T2321" s="2"/>
    </row>
    <row r="2322" spans="13:20">
      <c r="M2322" s="2"/>
      <c r="O2322" s="2"/>
      <c r="R2322" s="2"/>
      <c r="T2322" s="2"/>
    </row>
    <row r="2323" spans="13:20">
      <c r="M2323" s="2"/>
      <c r="O2323" s="2"/>
      <c r="R2323" s="2"/>
      <c r="T2323" s="2"/>
    </row>
    <row r="2324" spans="13:20">
      <c r="M2324" s="2"/>
      <c r="O2324" s="2"/>
      <c r="R2324" s="2"/>
      <c r="T2324" s="2"/>
    </row>
    <row r="2325" spans="13:20">
      <c r="M2325" s="2"/>
      <c r="O2325" s="2"/>
      <c r="R2325" s="2"/>
      <c r="T2325" s="2"/>
    </row>
    <row r="2326" spans="13:20">
      <c r="M2326" s="2"/>
      <c r="O2326" s="2"/>
      <c r="R2326" s="2"/>
      <c r="T2326" s="2"/>
    </row>
    <row r="2327" spans="13:20">
      <c r="M2327" s="2"/>
      <c r="O2327" s="2"/>
      <c r="R2327" s="2"/>
      <c r="T2327" s="2"/>
    </row>
    <row r="2328" spans="13:20">
      <c r="M2328" s="2"/>
      <c r="O2328" s="2"/>
      <c r="R2328" s="2"/>
      <c r="T2328" s="2"/>
    </row>
    <row r="2329" spans="13:20">
      <c r="M2329" s="2"/>
      <c r="O2329" s="2"/>
      <c r="R2329" s="2"/>
      <c r="T2329" s="2"/>
    </row>
    <row r="2330" spans="13:20">
      <c r="M2330" s="2"/>
      <c r="O2330" s="2"/>
      <c r="R2330" s="2"/>
      <c r="T2330" s="2"/>
    </row>
    <row r="2331" spans="13:20">
      <c r="M2331" s="2"/>
      <c r="O2331" s="2"/>
      <c r="R2331" s="2"/>
      <c r="T2331" s="2"/>
    </row>
    <row r="2332" spans="13:20">
      <c r="M2332" s="2"/>
      <c r="O2332" s="2"/>
      <c r="R2332" s="2"/>
      <c r="T2332" s="2"/>
    </row>
    <row r="2333" spans="13:20">
      <c r="M2333" s="2"/>
      <c r="O2333" s="2"/>
      <c r="R2333" s="2"/>
      <c r="T2333" s="2"/>
    </row>
    <row r="2334" spans="13:20">
      <c r="M2334" s="2"/>
      <c r="O2334" s="2"/>
      <c r="R2334" s="2"/>
      <c r="T2334" s="2"/>
    </row>
    <row r="2335" spans="13:20">
      <c r="M2335" s="2"/>
      <c r="O2335" s="2"/>
      <c r="R2335" s="2"/>
      <c r="T2335" s="2"/>
    </row>
    <row r="2336" spans="13:20">
      <c r="M2336" s="2"/>
      <c r="O2336" s="2"/>
      <c r="R2336" s="2"/>
      <c r="T2336" s="2"/>
    </row>
    <row r="2337" spans="13:20">
      <c r="M2337" s="2"/>
      <c r="O2337" s="2"/>
      <c r="R2337" s="2"/>
      <c r="T2337" s="2"/>
    </row>
    <row r="2338" spans="13:20">
      <c r="M2338" s="2"/>
      <c r="O2338" s="2"/>
      <c r="R2338" s="2"/>
      <c r="T2338" s="2"/>
    </row>
    <row r="2339" spans="13:20">
      <c r="M2339" s="2"/>
      <c r="O2339" s="2"/>
      <c r="R2339" s="2"/>
      <c r="T2339" s="2"/>
    </row>
    <row r="2340" spans="13:20">
      <c r="M2340" s="2"/>
      <c r="O2340" s="2"/>
      <c r="R2340" s="2"/>
      <c r="T2340" s="2"/>
    </row>
    <row r="2341" spans="13:20">
      <c r="M2341" s="2"/>
      <c r="O2341" s="2"/>
      <c r="R2341" s="2"/>
      <c r="T2341" s="2"/>
    </row>
    <row r="2342" spans="13:20">
      <c r="M2342" s="2"/>
      <c r="O2342" s="2"/>
      <c r="R2342" s="2"/>
      <c r="T2342" s="2"/>
    </row>
    <row r="2343" spans="13:20">
      <c r="M2343" s="2"/>
      <c r="O2343" s="2"/>
      <c r="R2343" s="2"/>
      <c r="T2343" s="2"/>
    </row>
    <row r="2344" spans="13:20">
      <c r="M2344" s="2"/>
      <c r="O2344" s="2"/>
      <c r="R2344" s="2"/>
      <c r="T2344" s="2"/>
    </row>
    <row r="2345" spans="13:20">
      <c r="M2345" s="2"/>
      <c r="O2345" s="2"/>
      <c r="R2345" s="2"/>
      <c r="T2345" s="2"/>
    </row>
    <row r="2346" spans="13:20">
      <c r="M2346" s="2"/>
      <c r="O2346" s="2"/>
      <c r="R2346" s="2"/>
      <c r="T2346" s="2"/>
    </row>
    <row r="2347" spans="13:20">
      <c r="M2347" s="2"/>
      <c r="O2347" s="2"/>
      <c r="R2347" s="2"/>
      <c r="T2347" s="2"/>
    </row>
    <row r="2348" spans="13:20">
      <c r="M2348" s="2"/>
      <c r="O2348" s="2"/>
      <c r="R2348" s="2"/>
      <c r="T2348" s="2"/>
    </row>
    <row r="2349" spans="13:20">
      <c r="M2349" s="2"/>
      <c r="O2349" s="2"/>
      <c r="R2349" s="2"/>
      <c r="T2349" s="2"/>
    </row>
    <row r="2350" spans="13:20">
      <c r="M2350" s="2"/>
      <c r="O2350" s="2"/>
      <c r="R2350" s="2"/>
      <c r="T2350" s="2"/>
    </row>
    <row r="2351" spans="13:20">
      <c r="M2351" s="2"/>
      <c r="O2351" s="2"/>
      <c r="R2351" s="2"/>
      <c r="T2351" s="2"/>
    </row>
    <row r="2352" spans="13:20">
      <c r="M2352" s="2"/>
      <c r="O2352" s="2"/>
      <c r="R2352" s="2"/>
      <c r="T2352" s="2"/>
    </row>
    <row r="2353" spans="13:20">
      <c r="M2353" s="2"/>
      <c r="O2353" s="2"/>
      <c r="R2353" s="2"/>
      <c r="T2353" s="2"/>
    </row>
    <row r="2354" spans="13:20">
      <c r="M2354" s="2"/>
      <c r="O2354" s="2"/>
      <c r="R2354" s="2"/>
      <c r="T2354" s="2"/>
    </row>
    <row r="2355" spans="13:20">
      <c r="M2355" s="2"/>
      <c r="O2355" s="2"/>
      <c r="R2355" s="2"/>
      <c r="T2355" s="2"/>
    </row>
    <row r="2356" spans="13:20">
      <c r="M2356" s="2"/>
      <c r="O2356" s="2"/>
      <c r="R2356" s="2"/>
      <c r="T2356" s="2"/>
    </row>
    <row r="2357" spans="13:20">
      <c r="M2357" s="2"/>
      <c r="O2357" s="2"/>
      <c r="R2357" s="2"/>
      <c r="T2357" s="2"/>
    </row>
    <row r="2358" spans="13:20">
      <c r="M2358" s="2"/>
      <c r="O2358" s="2"/>
      <c r="R2358" s="2"/>
      <c r="T2358" s="2"/>
    </row>
    <row r="2359" spans="13:20">
      <c r="M2359" s="2"/>
      <c r="O2359" s="2"/>
      <c r="R2359" s="2"/>
      <c r="T2359" s="2"/>
    </row>
    <row r="2360" spans="13:20">
      <c r="M2360" s="2"/>
      <c r="O2360" s="2"/>
      <c r="R2360" s="2"/>
      <c r="T2360" s="2"/>
    </row>
    <row r="2361" spans="13:20">
      <c r="M2361" s="2"/>
      <c r="O2361" s="2"/>
      <c r="R2361" s="2"/>
      <c r="T2361" s="2"/>
    </row>
    <row r="2362" spans="13:20">
      <c r="M2362" s="2"/>
      <c r="O2362" s="2"/>
      <c r="R2362" s="2"/>
      <c r="T2362" s="2"/>
    </row>
    <row r="2363" spans="13:20">
      <c r="M2363" s="2"/>
      <c r="O2363" s="2"/>
      <c r="R2363" s="2"/>
      <c r="T2363" s="2"/>
    </row>
    <row r="2364" spans="13:20">
      <c r="M2364" s="2"/>
      <c r="O2364" s="2"/>
      <c r="R2364" s="2"/>
      <c r="T2364" s="2"/>
    </row>
    <row r="2365" spans="13:20">
      <c r="M2365" s="2"/>
      <c r="O2365" s="2"/>
      <c r="R2365" s="2"/>
      <c r="T2365" s="2"/>
    </row>
    <row r="2366" spans="13:20">
      <c r="M2366" s="2"/>
      <c r="O2366" s="2"/>
      <c r="R2366" s="2"/>
      <c r="T2366" s="2"/>
    </row>
    <row r="2367" spans="13:20">
      <c r="M2367" s="2"/>
      <c r="O2367" s="2"/>
      <c r="R2367" s="2"/>
      <c r="T2367" s="2"/>
    </row>
    <row r="2368" spans="13:20">
      <c r="M2368" s="2"/>
      <c r="O2368" s="2"/>
      <c r="R2368" s="2"/>
      <c r="T2368" s="2"/>
    </row>
    <row r="2369" spans="13:20">
      <c r="M2369" s="2"/>
      <c r="O2369" s="2"/>
      <c r="R2369" s="2"/>
      <c r="T2369" s="2"/>
    </row>
    <row r="2370" spans="13:20">
      <c r="M2370" s="2"/>
      <c r="O2370" s="2"/>
      <c r="R2370" s="2"/>
      <c r="T2370" s="2"/>
    </row>
    <row r="2371" spans="13:20">
      <c r="M2371" s="2"/>
      <c r="O2371" s="2"/>
      <c r="R2371" s="2"/>
      <c r="T2371" s="2"/>
    </row>
    <row r="2372" spans="13:20">
      <c r="M2372" s="2"/>
      <c r="O2372" s="2"/>
      <c r="R2372" s="2"/>
      <c r="T2372" s="2"/>
    </row>
    <row r="2373" spans="13:20">
      <c r="M2373" s="2"/>
      <c r="O2373" s="2"/>
      <c r="R2373" s="2"/>
      <c r="T2373" s="2"/>
    </row>
    <row r="2374" spans="13:20">
      <c r="M2374" s="2"/>
      <c r="O2374" s="2"/>
      <c r="R2374" s="2"/>
      <c r="T2374" s="2"/>
    </row>
    <row r="2375" spans="13:20">
      <c r="M2375" s="2"/>
      <c r="O2375" s="2"/>
      <c r="R2375" s="2"/>
      <c r="T2375" s="2"/>
    </row>
    <row r="2376" spans="13:20">
      <c r="M2376" s="2"/>
      <c r="O2376" s="2"/>
      <c r="R2376" s="2"/>
      <c r="T2376" s="2"/>
    </row>
    <row r="2377" spans="13:20">
      <c r="M2377" s="2"/>
      <c r="O2377" s="2"/>
      <c r="R2377" s="2"/>
      <c r="T2377" s="2"/>
    </row>
    <row r="2378" spans="13:20">
      <c r="M2378" s="2"/>
      <c r="O2378" s="2"/>
      <c r="R2378" s="2"/>
      <c r="T2378" s="2"/>
    </row>
    <row r="2379" spans="13:20">
      <c r="M2379" s="2"/>
      <c r="O2379" s="2"/>
      <c r="R2379" s="2"/>
      <c r="T2379" s="2"/>
    </row>
    <row r="2380" spans="13:20">
      <c r="M2380" s="2"/>
      <c r="O2380" s="2"/>
      <c r="R2380" s="2"/>
      <c r="T2380" s="2"/>
    </row>
    <row r="2381" spans="13:20">
      <c r="M2381" s="2"/>
      <c r="O2381" s="2"/>
      <c r="R2381" s="2"/>
      <c r="T2381" s="2"/>
    </row>
    <row r="2382" spans="13:20">
      <c r="M2382" s="2"/>
      <c r="O2382" s="2"/>
      <c r="R2382" s="2"/>
      <c r="T2382" s="2"/>
    </row>
    <row r="2383" spans="13:20">
      <c r="M2383" s="2"/>
      <c r="O2383" s="2"/>
      <c r="R2383" s="2"/>
      <c r="T2383" s="2"/>
    </row>
    <row r="2384" spans="13:20">
      <c r="M2384" s="2"/>
      <c r="O2384" s="2"/>
      <c r="R2384" s="2"/>
      <c r="T2384" s="2"/>
    </row>
    <row r="2385" spans="13:20">
      <c r="M2385" s="2"/>
      <c r="O2385" s="2"/>
      <c r="R2385" s="2"/>
      <c r="T2385" s="2"/>
    </row>
    <row r="2386" spans="13:20">
      <c r="M2386" s="2"/>
      <c r="O2386" s="2"/>
      <c r="R2386" s="2"/>
      <c r="T2386" s="2"/>
    </row>
    <row r="2387" spans="13:20">
      <c r="M2387" s="2"/>
      <c r="O2387" s="2"/>
      <c r="R2387" s="2"/>
      <c r="T2387" s="2"/>
    </row>
    <row r="2388" spans="13:20">
      <c r="M2388" s="2"/>
      <c r="O2388" s="2"/>
      <c r="R2388" s="2"/>
      <c r="T2388" s="2"/>
    </row>
    <row r="2389" spans="13:20">
      <c r="M2389" s="2"/>
      <c r="O2389" s="2"/>
      <c r="R2389" s="2"/>
      <c r="T2389" s="2"/>
    </row>
    <row r="2390" spans="13:20">
      <c r="M2390" s="2"/>
      <c r="O2390" s="2"/>
      <c r="R2390" s="2"/>
      <c r="T2390" s="2"/>
    </row>
    <row r="2391" spans="13:20">
      <c r="M2391" s="2"/>
      <c r="O2391" s="2"/>
      <c r="R2391" s="2"/>
      <c r="T2391" s="2"/>
    </row>
    <row r="2392" spans="13:20">
      <c r="M2392" s="2"/>
      <c r="O2392" s="2"/>
      <c r="R2392" s="2"/>
      <c r="T2392" s="2"/>
    </row>
    <row r="2393" spans="13:20">
      <c r="M2393" s="2"/>
      <c r="O2393" s="2"/>
      <c r="R2393" s="2"/>
      <c r="T2393" s="2"/>
    </row>
    <row r="2394" spans="13:20">
      <c r="M2394" s="2"/>
      <c r="O2394" s="2"/>
      <c r="R2394" s="2"/>
      <c r="T2394" s="2"/>
    </row>
    <row r="2395" spans="13:20">
      <c r="M2395" s="2"/>
      <c r="O2395" s="2"/>
      <c r="R2395" s="2"/>
      <c r="T2395" s="2"/>
    </row>
    <row r="2396" spans="13:20">
      <c r="M2396" s="2"/>
      <c r="O2396" s="2"/>
      <c r="R2396" s="2"/>
      <c r="T2396" s="2"/>
    </row>
    <row r="2397" spans="13:20">
      <c r="M2397" s="2"/>
      <c r="O2397" s="2"/>
      <c r="R2397" s="2"/>
      <c r="T2397" s="2"/>
    </row>
    <row r="2398" spans="13:20">
      <c r="M2398" s="2"/>
      <c r="O2398" s="2"/>
      <c r="R2398" s="2"/>
      <c r="T2398" s="2"/>
    </row>
    <row r="2399" spans="13:20">
      <c r="M2399" s="2"/>
      <c r="O2399" s="2"/>
      <c r="R2399" s="2"/>
      <c r="T2399" s="2"/>
    </row>
    <row r="2400" spans="13:20">
      <c r="M2400" s="2"/>
      <c r="O2400" s="2"/>
      <c r="R2400" s="2"/>
      <c r="T2400" s="2"/>
    </row>
    <row r="2401" spans="13:20">
      <c r="M2401" s="2"/>
      <c r="O2401" s="2"/>
      <c r="R2401" s="2"/>
      <c r="T2401" s="2"/>
    </row>
    <row r="2402" spans="13:20">
      <c r="M2402" s="2"/>
      <c r="O2402" s="2"/>
      <c r="R2402" s="2"/>
      <c r="T2402" s="2"/>
    </row>
    <row r="2403" spans="13:20">
      <c r="M2403" s="2"/>
      <c r="O2403" s="2"/>
      <c r="R2403" s="2"/>
      <c r="T2403" s="2"/>
    </row>
    <row r="2404" spans="13:20">
      <c r="M2404" s="2"/>
      <c r="O2404" s="2"/>
      <c r="R2404" s="2"/>
      <c r="T2404" s="2"/>
    </row>
    <row r="2405" spans="13:20">
      <c r="M2405" s="2"/>
      <c r="O2405" s="2"/>
      <c r="R2405" s="2"/>
      <c r="T2405" s="2"/>
    </row>
    <row r="2406" spans="13:20">
      <c r="M2406" s="2"/>
      <c r="O2406" s="2"/>
      <c r="R2406" s="2"/>
      <c r="T2406" s="2"/>
    </row>
    <row r="2407" spans="13:20">
      <c r="M2407" s="2"/>
      <c r="O2407" s="2"/>
      <c r="R2407" s="2"/>
      <c r="T2407" s="2"/>
    </row>
    <row r="2408" spans="13:20">
      <c r="M2408" s="2"/>
      <c r="O2408" s="2"/>
      <c r="R2408" s="2"/>
      <c r="T2408" s="2"/>
    </row>
    <row r="2409" spans="13:20">
      <c r="M2409" s="2"/>
      <c r="O2409" s="2"/>
      <c r="R2409" s="2"/>
      <c r="T2409" s="2"/>
    </row>
    <row r="2410" spans="13:20">
      <c r="M2410" s="2"/>
      <c r="O2410" s="2"/>
      <c r="R2410" s="2"/>
      <c r="T2410" s="2"/>
    </row>
    <row r="2411" spans="13:20">
      <c r="M2411" s="2"/>
      <c r="O2411" s="2"/>
      <c r="R2411" s="2"/>
      <c r="T2411" s="2"/>
    </row>
    <row r="2412" spans="13:20">
      <c r="M2412" s="2"/>
      <c r="O2412" s="2"/>
      <c r="R2412" s="2"/>
      <c r="T2412" s="2"/>
    </row>
    <row r="2413" spans="13:20">
      <c r="M2413" s="2"/>
      <c r="O2413" s="2"/>
      <c r="R2413" s="2"/>
      <c r="T2413" s="2"/>
    </row>
    <row r="2414" spans="13:20">
      <c r="M2414" s="2"/>
      <c r="O2414" s="2"/>
      <c r="R2414" s="2"/>
      <c r="T2414" s="2"/>
    </row>
    <row r="2415" spans="13:20">
      <c r="M2415" s="2"/>
      <c r="O2415" s="2"/>
      <c r="R2415" s="2"/>
      <c r="T2415" s="2"/>
    </row>
    <row r="2416" spans="13:20">
      <c r="M2416" s="2"/>
      <c r="O2416" s="2"/>
      <c r="R2416" s="2"/>
      <c r="T2416" s="2"/>
    </row>
    <row r="2417" spans="13:20">
      <c r="M2417" s="2"/>
      <c r="O2417" s="2"/>
      <c r="R2417" s="2"/>
      <c r="T2417" s="2"/>
    </row>
    <row r="2418" spans="13:20">
      <c r="M2418" s="2"/>
      <c r="O2418" s="2"/>
      <c r="R2418" s="2"/>
      <c r="T2418" s="2"/>
    </row>
    <row r="2419" spans="13:20">
      <c r="M2419" s="2"/>
      <c r="O2419" s="2"/>
      <c r="R2419" s="2"/>
      <c r="T2419" s="2"/>
    </row>
    <row r="2420" spans="13:20">
      <c r="M2420" s="2"/>
      <c r="O2420" s="2"/>
      <c r="R2420" s="2"/>
      <c r="T2420" s="2"/>
    </row>
    <row r="2421" spans="13:20">
      <c r="M2421" s="2"/>
      <c r="O2421" s="2"/>
      <c r="R2421" s="2"/>
      <c r="T2421" s="2"/>
    </row>
    <row r="2422" spans="13:20">
      <c r="M2422" s="2"/>
      <c r="O2422" s="2"/>
      <c r="R2422" s="2"/>
      <c r="T2422" s="2"/>
    </row>
    <row r="2423" spans="13:20">
      <c r="M2423" s="2"/>
      <c r="O2423" s="2"/>
      <c r="R2423" s="2"/>
      <c r="T2423" s="2"/>
    </row>
    <row r="2424" spans="13:20">
      <c r="M2424" s="2"/>
      <c r="O2424" s="2"/>
      <c r="R2424" s="2"/>
      <c r="T2424" s="2"/>
    </row>
    <row r="2425" spans="13:20">
      <c r="M2425" s="2"/>
      <c r="O2425" s="2"/>
      <c r="R2425" s="2"/>
      <c r="T2425" s="2"/>
    </row>
    <row r="2426" spans="13:20">
      <c r="M2426" s="2"/>
      <c r="O2426" s="2"/>
      <c r="R2426" s="2"/>
      <c r="T2426" s="2"/>
    </row>
    <row r="2427" spans="13:20">
      <c r="M2427" s="2"/>
      <c r="O2427" s="2"/>
      <c r="R2427" s="2"/>
      <c r="T2427" s="2"/>
    </row>
    <row r="2428" spans="13:20">
      <c r="M2428" s="2"/>
      <c r="O2428" s="2"/>
      <c r="R2428" s="2"/>
      <c r="T2428" s="2"/>
    </row>
    <row r="2429" spans="13:20">
      <c r="M2429" s="2"/>
      <c r="O2429" s="2"/>
      <c r="R2429" s="2"/>
      <c r="T2429" s="2"/>
    </row>
    <row r="2430" spans="13:20">
      <c r="M2430" s="2"/>
      <c r="O2430" s="2"/>
      <c r="R2430" s="2"/>
      <c r="T2430" s="2"/>
    </row>
    <row r="2431" spans="13:20">
      <c r="M2431" s="2"/>
      <c r="O2431" s="2"/>
      <c r="R2431" s="2"/>
      <c r="T2431" s="2"/>
    </row>
    <row r="2432" spans="13:20">
      <c r="M2432" s="2"/>
      <c r="O2432" s="2"/>
      <c r="R2432" s="2"/>
      <c r="T2432" s="2"/>
    </row>
    <row r="2433" spans="13:20">
      <c r="M2433" s="2"/>
      <c r="O2433" s="2"/>
      <c r="R2433" s="2"/>
      <c r="T2433" s="2"/>
    </row>
    <row r="2434" spans="13:20">
      <c r="M2434" s="2"/>
      <c r="O2434" s="2"/>
      <c r="R2434" s="2"/>
      <c r="T2434" s="2"/>
    </row>
    <row r="2435" spans="13:20">
      <c r="M2435" s="2"/>
      <c r="O2435" s="2"/>
      <c r="R2435" s="2"/>
      <c r="T2435" s="2"/>
    </row>
    <row r="2436" spans="13:20">
      <c r="M2436" s="2"/>
      <c r="O2436" s="2"/>
      <c r="R2436" s="2"/>
      <c r="T2436" s="2"/>
    </row>
    <row r="2437" spans="13:20">
      <c r="M2437" s="2"/>
      <c r="O2437" s="2"/>
      <c r="R2437" s="2"/>
      <c r="T2437" s="2"/>
    </row>
    <row r="2438" spans="13:20">
      <c r="M2438" s="2"/>
      <c r="O2438" s="2"/>
      <c r="R2438" s="2"/>
      <c r="T2438" s="2"/>
    </row>
    <row r="2439" spans="13:20">
      <c r="M2439" s="2"/>
      <c r="O2439" s="2"/>
      <c r="R2439" s="2"/>
      <c r="T2439" s="2"/>
    </row>
    <row r="2440" spans="13:20">
      <c r="M2440" s="2"/>
      <c r="O2440" s="2"/>
      <c r="R2440" s="2"/>
      <c r="T2440" s="2"/>
    </row>
    <row r="2441" spans="13:20">
      <c r="M2441" s="2"/>
      <c r="O2441" s="2"/>
      <c r="R2441" s="2"/>
      <c r="T2441" s="2"/>
    </row>
    <row r="2442" spans="13:20">
      <c r="M2442" s="2"/>
      <c r="O2442" s="2"/>
      <c r="R2442" s="2"/>
      <c r="T2442" s="2"/>
    </row>
    <row r="2443" spans="13:20">
      <c r="M2443" s="2"/>
      <c r="O2443" s="2"/>
      <c r="R2443" s="2"/>
      <c r="T2443" s="2"/>
    </row>
    <row r="2444" spans="13:20">
      <c r="M2444" s="2"/>
      <c r="O2444" s="2"/>
      <c r="R2444" s="2"/>
      <c r="T2444" s="2"/>
    </row>
    <row r="2445" spans="13:20">
      <c r="M2445" s="2"/>
      <c r="O2445" s="2"/>
      <c r="R2445" s="2"/>
      <c r="T2445" s="2"/>
    </row>
    <row r="2446" spans="13:20">
      <c r="M2446" s="2"/>
      <c r="O2446" s="2"/>
      <c r="R2446" s="2"/>
      <c r="T2446" s="2"/>
    </row>
    <row r="2447" spans="13:20">
      <c r="M2447" s="2"/>
      <c r="O2447" s="2"/>
      <c r="R2447" s="2"/>
      <c r="T2447" s="2"/>
    </row>
    <row r="2448" spans="13:20">
      <c r="R2448" s="2"/>
      <c r="T2448" s="2"/>
    </row>
    <row r="2449" spans="18:20">
      <c r="R2449" s="2"/>
      <c r="T2449" s="2"/>
    </row>
    <row r="2450" spans="18:20">
      <c r="R2450" s="2"/>
      <c r="T2450" s="2"/>
    </row>
    <row r="2451" spans="18:20">
      <c r="R2451" s="2"/>
      <c r="T2451" s="2"/>
    </row>
    <row r="2452" spans="18:20">
      <c r="R2452" s="2"/>
      <c r="T2452" s="2"/>
    </row>
    <row r="2453" spans="18:20">
      <c r="R2453" s="2"/>
      <c r="T2453" s="2"/>
    </row>
    <row r="2454" spans="18:20">
      <c r="R2454" s="2"/>
      <c r="T2454" s="2"/>
    </row>
    <row r="2455" spans="18:20">
      <c r="R2455" s="2"/>
      <c r="T2455" s="2"/>
    </row>
    <row r="2456" spans="18:20">
      <c r="R2456" s="2"/>
      <c r="T2456" s="2"/>
    </row>
    <row r="2457" spans="18:20">
      <c r="R2457" s="2"/>
      <c r="T2457" s="2"/>
    </row>
    <row r="2458" spans="18:20">
      <c r="R2458" s="2"/>
      <c r="T2458" s="2"/>
    </row>
    <row r="2459" spans="18:20">
      <c r="R2459" s="2"/>
      <c r="T2459" s="2"/>
    </row>
    <row r="2460" spans="18:20">
      <c r="R2460" s="2"/>
      <c r="T2460" s="2"/>
    </row>
    <row r="2461" spans="18:20">
      <c r="R2461" s="2"/>
      <c r="T2461" s="2"/>
    </row>
    <row r="2462" spans="18:20">
      <c r="R2462" s="2"/>
      <c r="T2462" s="2"/>
    </row>
    <row r="2463" spans="18:20">
      <c r="R2463" s="2"/>
      <c r="T2463" s="2"/>
    </row>
    <row r="2464" spans="18:20">
      <c r="R2464" s="2"/>
      <c r="T2464" s="2"/>
    </row>
    <row r="2465" spans="18:20">
      <c r="R2465" s="2"/>
      <c r="T2465" s="2"/>
    </row>
    <row r="2466" spans="18:20">
      <c r="R2466" s="2"/>
      <c r="T2466" s="2"/>
    </row>
    <row r="2467" spans="18:20">
      <c r="R2467" s="2"/>
      <c r="T2467" s="2"/>
    </row>
    <row r="2468" spans="18:20">
      <c r="R2468" s="2"/>
      <c r="T2468" s="2"/>
    </row>
    <row r="2469" spans="18:20">
      <c r="R2469" s="2"/>
      <c r="T2469" s="2"/>
    </row>
    <row r="2470" spans="18:20">
      <c r="R2470" s="2"/>
      <c r="T2470" s="2"/>
    </row>
    <row r="2471" spans="18:20">
      <c r="R2471" s="2"/>
      <c r="T2471" s="2"/>
    </row>
    <row r="2472" spans="18:20">
      <c r="R2472" s="2"/>
      <c r="T2472" s="2"/>
    </row>
    <row r="2473" spans="18:20">
      <c r="R2473" s="2"/>
      <c r="T2473" s="2"/>
    </row>
    <row r="2474" spans="18:20">
      <c r="R2474" s="2"/>
      <c r="T2474" s="2"/>
    </row>
    <row r="2475" spans="18:20">
      <c r="R2475" s="2"/>
      <c r="T2475" s="2"/>
    </row>
    <row r="2476" spans="18:20">
      <c r="R2476" s="2"/>
      <c r="T2476" s="2"/>
    </row>
    <row r="2477" spans="18:20">
      <c r="R2477" s="2"/>
      <c r="T2477" s="2"/>
    </row>
    <row r="2478" spans="18:20">
      <c r="R2478" s="2"/>
      <c r="T2478" s="2"/>
    </row>
    <row r="2479" spans="18:20">
      <c r="R2479" s="2"/>
      <c r="T2479" s="2"/>
    </row>
    <row r="2480" spans="18:20">
      <c r="R2480" s="2"/>
      <c r="T2480" s="2"/>
    </row>
    <row r="2481" spans="18:20">
      <c r="R2481" s="2"/>
      <c r="T2481" s="2"/>
    </row>
    <row r="2482" spans="18:20">
      <c r="R2482" s="2"/>
      <c r="T2482" s="2"/>
    </row>
    <row r="2483" spans="18:20">
      <c r="R2483" s="2"/>
      <c r="T2483" s="2"/>
    </row>
    <row r="2484" spans="18:20">
      <c r="R2484" s="2"/>
      <c r="T2484" s="2"/>
    </row>
    <row r="2485" spans="18:20">
      <c r="R2485" s="2"/>
      <c r="T2485" s="2"/>
    </row>
    <row r="2486" spans="18:20">
      <c r="R2486" s="2"/>
      <c r="T2486" s="2"/>
    </row>
    <row r="2487" spans="18:20">
      <c r="R2487" s="2"/>
      <c r="T2487" s="2"/>
    </row>
    <row r="2488" spans="18:20">
      <c r="R2488" s="2"/>
      <c r="T2488" s="2"/>
    </row>
    <row r="2489" spans="18:20">
      <c r="R2489" s="2"/>
      <c r="T2489" s="2"/>
    </row>
    <row r="2490" spans="18:20">
      <c r="R2490" s="2"/>
      <c r="T2490" s="2"/>
    </row>
    <row r="2491" spans="18:20">
      <c r="R2491" s="2"/>
      <c r="T2491" s="2"/>
    </row>
    <row r="2492" spans="18:20">
      <c r="R2492" s="2"/>
      <c r="T2492" s="2"/>
    </row>
    <row r="2493" spans="18:20">
      <c r="R2493" s="2"/>
      <c r="T2493" s="2"/>
    </row>
    <row r="2494" spans="18:20">
      <c r="R2494" s="2"/>
      <c r="T2494" s="2"/>
    </row>
    <row r="2495" spans="18:20">
      <c r="R2495" s="2"/>
      <c r="T2495" s="2"/>
    </row>
    <row r="2496" spans="18:20">
      <c r="R2496" s="2"/>
      <c r="T2496" s="2"/>
    </row>
    <row r="2497" spans="18:20">
      <c r="R2497" s="2"/>
      <c r="T2497" s="2"/>
    </row>
    <row r="2498" spans="18:20">
      <c r="R2498" s="2"/>
      <c r="T2498" s="2"/>
    </row>
    <row r="2499" spans="18:20">
      <c r="R2499" s="2"/>
      <c r="T2499" s="2"/>
    </row>
    <row r="2500" spans="18:20">
      <c r="R2500" s="2"/>
      <c r="T2500" s="2"/>
    </row>
    <row r="2501" spans="18:20">
      <c r="R2501" s="2"/>
      <c r="T2501" s="2"/>
    </row>
    <row r="2502" spans="18:20">
      <c r="R2502" s="2"/>
      <c r="T2502" s="2"/>
    </row>
    <row r="2503" spans="18:20">
      <c r="R2503" s="2"/>
      <c r="T2503" s="2"/>
    </row>
    <row r="2504" spans="18:20">
      <c r="R2504" s="2"/>
      <c r="T2504" s="2"/>
    </row>
    <row r="2505" spans="18:20">
      <c r="R2505" s="2"/>
      <c r="T2505" s="2"/>
    </row>
    <row r="2506" spans="18:20">
      <c r="R2506" s="2"/>
      <c r="T2506" s="2"/>
    </row>
    <row r="2507" spans="18:20">
      <c r="R2507" s="2"/>
      <c r="T2507" s="2"/>
    </row>
    <row r="2508" spans="18:20">
      <c r="R2508" s="2"/>
      <c r="T2508" s="2"/>
    </row>
    <row r="2509" spans="18:20">
      <c r="R2509" s="2"/>
      <c r="T2509" s="2"/>
    </row>
    <row r="2510" spans="18:20">
      <c r="R2510" s="2"/>
      <c r="T2510" s="2"/>
    </row>
    <row r="2511" spans="18:20">
      <c r="R2511" s="2"/>
      <c r="T2511" s="2"/>
    </row>
    <row r="2512" spans="18:20">
      <c r="R2512" s="2"/>
      <c r="T2512" s="2"/>
    </row>
    <row r="2513" spans="18:20">
      <c r="R2513" s="2"/>
      <c r="T2513" s="2"/>
    </row>
    <row r="2514" spans="18:20">
      <c r="R2514" s="2"/>
      <c r="T2514" s="2"/>
    </row>
    <row r="2515" spans="18:20">
      <c r="R2515" s="2"/>
      <c r="T2515" s="2"/>
    </row>
    <row r="2516" spans="18:20">
      <c r="R2516" s="2"/>
      <c r="T2516" s="2"/>
    </row>
    <row r="2517" spans="18:20">
      <c r="R2517" s="2"/>
      <c r="T2517" s="2"/>
    </row>
    <row r="2518" spans="18:20">
      <c r="R2518" s="2"/>
      <c r="T2518" s="2"/>
    </row>
    <row r="2519" spans="18:20">
      <c r="R2519" s="2"/>
      <c r="T2519" s="2"/>
    </row>
    <row r="2520" spans="18:20">
      <c r="R2520" s="2"/>
      <c r="T2520" s="2"/>
    </row>
    <row r="2521" spans="18:20">
      <c r="R2521" s="2"/>
      <c r="T2521" s="2"/>
    </row>
    <row r="2522" spans="18:20">
      <c r="R2522" s="2"/>
      <c r="T2522" s="2"/>
    </row>
    <row r="2523" spans="18:20">
      <c r="R2523" s="2"/>
      <c r="T2523" s="2"/>
    </row>
    <row r="2524" spans="18:20">
      <c r="R2524" s="2"/>
      <c r="T2524" s="2"/>
    </row>
    <row r="2525" spans="18:20">
      <c r="R2525" s="2"/>
      <c r="T2525" s="2"/>
    </row>
    <row r="2526" spans="18:20">
      <c r="R2526" s="2"/>
      <c r="T2526" s="2"/>
    </row>
    <row r="2527" spans="18:20">
      <c r="R2527" s="2"/>
      <c r="T2527" s="2"/>
    </row>
    <row r="2528" spans="18:20">
      <c r="R2528" s="2"/>
      <c r="T2528" s="2"/>
    </row>
    <row r="2529" spans="18:20">
      <c r="R2529" s="2"/>
      <c r="T2529" s="2"/>
    </row>
    <row r="2530" spans="18:20">
      <c r="R2530" s="2"/>
      <c r="T2530" s="2"/>
    </row>
    <row r="2531" spans="18:20">
      <c r="R2531" s="2"/>
      <c r="T2531" s="2"/>
    </row>
    <row r="2532" spans="18:20">
      <c r="R2532" s="2"/>
      <c r="T2532" s="2"/>
    </row>
    <row r="2533" spans="18:20">
      <c r="R2533" s="2"/>
      <c r="T2533" s="2"/>
    </row>
    <row r="2534" spans="18:20">
      <c r="R2534" s="2"/>
      <c r="T2534" s="2"/>
    </row>
    <row r="2535" spans="18:20">
      <c r="R2535" s="2"/>
      <c r="T2535" s="2"/>
    </row>
    <row r="2536" spans="18:20">
      <c r="R2536" s="2"/>
      <c r="T2536" s="2"/>
    </row>
    <row r="2537" spans="18:20">
      <c r="R2537" s="2"/>
      <c r="T2537" s="2"/>
    </row>
    <row r="2538" spans="18:20">
      <c r="R2538" s="2"/>
      <c r="T2538" s="2"/>
    </row>
    <row r="2539" spans="18:20">
      <c r="R2539" s="2"/>
      <c r="T2539" s="2"/>
    </row>
    <row r="2540" spans="18:20">
      <c r="R2540" s="2"/>
      <c r="T2540" s="2"/>
    </row>
    <row r="2541" spans="18:20">
      <c r="R2541" s="2"/>
      <c r="T2541" s="2"/>
    </row>
    <row r="2542" spans="18:20">
      <c r="R2542" s="2"/>
      <c r="T2542" s="2"/>
    </row>
    <row r="2543" spans="18:20">
      <c r="R2543" s="2"/>
      <c r="T2543" s="2"/>
    </row>
    <row r="2544" spans="18:20">
      <c r="R2544" s="2"/>
      <c r="T2544" s="2"/>
    </row>
    <row r="2545" spans="18:20">
      <c r="R2545" s="2"/>
      <c r="T2545" s="2"/>
    </row>
    <row r="2546" spans="18:20">
      <c r="R2546" s="2"/>
      <c r="T2546" s="2"/>
    </row>
    <row r="2547" spans="18:20">
      <c r="R2547" s="2"/>
      <c r="T2547" s="2"/>
    </row>
    <row r="2548" spans="18:20">
      <c r="R2548" s="2"/>
      <c r="T2548" s="2"/>
    </row>
    <row r="2549" spans="18:20">
      <c r="R2549" s="2"/>
      <c r="T2549" s="2"/>
    </row>
    <row r="2550" spans="18:20">
      <c r="R2550" s="2"/>
      <c r="T2550" s="2"/>
    </row>
    <row r="2551" spans="18:20">
      <c r="R2551" s="2"/>
      <c r="T2551" s="2"/>
    </row>
    <row r="2552" spans="18:20">
      <c r="R2552" s="2"/>
      <c r="T2552" s="2"/>
    </row>
    <row r="2553" spans="18:20">
      <c r="R2553" s="2"/>
      <c r="T2553" s="2"/>
    </row>
    <row r="2554" spans="18:20">
      <c r="R2554" s="2"/>
      <c r="T2554" s="2"/>
    </row>
    <row r="2555" spans="18:20">
      <c r="R2555" s="2"/>
      <c r="T2555" s="2"/>
    </row>
    <row r="2556" spans="18:20">
      <c r="R2556" s="2"/>
      <c r="T2556" s="2"/>
    </row>
    <row r="2557" spans="18:20">
      <c r="R2557" s="2"/>
      <c r="T2557" s="2"/>
    </row>
    <row r="2558" spans="18:20">
      <c r="R2558" s="2"/>
      <c r="T2558" s="2"/>
    </row>
    <row r="2559" spans="18:20">
      <c r="R2559" s="2"/>
      <c r="T2559" s="2"/>
    </row>
    <row r="2560" spans="18:20">
      <c r="R2560" s="2"/>
      <c r="T2560" s="2"/>
    </row>
    <row r="2561" spans="18:20">
      <c r="R2561" s="2"/>
      <c r="T2561" s="2"/>
    </row>
    <row r="2562" spans="18:20">
      <c r="R2562" s="2"/>
      <c r="T2562" s="2"/>
    </row>
    <row r="2563" spans="18:20">
      <c r="R2563" s="2"/>
      <c r="T2563" s="2"/>
    </row>
    <row r="2564" spans="18:20">
      <c r="R2564" s="2"/>
      <c r="T2564" s="2"/>
    </row>
    <row r="2565" spans="18:20">
      <c r="R2565" s="2"/>
      <c r="T2565" s="2"/>
    </row>
    <row r="2566" spans="18:20">
      <c r="R2566" s="2"/>
      <c r="T2566" s="2"/>
    </row>
    <row r="2567" spans="18:20">
      <c r="R2567" s="2"/>
      <c r="T2567" s="2"/>
    </row>
    <row r="2568" spans="18:20">
      <c r="R2568" s="2"/>
      <c r="T2568" s="2"/>
    </row>
    <row r="2569" spans="18:20">
      <c r="R2569" s="2"/>
      <c r="T2569" s="2"/>
    </row>
    <row r="2570" spans="18:20">
      <c r="R2570" s="2"/>
      <c r="T2570" s="2"/>
    </row>
    <row r="2571" spans="18:20">
      <c r="R2571" s="2"/>
      <c r="T2571" s="2"/>
    </row>
    <row r="2572" spans="18:20">
      <c r="R2572" s="2"/>
      <c r="T2572" s="2"/>
    </row>
    <row r="2573" spans="18:20">
      <c r="R2573" s="2"/>
      <c r="T2573" s="2"/>
    </row>
    <row r="2574" spans="18:20">
      <c r="R2574" s="2"/>
      <c r="T2574" s="2"/>
    </row>
    <row r="2575" spans="18:20">
      <c r="R2575" s="2"/>
      <c r="T2575" s="2"/>
    </row>
    <row r="2576" spans="18:20">
      <c r="R2576" s="2"/>
      <c r="T2576" s="2"/>
    </row>
    <row r="2577" spans="18:20">
      <c r="R2577" s="2"/>
      <c r="T2577" s="2"/>
    </row>
    <row r="2578" spans="18:20">
      <c r="R2578" s="2"/>
      <c r="T2578" s="2"/>
    </row>
    <row r="2579" spans="18:20">
      <c r="R2579" s="2"/>
      <c r="T2579" s="2"/>
    </row>
    <row r="2580" spans="18:20">
      <c r="R2580" s="2"/>
      <c r="T2580" s="2"/>
    </row>
    <row r="2581" spans="18:20">
      <c r="R2581" s="2"/>
      <c r="T2581" s="2"/>
    </row>
    <row r="2582" spans="18:20">
      <c r="R2582" s="2"/>
      <c r="T2582" s="2"/>
    </row>
    <row r="2583" spans="18:20">
      <c r="R2583" s="2"/>
      <c r="T2583" s="2"/>
    </row>
    <row r="2584" spans="18:20">
      <c r="R2584" s="2"/>
      <c r="T2584" s="2"/>
    </row>
    <row r="2585" spans="18:20">
      <c r="R2585" s="2"/>
      <c r="T2585" s="2"/>
    </row>
    <row r="2586" spans="18:20">
      <c r="R2586" s="2"/>
      <c r="T2586" s="2"/>
    </row>
    <row r="2587" spans="18:20">
      <c r="R2587" s="2"/>
      <c r="T2587" s="2"/>
    </row>
    <row r="2588" spans="18:20">
      <c r="R2588" s="2"/>
      <c r="T2588" s="2"/>
    </row>
    <row r="2589" spans="18:20">
      <c r="R2589" s="2"/>
      <c r="T2589" s="2"/>
    </row>
    <row r="2590" spans="18:20">
      <c r="R2590" s="2"/>
      <c r="T2590" s="2"/>
    </row>
    <row r="2591" spans="18:20">
      <c r="R2591" s="2"/>
      <c r="T2591" s="2"/>
    </row>
    <row r="2592" spans="18:20">
      <c r="R2592" s="2"/>
      <c r="T2592" s="2"/>
    </row>
    <row r="2593" spans="18:20">
      <c r="R2593" s="2"/>
      <c r="T2593" s="2"/>
    </row>
    <row r="2594" spans="18:20">
      <c r="R2594" s="2"/>
      <c r="T2594" s="2"/>
    </row>
    <row r="2595" spans="18:20">
      <c r="R2595" s="2"/>
      <c r="T2595" s="2"/>
    </row>
    <row r="2596" spans="18:20">
      <c r="R2596" s="2"/>
      <c r="T2596" s="2"/>
    </row>
    <row r="2597" spans="18:20">
      <c r="R2597" s="2"/>
      <c r="T2597" s="2"/>
    </row>
    <row r="2598" spans="18:20">
      <c r="R2598" s="2"/>
      <c r="T2598" s="2"/>
    </row>
    <row r="2599" spans="18:20">
      <c r="R2599" s="2"/>
      <c r="T2599" s="2"/>
    </row>
    <row r="2600" spans="18:20">
      <c r="R2600" s="2"/>
      <c r="T2600" s="2"/>
    </row>
    <row r="2601" spans="18:20">
      <c r="R2601" s="2"/>
      <c r="T2601" s="2"/>
    </row>
    <row r="2602" spans="18:20">
      <c r="R2602" s="2"/>
      <c r="T2602" s="2"/>
    </row>
    <row r="2603" spans="18:20">
      <c r="R2603" s="2"/>
      <c r="T2603" s="2"/>
    </row>
    <row r="2604" spans="18:20">
      <c r="R2604" s="2"/>
      <c r="T2604" s="2"/>
    </row>
    <row r="2605" spans="18:20">
      <c r="R2605" s="2"/>
      <c r="T2605" s="2"/>
    </row>
    <row r="2606" spans="18:20">
      <c r="R2606" s="2"/>
      <c r="T2606" s="2"/>
    </row>
    <row r="2607" spans="18:20">
      <c r="R2607" s="2"/>
      <c r="T2607" s="2"/>
    </row>
    <row r="2608" spans="18:20">
      <c r="R2608" s="2"/>
      <c r="T2608" s="2"/>
    </row>
    <row r="2609" spans="18:20">
      <c r="R2609" s="2"/>
      <c r="T2609" s="2"/>
    </row>
    <row r="2610" spans="18:20">
      <c r="R2610" s="2"/>
      <c r="T2610" s="2"/>
    </row>
    <row r="2611" spans="18:20">
      <c r="R2611" s="2"/>
      <c r="T2611" s="2"/>
    </row>
    <row r="2612" spans="18:20">
      <c r="R2612" s="2"/>
      <c r="T2612" s="2"/>
    </row>
    <row r="2613" spans="18:20">
      <c r="R2613" s="2"/>
      <c r="T2613" s="2"/>
    </row>
    <row r="2614" spans="18:20">
      <c r="R2614" s="2"/>
      <c r="T2614" s="2"/>
    </row>
    <row r="2615" spans="18:20">
      <c r="R2615" s="2"/>
      <c r="T2615" s="2"/>
    </row>
    <row r="2616" spans="18:20">
      <c r="R2616" s="2"/>
      <c r="T2616" s="2"/>
    </row>
    <row r="2617" spans="18:20">
      <c r="R2617" s="2"/>
      <c r="T2617" s="2"/>
    </row>
    <row r="2618" spans="18:20">
      <c r="R2618" s="2"/>
      <c r="T2618" s="2"/>
    </row>
    <row r="2619" spans="18:20">
      <c r="R2619" s="2"/>
      <c r="T2619" s="2"/>
    </row>
    <row r="2620" spans="18:20">
      <c r="R2620" s="2"/>
      <c r="T2620" s="2"/>
    </row>
    <row r="2621" spans="18:20">
      <c r="R2621" s="2"/>
      <c r="T2621" s="2"/>
    </row>
    <row r="2622" spans="18:20">
      <c r="R2622" s="2"/>
      <c r="T2622" s="2"/>
    </row>
    <row r="2623" spans="18:20">
      <c r="R2623" s="2"/>
      <c r="T2623" s="2"/>
    </row>
    <row r="2624" spans="18:20">
      <c r="R2624" s="2"/>
      <c r="T2624" s="2"/>
    </row>
    <row r="2625" spans="18:20">
      <c r="R2625" s="2"/>
      <c r="T2625" s="2"/>
    </row>
    <row r="2626" spans="18:20">
      <c r="R2626" s="2"/>
      <c r="T2626" s="2"/>
    </row>
    <row r="2627" spans="18:20">
      <c r="R2627" s="2"/>
      <c r="T2627" s="2"/>
    </row>
    <row r="2628" spans="18:20">
      <c r="R2628" s="2"/>
      <c r="T2628" s="2"/>
    </row>
    <row r="2629" spans="18:20">
      <c r="R2629" s="2"/>
      <c r="T2629" s="2"/>
    </row>
    <row r="2630" spans="18:20">
      <c r="R2630" s="2"/>
      <c r="T2630" s="2"/>
    </row>
    <row r="2631" spans="18:20">
      <c r="R2631" s="2"/>
      <c r="T2631" s="2"/>
    </row>
    <row r="2632" spans="18:20">
      <c r="R2632" s="2"/>
      <c r="T2632" s="2"/>
    </row>
    <row r="2633" spans="18:20">
      <c r="R2633" s="2"/>
      <c r="T2633" s="2"/>
    </row>
    <row r="2634" spans="18:20">
      <c r="R2634" s="2"/>
      <c r="T2634" s="2"/>
    </row>
    <row r="2635" spans="18:20">
      <c r="R2635" s="2"/>
      <c r="T2635" s="2"/>
    </row>
    <row r="2636" spans="18:20">
      <c r="R2636" s="2"/>
      <c r="T2636" s="2"/>
    </row>
    <row r="2637" spans="18:20">
      <c r="R2637" s="2"/>
      <c r="T2637" s="2"/>
    </row>
    <row r="2638" spans="18:20">
      <c r="R2638" s="2"/>
      <c r="T2638" s="2"/>
    </row>
    <row r="2639" spans="18:20">
      <c r="R2639" s="2"/>
      <c r="T2639" s="2"/>
    </row>
    <row r="2640" spans="18:20">
      <c r="R2640" s="2"/>
      <c r="T2640" s="2"/>
    </row>
    <row r="2641" spans="18:20">
      <c r="R2641" s="2"/>
      <c r="T2641" s="2"/>
    </row>
    <row r="2642" spans="18:20">
      <c r="R2642" s="2"/>
      <c r="T2642" s="2"/>
    </row>
    <row r="2643" spans="18:20">
      <c r="R2643" s="2"/>
      <c r="T2643" s="2"/>
    </row>
    <row r="2644" spans="18:20">
      <c r="R2644" s="2"/>
      <c r="T2644" s="2"/>
    </row>
    <row r="2645" spans="18:20">
      <c r="R2645" s="2"/>
      <c r="T2645" s="2"/>
    </row>
    <row r="2646" spans="18:20">
      <c r="R2646" s="2"/>
      <c r="T2646" s="2"/>
    </row>
    <row r="2647" spans="18:20">
      <c r="R2647" s="2"/>
      <c r="T2647" s="2"/>
    </row>
    <row r="2648" spans="18:20">
      <c r="R2648" s="2"/>
      <c r="T2648" s="2"/>
    </row>
    <row r="2649" spans="18:20">
      <c r="R2649" s="2"/>
      <c r="T2649" s="2"/>
    </row>
    <row r="2650" spans="18:20">
      <c r="R2650" s="2"/>
      <c r="T2650" s="2"/>
    </row>
    <row r="2651" spans="18:20">
      <c r="R2651" s="2"/>
      <c r="T2651" s="2"/>
    </row>
    <row r="2652" spans="18:20">
      <c r="R2652" s="2"/>
      <c r="T2652" s="2"/>
    </row>
    <row r="2653" spans="18:20">
      <c r="R2653" s="2"/>
      <c r="T2653" s="2"/>
    </row>
    <row r="2654" spans="18:20">
      <c r="R2654" s="2"/>
      <c r="T2654" s="2"/>
    </row>
    <row r="2655" spans="18:20">
      <c r="R2655" s="2"/>
      <c r="T2655" s="2"/>
    </row>
    <row r="2656" spans="18:20">
      <c r="R2656" s="2"/>
      <c r="T2656" s="2"/>
    </row>
    <row r="2657" spans="18:20">
      <c r="R2657" s="2"/>
      <c r="T2657" s="2"/>
    </row>
    <row r="2658" spans="18:20">
      <c r="R2658" s="2"/>
      <c r="T2658" s="2"/>
    </row>
    <row r="2659" spans="18:20">
      <c r="R2659" s="2"/>
      <c r="T2659" s="2"/>
    </row>
    <row r="2660" spans="18:20">
      <c r="R2660" s="2"/>
      <c r="T2660" s="2"/>
    </row>
    <row r="2661" spans="18:20">
      <c r="R2661" s="2"/>
      <c r="T2661" s="2"/>
    </row>
    <row r="2662" spans="18:20">
      <c r="R2662" s="2"/>
      <c r="T2662" s="2"/>
    </row>
    <row r="2663" spans="18:20">
      <c r="R2663" s="2"/>
      <c r="T2663" s="2"/>
    </row>
    <row r="2664" spans="18:20">
      <c r="R2664" s="2"/>
      <c r="T2664" s="2"/>
    </row>
    <row r="2665" spans="18:20">
      <c r="R2665" s="2"/>
      <c r="T2665" s="2"/>
    </row>
    <row r="2666" spans="18:20">
      <c r="R2666" s="2"/>
      <c r="T2666" s="2"/>
    </row>
    <row r="2667" spans="18:20">
      <c r="R2667" s="2"/>
      <c r="T2667" s="2"/>
    </row>
    <row r="2668" spans="18:20">
      <c r="R2668" s="2"/>
      <c r="T2668" s="2"/>
    </row>
    <row r="2669" spans="18:20">
      <c r="R2669" s="2"/>
      <c r="T2669" s="2"/>
    </row>
    <row r="2670" spans="18:20">
      <c r="R2670" s="2"/>
      <c r="T2670" s="2"/>
    </row>
    <row r="2671" spans="18:20">
      <c r="R2671" s="2"/>
      <c r="T2671" s="2"/>
    </row>
    <row r="2672" spans="18:20">
      <c r="R2672" s="2"/>
      <c r="T2672" s="2"/>
    </row>
    <row r="2673" spans="18:20">
      <c r="R2673" s="2"/>
      <c r="T2673" s="2"/>
    </row>
    <row r="2674" spans="18:20">
      <c r="R2674" s="2"/>
      <c r="T2674" s="2"/>
    </row>
    <row r="2675" spans="18:20">
      <c r="R2675" s="2"/>
      <c r="T2675" s="2"/>
    </row>
    <row r="2676" spans="18:20">
      <c r="R2676" s="2"/>
      <c r="T2676" s="2"/>
    </row>
    <row r="2677" spans="18:20">
      <c r="R2677" s="2"/>
      <c r="T2677" s="2"/>
    </row>
    <row r="2678" spans="18:20">
      <c r="R2678" s="2"/>
      <c r="T2678" s="2"/>
    </row>
    <row r="2679" spans="18:20">
      <c r="R2679" s="2"/>
      <c r="T2679" s="2"/>
    </row>
    <row r="2680" spans="18:20">
      <c r="R2680" s="2"/>
      <c r="T2680" s="2"/>
    </row>
    <row r="2681" spans="18:20">
      <c r="R2681" s="2"/>
      <c r="T2681" s="2"/>
    </row>
    <row r="2682" spans="18:20">
      <c r="R2682" s="2"/>
      <c r="T2682" s="2"/>
    </row>
    <row r="2683" spans="18:20">
      <c r="R2683" s="2"/>
      <c r="T2683" s="2"/>
    </row>
    <row r="2684" spans="18:20">
      <c r="R2684" s="2"/>
      <c r="T2684" s="2"/>
    </row>
    <row r="2685" spans="18:20">
      <c r="R2685" s="2"/>
      <c r="T2685" s="2"/>
    </row>
    <row r="2686" spans="18:20">
      <c r="R2686" s="2"/>
      <c r="T2686" s="2"/>
    </row>
    <row r="2687" spans="18:20">
      <c r="R2687" s="2"/>
      <c r="T2687" s="2"/>
    </row>
    <row r="2688" spans="18:20">
      <c r="R2688" s="2"/>
      <c r="T2688" s="2"/>
    </row>
    <row r="2689" spans="18:20">
      <c r="R2689" s="2"/>
      <c r="T2689" s="2"/>
    </row>
    <row r="2690" spans="18:20">
      <c r="R2690" s="2"/>
      <c r="T2690" s="2"/>
    </row>
    <row r="2691" spans="18:20">
      <c r="R2691" s="2"/>
      <c r="T2691" s="2"/>
    </row>
    <row r="2692" spans="18:20">
      <c r="R2692" s="2"/>
      <c r="T2692" s="2"/>
    </row>
    <row r="2693" spans="18:20">
      <c r="R2693" s="2"/>
      <c r="T2693" s="2"/>
    </row>
    <row r="2694" spans="18:20">
      <c r="R2694" s="2"/>
      <c r="T2694" s="2"/>
    </row>
    <row r="2695" spans="18:20">
      <c r="R2695" s="2"/>
      <c r="T2695" s="2"/>
    </row>
    <row r="2696" spans="18:20">
      <c r="R2696" s="2"/>
      <c r="T2696" s="2"/>
    </row>
    <row r="2697" spans="18:20">
      <c r="R2697" s="2"/>
      <c r="T2697" s="2"/>
    </row>
    <row r="2698" spans="18:20">
      <c r="R2698" s="2"/>
      <c r="T2698" s="2"/>
    </row>
    <row r="2699" spans="18:20">
      <c r="R2699" s="2"/>
      <c r="T2699" s="2"/>
    </row>
    <row r="2700" spans="18:20">
      <c r="R2700" s="2"/>
      <c r="T2700" s="2"/>
    </row>
    <row r="2701" spans="18:20">
      <c r="R2701" s="2"/>
      <c r="T2701" s="2"/>
    </row>
    <row r="2702" spans="18:20">
      <c r="R2702" s="2"/>
      <c r="T2702" s="2"/>
    </row>
    <row r="2703" spans="18:20">
      <c r="R2703" s="2"/>
      <c r="T2703" s="2"/>
    </row>
    <row r="2704" spans="18:20">
      <c r="R2704" s="2"/>
      <c r="T2704" s="2"/>
    </row>
    <row r="2705" spans="18:20">
      <c r="R2705" s="2"/>
      <c r="T2705" s="2"/>
    </row>
    <row r="2706" spans="18:20">
      <c r="R2706" s="2"/>
      <c r="T2706" s="2"/>
    </row>
    <row r="2707" spans="18:20">
      <c r="R2707" s="2"/>
      <c r="T2707" s="2"/>
    </row>
    <row r="2708" spans="18:20">
      <c r="R2708" s="2"/>
      <c r="T2708" s="2"/>
    </row>
    <row r="2709" spans="18:20">
      <c r="R2709" s="2"/>
      <c r="T2709" s="2"/>
    </row>
    <row r="2710" spans="18:20">
      <c r="R2710" s="2"/>
      <c r="T2710" s="2"/>
    </row>
    <row r="2711" spans="18:20">
      <c r="R2711" s="2"/>
      <c r="T2711" s="2"/>
    </row>
    <row r="2712" spans="18:20">
      <c r="R2712" s="2"/>
      <c r="T2712" s="2"/>
    </row>
    <row r="2713" spans="18:20">
      <c r="R2713" s="2"/>
      <c r="T2713" s="2"/>
    </row>
    <row r="2714" spans="18:20">
      <c r="R2714" s="2"/>
      <c r="T2714" s="2"/>
    </row>
    <row r="2715" spans="18:20">
      <c r="R2715" s="2"/>
      <c r="T2715" s="2"/>
    </row>
    <row r="2716" spans="18:20">
      <c r="R2716" s="2"/>
      <c r="T2716" s="2"/>
    </row>
    <row r="2717" spans="18:20">
      <c r="R2717" s="2"/>
      <c r="T2717" s="2"/>
    </row>
    <row r="2718" spans="18:20">
      <c r="R2718" s="2"/>
      <c r="T2718" s="2"/>
    </row>
    <row r="2719" spans="18:20">
      <c r="R2719" s="2"/>
      <c r="T2719" s="2"/>
    </row>
    <row r="2720" spans="18:20">
      <c r="R2720" s="2"/>
      <c r="T2720" s="2"/>
    </row>
    <row r="2721" spans="18:20">
      <c r="R2721" s="2"/>
      <c r="T2721" s="2"/>
    </row>
    <row r="2722" spans="18:20">
      <c r="R2722" s="2"/>
      <c r="T2722" s="2"/>
    </row>
    <row r="2723" spans="18:20">
      <c r="R2723" s="2"/>
      <c r="T2723" s="2"/>
    </row>
    <row r="2724" spans="18:20">
      <c r="R2724" s="2"/>
      <c r="T2724" s="2"/>
    </row>
    <row r="2725" spans="18:20">
      <c r="R2725" s="2"/>
      <c r="T2725" s="2"/>
    </row>
    <row r="2726" spans="18:20">
      <c r="R2726" s="2"/>
      <c r="T2726" s="2"/>
    </row>
    <row r="2727" spans="18:20">
      <c r="R2727" s="2"/>
      <c r="T2727" s="2"/>
    </row>
    <row r="2728" spans="18:20">
      <c r="R2728" s="2"/>
      <c r="T2728" s="2"/>
    </row>
    <row r="2729" spans="18:20">
      <c r="R2729" s="2"/>
      <c r="T2729" s="2"/>
    </row>
    <row r="2730" spans="18:20">
      <c r="R2730" s="2"/>
      <c r="T2730" s="2"/>
    </row>
    <row r="2731" spans="18:20">
      <c r="R2731" s="2"/>
      <c r="T2731" s="2"/>
    </row>
    <row r="2732" spans="18:20">
      <c r="R2732" s="2"/>
      <c r="T2732" s="2"/>
    </row>
    <row r="2733" spans="18:20">
      <c r="R2733" s="2"/>
      <c r="T2733" s="2"/>
    </row>
    <row r="2734" spans="18:20">
      <c r="R2734" s="2"/>
      <c r="T2734" s="2"/>
    </row>
    <row r="2735" spans="18:20">
      <c r="R2735" s="2"/>
      <c r="T2735" s="2"/>
    </row>
    <row r="2736" spans="18:20">
      <c r="R2736" s="2"/>
      <c r="T2736" s="2"/>
    </row>
    <row r="2737" spans="18:20">
      <c r="R2737" s="2"/>
      <c r="T2737" s="2"/>
    </row>
    <row r="2738" spans="18:20">
      <c r="R2738" s="2"/>
      <c r="T2738" s="2"/>
    </row>
    <row r="2739" spans="18:20">
      <c r="R2739" s="2"/>
      <c r="T2739" s="2"/>
    </row>
    <row r="2740" spans="18:20">
      <c r="R2740" s="2"/>
      <c r="T2740" s="2"/>
    </row>
    <row r="2741" spans="18:20">
      <c r="R2741" s="2"/>
      <c r="T2741" s="2"/>
    </row>
    <row r="2742" spans="18:20">
      <c r="R2742" s="2"/>
      <c r="T2742" s="2"/>
    </row>
    <row r="2743" spans="18:20">
      <c r="R2743" s="2"/>
      <c r="T2743" s="2"/>
    </row>
    <row r="2744" spans="18:20">
      <c r="R2744" s="2"/>
      <c r="T2744" s="2"/>
    </row>
    <row r="2745" spans="18:20">
      <c r="R2745" s="2"/>
      <c r="T2745" s="2"/>
    </row>
    <row r="2746" spans="18:20">
      <c r="R2746" s="2"/>
      <c r="T2746" s="2"/>
    </row>
    <row r="2747" spans="18:20">
      <c r="R2747" s="2"/>
      <c r="T2747" s="2"/>
    </row>
    <row r="2748" spans="18:20">
      <c r="R2748" s="2"/>
      <c r="T2748" s="2"/>
    </row>
    <row r="2749" spans="18:20">
      <c r="R2749" s="2"/>
      <c r="T2749" s="2"/>
    </row>
    <row r="2750" spans="18:20">
      <c r="R2750" s="2"/>
      <c r="T2750" s="2"/>
    </row>
    <row r="2751" spans="18:20">
      <c r="R2751" s="2"/>
      <c r="T2751" s="2"/>
    </row>
    <row r="2752" spans="18:20">
      <c r="R2752" s="2"/>
      <c r="T2752" s="2"/>
    </row>
    <row r="2753" spans="18:20">
      <c r="R2753" s="2"/>
      <c r="T2753" s="2"/>
    </row>
    <row r="2754" spans="18:20">
      <c r="R2754" s="2"/>
      <c r="T2754" s="2"/>
    </row>
    <row r="2755" spans="18:20">
      <c r="R2755" s="2"/>
      <c r="T2755" s="2"/>
    </row>
    <row r="2756" spans="18:20">
      <c r="R2756" s="2"/>
      <c r="T2756" s="2"/>
    </row>
    <row r="2757" spans="18:20">
      <c r="R2757" s="2"/>
      <c r="T2757" s="2"/>
    </row>
    <row r="2758" spans="18:20">
      <c r="R2758" s="2"/>
      <c r="T2758" s="2"/>
    </row>
    <row r="2759" spans="18:20">
      <c r="R2759" s="2"/>
      <c r="T2759" s="2"/>
    </row>
    <row r="2760" spans="18:20">
      <c r="R2760" s="2"/>
      <c r="T2760" s="2"/>
    </row>
    <row r="2761" spans="18:20">
      <c r="R2761" s="2"/>
      <c r="T2761" s="2"/>
    </row>
    <row r="2762" spans="18:20">
      <c r="R2762" s="2"/>
      <c r="T2762" s="2"/>
    </row>
    <row r="2763" spans="18:20">
      <c r="R2763" s="2"/>
      <c r="T2763" s="2"/>
    </row>
    <row r="2764" spans="18:20">
      <c r="R2764" s="2"/>
      <c r="T2764" s="2"/>
    </row>
    <row r="2765" spans="18:20">
      <c r="R2765" s="2"/>
      <c r="T2765" s="2"/>
    </row>
    <row r="2766" spans="18:20">
      <c r="R2766" s="2"/>
      <c r="T2766" s="2"/>
    </row>
    <row r="2767" spans="18:20">
      <c r="R2767" s="2"/>
      <c r="T2767" s="2"/>
    </row>
    <row r="2768" spans="18:20">
      <c r="R2768" s="2"/>
      <c r="T2768" s="2"/>
    </row>
    <row r="2769" spans="18:20">
      <c r="R2769" s="2"/>
      <c r="T2769" s="2"/>
    </row>
    <row r="2770" spans="18:20">
      <c r="R2770" s="2"/>
      <c r="T2770" s="2"/>
    </row>
    <row r="2771" spans="18:20">
      <c r="R2771" s="2"/>
      <c r="T2771" s="2"/>
    </row>
    <row r="2772" spans="18:20">
      <c r="R2772" s="2"/>
      <c r="T2772" s="2"/>
    </row>
    <row r="2773" spans="18:20">
      <c r="R2773" s="2"/>
      <c r="T2773" s="2"/>
    </row>
    <row r="2774" spans="18:20">
      <c r="R2774" s="2"/>
      <c r="T2774" s="2"/>
    </row>
    <row r="2775" spans="18:20">
      <c r="R2775" s="2"/>
      <c r="T2775" s="2"/>
    </row>
    <row r="2776" spans="18:20">
      <c r="R2776" s="2"/>
      <c r="T2776" s="2"/>
    </row>
    <row r="2777" spans="18:20">
      <c r="R2777" s="2"/>
      <c r="T2777" s="2"/>
    </row>
    <row r="2778" spans="18:20">
      <c r="R2778" s="2"/>
      <c r="T2778" s="2"/>
    </row>
    <row r="2779" spans="18:20">
      <c r="R2779" s="2"/>
      <c r="T2779" s="2"/>
    </row>
    <row r="2780" spans="18:20">
      <c r="R2780" s="2"/>
      <c r="T2780" s="2"/>
    </row>
    <row r="2781" spans="18:20">
      <c r="R2781" s="2"/>
      <c r="T2781" s="2"/>
    </row>
    <row r="2782" spans="18:20">
      <c r="R2782" s="2"/>
      <c r="T2782" s="2"/>
    </row>
    <row r="2783" spans="18:20">
      <c r="R2783" s="2"/>
      <c r="T2783" s="2"/>
    </row>
    <row r="2784" spans="18:20">
      <c r="R2784" s="2"/>
      <c r="T2784" s="2"/>
    </row>
    <row r="2785" spans="18:20">
      <c r="R2785" s="2"/>
      <c r="T2785" s="2"/>
    </row>
    <row r="2786" spans="18:20">
      <c r="R2786" s="2"/>
      <c r="T2786" s="2"/>
    </row>
    <row r="2787" spans="18:20">
      <c r="R2787" s="2"/>
      <c r="T2787" s="2"/>
    </row>
    <row r="2788" spans="18:20">
      <c r="R2788" s="2"/>
      <c r="T2788" s="2"/>
    </row>
    <row r="2789" spans="18:20">
      <c r="R2789" s="2"/>
      <c r="T2789" s="2"/>
    </row>
    <row r="2790" spans="18:20">
      <c r="R2790" s="2"/>
      <c r="T2790" s="2"/>
    </row>
    <row r="2791" spans="18:20">
      <c r="R2791" s="2"/>
      <c r="T2791" s="2"/>
    </row>
    <row r="2792" spans="18:20">
      <c r="R2792" s="2"/>
      <c r="T2792" s="2"/>
    </row>
    <row r="2793" spans="18:20">
      <c r="R2793" s="2"/>
      <c r="T2793" s="2"/>
    </row>
    <row r="2794" spans="18:20">
      <c r="R2794" s="2"/>
      <c r="T2794" s="2"/>
    </row>
    <row r="2795" spans="18:20">
      <c r="R2795" s="2"/>
      <c r="T2795" s="2"/>
    </row>
    <row r="2796" spans="18:20">
      <c r="R2796" s="2"/>
      <c r="T2796" s="2"/>
    </row>
    <row r="2797" spans="18:20">
      <c r="R2797" s="2"/>
      <c r="T2797" s="2"/>
    </row>
    <row r="2798" spans="18:20">
      <c r="R2798" s="2"/>
      <c r="T2798" s="2"/>
    </row>
    <row r="2799" spans="18:20">
      <c r="R2799" s="2"/>
      <c r="T2799" s="2"/>
    </row>
    <row r="2800" spans="18:20">
      <c r="R2800" s="2"/>
      <c r="T2800" s="2"/>
    </row>
    <row r="2801" spans="18:20">
      <c r="R2801" s="2"/>
      <c r="T2801" s="2"/>
    </row>
    <row r="2802" spans="18:20">
      <c r="R2802" s="2"/>
      <c r="T2802" s="2"/>
    </row>
    <row r="2803" spans="18:20">
      <c r="R2803" s="2"/>
      <c r="T2803" s="2"/>
    </row>
    <row r="2804" spans="18:20">
      <c r="R2804" s="2"/>
      <c r="T2804" s="2"/>
    </row>
    <row r="2805" spans="18:20">
      <c r="R2805" s="2"/>
      <c r="T2805" s="2"/>
    </row>
    <row r="2806" spans="18:20">
      <c r="R2806" s="2"/>
      <c r="T2806" s="2"/>
    </row>
    <row r="2807" spans="18:20">
      <c r="R2807" s="2"/>
      <c r="T2807" s="2"/>
    </row>
    <row r="2808" spans="18:20">
      <c r="R2808" s="2"/>
      <c r="T2808" s="2"/>
    </row>
    <row r="2809" spans="18:20">
      <c r="R2809" s="2"/>
      <c r="T2809" s="2"/>
    </row>
    <row r="2810" spans="18:20">
      <c r="R2810" s="2"/>
      <c r="T2810" s="2"/>
    </row>
    <row r="2811" spans="18:20">
      <c r="R2811" s="2"/>
      <c r="T2811" s="2"/>
    </row>
    <row r="2812" spans="18:20">
      <c r="R2812" s="2"/>
      <c r="T2812" s="2"/>
    </row>
    <row r="2813" spans="18:20">
      <c r="R2813" s="2"/>
      <c r="T2813" s="2"/>
    </row>
    <row r="2814" spans="18:20">
      <c r="R2814" s="2"/>
      <c r="T2814" s="2"/>
    </row>
    <row r="2815" spans="18:20">
      <c r="R2815" s="2"/>
      <c r="T2815" s="2"/>
    </row>
    <row r="2816" spans="18:20">
      <c r="R2816" s="2"/>
      <c r="T2816" s="2"/>
    </row>
    <row r="2817" spans="18:20">
      <c r="R2817" s="2"/>
      <c r="T2817" s="2"/>
    </row>
    <row r="2818" spans="18:20">
      <c r="R2818" s="2"/>
      <c r="T2818" s="2"/>
    </row>
    <row r="2819" spans="18:20">
      <c r="R2819" s="2"/>
      <c r="T2819" s="2"/>
    </row>
    <row r="2820" spans="18:20">
      <c r="R2820" s="2"/>
      <c r="T2820" s="2"/>
    </row>
    <row r="2821" spans="18:20">
      <c r="R2821" s="2"/>
      <c r="T2821" s="2"/>
    </row>
    <row r="2822" spans="18:20">
      <c r="R2822" s="2"/>
      <c r="T2822" s="2"/>
    </row>
    <row r="2823" spans="18:20">
      <c r="R2823" s="2"/>
      <c r="T2823" s="2"/>
    </row>
    <row r="2824" spans="18:20">
      <c r="R2824" s="2"/>
      <c r="T2824" s="2"/>
    </row>
    <row r="2825" spans="18:20">
      <c r="R2825" s="2"/>
      <c r="T2825" s="2"/>
    </row>
    <row r="2826" spans="18:20">
      <c r="R2826" s="2"/>
      <c r="T2826" s="2"/>
    </row>
    <row r="2827" spans="18:20">
      <c r="R2827" s="2"/>
      <c r="T2827" s="2"/>
    </row>
    <row r="2828" spans="18:20">
      <c r="R2828" s="2"/>
      <c r="T2828" s="2"/>
    </row>
    <row r="2829" spans="18:20">
      <c r="R2829" s="2"/>
      <c r="T2829" s="2"/>
    </row>
    <row r="2830" spans="18:20">
      <c r="R2830" s="2"/>
      <c r="T2830" s="2"/>
    </row>
    <row r="2831" spans="18:20">
      <c r="R2831" s="2"/>
      <c r="T2831" s="2"/>
    </row>
    <row r="2832" spans="18:20">
      <c r="R2832" s="2"/>
      <c r="T2832" s="2"/>
    </row>
    <row r="2833" spans="18:20">
      <c r="R2833" s="2"/>
      <c r="T2833" s="2"/>
    </row>
    <row r="2834" spans="18:20">
      <c r="R2834" s="2"/>
      <c r="T2834" s="2"/>
    </row>
    <row r="2835" spans="18:20">
      <c r="R2835" s="2"/>
      <c r="T2835" s="2"/>
    </row>
    <row r="2836" spans="18:20">
      <c r="R2836" s="2"/>
      <c r="T2836" s="2"/>
    </row>
    <row r="2837" spans="18:20">
      <c r="R2837" s="2"/>
      <c r="T2837" s="2"/>
    </row>
    <row r="2838" spans="18:20">
      <c r="R2838" s="2"/>
      <c r="T2838" s="2"/>
    </row>
    <row r="2839" spans="18:20">
      <c r="R2839" s="2"/>
      <c r="T2839" s="2"/>
    </row>
    <row r="2840" spans="18:20">
      <c r="R2840" s="2"/>
      <c r="T2840" s="2"/>
    </row>
    <row r="2841" spans="18:20">
      <c r="R2841" s="2"/>
      <c r="T2841" s="2"/>
    </row>
    <row r="2842" spans="18:20">
      <c r="R2842" s="2"/>
      <c r="T2842" s="2"/>
    </row>
    <row r="2843" spans="18:20">
      <c r="R2843" s="2"/>
      <c r="T2843" s="2"/>
    </row>
    <row r="2844" spans="18:20">
      <c r="R2844" s="2"/>
      <c r="T2844" s="2"/>
    </row>
    <row r="2845" spans="18:20">
      <c r="R2845" s="2"/>
      <c r="T2845" s="2"/>
    </row>
    <row r="2846" spans="18:20">
      <c r="R2846" s="2"/>
      <c r="T2846" s="2"/>
    </row>
    <row r="2847" spans="18:20">
      <c r="R2847" s="2"/>
      <c r="T2847" s="2"/>
    </row>
    <row r="2848" spans="18:20">
      <c r="R2848" s="2"/>
      <c r="T2848" s="2"/>
    </row>
    <row r="2849" spans="18:20">
      <c r="R2849" s="2"/>
      <c r="T2849" s="2"/>
    </row>
    <row r="2850" spans="18:20">
      <c r="R2850" s="2"/>
      <c r="T2850" s="2"/>
    </row>
    <row r="2851" spans="18:20">
      <c r="R2851" s="2"/>
      <c r="T2851" s="2"/>
    </row>
    <row r="2852" spans="18:20">
      <c r="R2852" s="2"/>
      <c r="T2852" s="2"/>
    </row>
    <row r="2853" spans="18:20">
      <c r="R2853" s="2"/>
      <c r="T2853" s="2"/>
    </row>
    <row r="2854" spans="18:20">
      <c r="R2854" s="2"/>
      <c r="T2854" s="2"/>
    </row>
    <row r="2855" spans="18:20">
      <c r="R2855" s="2"/>
      <c r="T2855" s="2"/>
    </row>
    <row r="2856" spans="18:20">
      <c r="R2856" s="2"/>
      <c r="T2856" s="2"/>
    </row>
    <row r="2857" spans="18:20">
      <c r="R2857" s="2"/>
      <c r="T2857" s="2"/>
    </row>
    <row r="2858" spans="18:20">
      <c r="R2858" s="2"/>
      <c r="T2858" s="2"/>
    </row>
    <row r="2859" spans="18:20">
      <c r="R2859" s="2"/>
      <c r="T2859" s="2"/>
    </row>
    <row r="2860" spans="18:20">
      <c r="R2860" s="2"/>
      <c r="T2860" s="2"/>
    </row>
    <row r="2861" spans="18:20">
      <c r="R2861" s="2"/>
      <c r="T2861" s="2"/>
    </row>
    <row r="2862" spans="18:20">
      <c r="R2862" s="2"/>
      <c r="T2862" s="2"/>
    </row>
    <row r="2863" spans="18:20">
      <c r="R2863" s="2"/>
      <c r="T2863" s="2"/>
    </row>
    <row r="2864" spans="18:20">
      <c r="R2864" s="2"/>
      <c r="T2864" s="2"/>
    </row>
    <row r="2865" spans="18:20">
      <c r="R2865" s="2"/>
      <c r="T2865" s="2"/>
    </row>
    <row r="2866" spans="18:20">
      <c r="R2866" s="2"/>
      <c r="T2866" s="2"/>
    </row>
    <row r="2867" spans="18:20">
      <c r="R2867" s="2"/>
      <c r="T2867" s="2"/>
    </row>
    <row r="2868" spans="18:20">
      <c r="R2868" s="2"/>
      <c r="T2868" s="2"/>
    </row>
    <row r="2869" spans="18:20">
      <c r="R2869" s="2"/>
      <c r="T2869" s="2"/>
    </row>
    <row r="2870" spans="18:20">
      <c r="R2870" s="2"/>
      <c r="T2870" s="2"/>
    </row>
    <row r="2871" spans="18:20">
      <c r="R2871" s="2"/>
      <c r="T2871" s="2"/>
    </row>
    <row r="2872" spans="18:20">
      <c r="R2872" s="2"/>
      <c r="T2872" s="2"/>
    </row>
    <row r="2873" spans="18:20">
      <c r="R2873" s="2"/>
      <c r="T2873" s="2"/>
    </row>
    <row r="2874" spans="18:20">
      <c r="R2874" s="2"/>
      <c r="T2874" s="2"/>
    </row>
    <row r="2875" spans="18:20">
      <c r="R2875" s="2"/>
      <c r="T2875" s="2"/>
    </row>
    <row r="2876" spans="18:20">
      <c r="R2876" s="2"/>
      <c r="T2876" s="2"/>
    </row>
    <row r="2877" spans="18:20">
      <c r="R2877" s="2"/>
      <c r="T2877" s="2"/>
    </row>
    <row r="2878" spans="18:20">
      <c r="R2878" s="2"/>
      <c r="T2878" s="2"/>
    </row>
    <row r="2879" spans="18:20">
      <c r="R2879" s="2"/>
      <c r="T2879" s="2"/>
    </row>
    <row r="2880" spans="18:20">
      <c r="R2880" s="2"/>
      <c r="T2880" s="2"/>
    </row>
    <row r="2881" spans="18:20">
      <c r="R2881" s="2"/>
      <c r="T2881" s="2"/>
    </row>
    <row r="2882" spans="18:20">
      <c r="R2882" s="2"/>
      <c r="T2882" s="2"/>
    </row>
    <row r="2883" spans="18:20">
      <c r="R2883" s="2"/>
      <c r="T2883" s="2"/>
    </row>
    <row r="2884" spans="18:20">
      <c r="R2884" s="2"/>
      <c r="T2884" s="2"/>
    </row>
    <row r="2885" spans="18:20">
      <c r="R2885" s="2"/>
      <c r="T2885" s="2"/>
    </row>
    <row r="2886" spans="18:20">
      <c r="R2886" s="2"/>
      <c r="T2886" s="2"/>
    </row>
    <row r="2887" spans="18:20">
      <c r="R2887" s="2"/>
      <c r="T2887" s="2"/>
    </row>
    <row r="2888" spans="18:20">
      <c r="R2888" s="2"/>
      <c r="T2888" s="2"/>
    </row>
    <row r="2889" spans="18:20">
      <c r="R2889" s="2"/>
      <c r="T2889" s="2"/>
    </row>
    <row r="2890" spans="18:20">
      <c r="R2890" s="2"/>
      <c r="T2890" s="2"/>
    </row>
    <row r="2891" spans="18:20">
      <c r="R2891" s="2"/>
      <c r="T2891" s="2"/>
    </row>
    <row r="2892" spans="18:20">
      <c r="R2892" s="2"/>
      <c r="T2892" s="2"/>
    </row>
    <row r="2893" spans="18:20">
      <c r="R2893" s="2"/>
      <c r="T2893" s="2"/>
    </row>
    <row r="2894" spans="18:20">
      <c r="R2894" s="2"/>
      <c r="T2894" s="2"/>
    </row>
    <row r="2895" spans="18:20">
      <c r="R2895" s="2"/>
      <c r="T2895" s="2"/>
    </row>
    <row r="2896" spans="18:20">
      <c r="R2896" s="2"/>
      <c r="T2896" s="2"/>
    </row>
    <row r="2897" spans="18:20">
      <c r="R2897" s="2"/>
      <c r="T2897" s="2"/>
    </row>
    <row r="2898" spans="18:20">
      <c r="R2898" s="2"/>
      <c r="T2898" s="2"/>
    </row>
    <row r="2899" spans="18:20">
      <c r="R2899" s="2"/>
      <c r="T2899" s="2"/>
    </row>
    <row r="2900" spans="18:20">
      <c r="R2900" s="2"/>
      <c r="T2900" s="2"/>
    </row>
    <row r="2901" spans="18:20">
      <c r="R2901" s="2"/>
      <c r="T2901" s="2"/>
    </row>
    <row r="2902" spans="18:20">
      <c r="R2902" s="2"/>
      <c r="T2902" s="2"/>
    </row>
    <row r="2903" spans="18:20">
      <c r="R2903" s="2"/>
      <c r="T2903" s="2"/>
    </row>
    <row r="2904" spans="18:20">
      <c r="R2904" s="2"/>
      <c r="T2904" s="2"/>
    </row>
    <row r="2905" spans="18:20">
      <c r="R2905" s="2"/>
      <c r="T2905" s="2"/>
    </row>
    <row r="2906" spans="18:20">
      <c r="R2906" s="2"/>
      <c r="T2906" s="2"/>
    </row>
    <row r="2907" spans="18:20">
      <c r="R2907" s="2"/>
      <c r="T2907" s="2"/>
    </row>
    <row r="2908" spans="18:20">
      <c r="R2908" s="2"/>
      <c r="T2908" s="2"/>
    </row>
    <row r="2909" spans="18:20">
      <c r="R2909" s="2"/>
      <c r="T2909" s="2"/>
    </row>
    <row r="2910" spans="18:20">
      <c r="R2910" s="2"/>
      <c r="T2910" s="2"/>
    </row>
    <row r="2911" spans="18:20">
      <c r="R2911" s="2"/>
      <c r="T2911" s="2"/>
    </row>
    <row r="2912" spans="18:20">
      <c r="R2912" s="2"/>
      <c r="T2912" s="2"/>
    </row>
    <row r="2913" spans="18:20">
      <c r="R2913" s="2"/>
      <c r="T2913" s="2"/>
    </row>
    <row r="2914" spans="18:20">
      <c r="R2914" s="2"/>
      <c r="T2914" s="2"/>
    </row>
    <row r="2915" spans="18:20">
      <c r="R2915" s="2"/>
      <c r="T2915" s="2"/>
    </row>
    <row r="2916" spans="18:20">
      <c r="R2916" s="2"/>
      <c r="T2916" s="2"/>
    </row>
    <row r="2917" spans="18:20">
      <c r="R2917" s="2"/>
      <c r="T2917" s="2"/>
    </row>
    <row r="2918" spans="18:20">
      <c r="R2918" s="2"/>
      <c r="T2918" s="2"/>
    </row>
    <row r="2919" spans="18:20">
      <c r="R2919" s="2"/>
      <c r="T2919" s="2"/>
    </row>
    <row r="2920" spans="18:20">
      <c r="R2920" s="2"/>
      <c r="T2920" s="2"/>
    </row>
    <row r="2921" spans="18:20">
      <c r="R2921" s="2"/>
      <c r="T2921" s="2"/>
    </row>
    <row r="2922" spans="18:20">
      <c r="R2922" s="2"/>
      <c r="T2922" s="2"/>
    </row>
    <row r="2923" spans="18:20">
      <c r="R2923" s="2"/>
      <c r="T2923" s="2"/>
    </row>
    <row r="2924" spans="18:20">
      <c r="R2924" s="2"/>
      <c r="T2924" s="2"/>
    </row>
    <row r="2925" spans="18:20">
      <c r="R2925" s="2"/>
      <c r="T2925" s="2"/>
    </row>
    <row r="2926" spans="18:20">
      <c r="R2926" s="2"/>
      <c r="T2926" s="2"/>
    </row>
    <row r="2927" spans="18:20">
      <c r="R2927" s="2"/>
      <c r="T2927" s="2"/>
    </row>
    <row r="2928" spans="18:20">
      <c r="R2928" s="2"/>
      <c r="T2928" s="2"/>
    </row>
    <row r="2929" spans="18:20">
      <c r="R2929" s="2"/>
      <c r="T2929" s="2"/>
    </row>
    <row r="2930" spans="18:20">
      <c r="R2930" s="2"/>
      <c r="T2930" s="2"/>
    </row>
    <row r="2931" spans="18:20">
      <c r="R2931" s="2"/>
      <c r="T2931" s="2"/>
    </row>
    <row r="2932" spans="18:20">
      <c r="R2932" s="2"/>
      <c r="T2932" s="2"/>
    </row>
    <row r="2933" spans="18:20">
      <c r="R2933" s="2"/>
      <c r="T2933" s="2"/>
    </row>
    <row r="2934" spans="18:20">
      <c r="R2934" s="2"/>
      <c r="T2934" s="2"/>
    </row>
    <row r="2935" spans="18:20">
      <c r="R2935" s="2"/>
      <c r="T2935" s="2"/>
    </row>
    <row r="2936" spans="18:20">
      <c r="R2936" s="2"/>
      <c r="T2936" s="2"/>
    </row>
    <row r="2937" spans="18:20">
      <c r="R2937" s="2"/>
      <c r="T2937" s="2"/>
    </row>
    <row r="2938" spans="18:20">
      <c r="R2938" s="2"/>
      <c r="T2938" s="2"/>
    </row>
    <row r="2939" spans="18:20">
      <c r="R2939" s="2"/>
      <c r="T2939" s="2"/>
    </row>
    <row r="2940" spans="18:20">
      <c r="R2940" s="2"/>
      <c r="T2940" s="2"/>
    </row>
    <row r="2941" spans="18:20">
      <c r="R2941" s="2"/>
      <c r="T2941" s="2"/>
    </row>
    <row r="2942" spans="18:20">
      <c r="R2942" s="2"/>
      <c r="T2942" s="2"/>
    </row>
    <row r="2943" spans="18:20">
      <c r="R2943" s="2"/>
      <c r="T2943" s="2"/>
    </row>
    <row r="2944" spans="18:20">
      <c r="R2944" s="2"/>
      <c r="T2944" s="2"/>
    </row>
    <row r="2945" spans="18:20">
      <c r="R2945" s="2"/>
      <c r="T2945" s="2"/>
    </row>
    <row r="2946" spans="18:20">
      <c r="R2946" s="2"/>
      <c r="T2946" s="2"/>
    </row>
    <row r="2947" spans="18:20">
      <c r="R2947" s="2"/>
      <c r="T2947" s="2"/>
    </row>
    <row r="2948" spans="18:20">
      <c r="R2948" s="2"/>
      <c r="T2948" s="2"/>
    </row>
    <row r="2949" spans="18:20">
      <c r="R2949" s="2"/>
      <c r="T2949" s="2"/>
    </row>
    <row r="2950" spans="18:20">
      <c r="R2950" s="2"/>
      <c r="T2950" s="2"/>
    </row>
    <row r="2951" spans="18:20">
      <c r="R2951" s="2"/>
      <c r="T2951" s="2"/>
    </row>
    <row r="2952" spans="18:20">
      <c r="R2952" s="2"/>
      <c r="T2952" s="2"/>
    </row>
    <row r="2953" spans="18:20">
      <c r="R2953" s="2"/>
      <c r="T2953" s="2"/>
    </row>
    <row r="2954" spans="18:20">
      <c r="R2954" s="2"/>
      <c r="T2954" s="2"/>
    </row>
    <row r="2955" spans="18:20">
      <c r="R2955" s="2"/>
      <c r="T2955" s="2"/>
    </row>
    <row r="2956" spans="18:20">
      <c r="R2956" s="2"/>
      <c r="T2956" s="2"/>
    </row>
    <row r="2957" spans="18:20">
      <c r="R2957" s="2"/>
      <c r="T2957" s="2"/>
    </row>
    <row r="2958" spans="18:20">
      <c r="R2958" s="2"/>
      <c r="T2958" s="2"/>
    </row>
    <row r="2959" spans="18:20">
      <c r="R2959" s="2"/>
      <c r="T2959" s="2"/>
    </row>
    <row r="2960" spans="18:20">
      <c r="R2960" s="2"/>
      <c r="T2960" s="2"/>
    </row>
    <row r="2961" spans="18:20">
      <c r="R2961" s="2"/>
      <c r="T2961" s="2"/>
    </row>
    <row r="2962" spans="18:20">
      <c r="R2962" s="2"/>
      <c r="T2962" s="2"/>
    </row>
    <row r="2963" spans="18:20">
      <c r="R2963" s="2"/>
      <c r="T2963" s="2"/>
    </row>
    <row r="2964" spans="18:20">
      <c r="R2964" s="2"/>
      <c r="T2964" s="2"/>
    </row>
    <row r="2965" spans="18:20">
      <c r="R2965" s="2"/>
      <c r="T2965" s="2"/>
    </row>
    <row r="2966" spans="18:20">
      <c r="R2966" s="2"/>
      <c r="T2966" s="2"/>
    </row>
    <row r="2967" spans="18:20">
      <c r="R2967" s="2"/>
      <c r="T2967" s="2"/>
    </row>
    <row r="2968" spans="18:20">
      <c r="R2968" s="2"/>
      <c r="T2968" s="2"/>
    </row>
    <row r="2969" spans="18:20">
      <c r="R2969" s="2"/>
      <c r="T2969" s="2"/>
    </row>
    <row r="2970" spans="18:20">
      <c r="R2970" s="2"/>
      <c r="T2970" s="2"/>
    </row>
    <row r="2971" spans="18:20">
      <c r="R2971" s="2"/>
      <c r="T2971" s="2"/>
    </row>
    <row r="2972" spans="18:20">
      <c r="R2972" s="2"/>
      <c r="T2972" s="2"/>
    </row>
    <row r="2973" spans="18:20">
      <c r="R2973" s="2"/>
      <c r="T2973" s="2"/>
    </row>
    <row r="2974" spans="18:20">
      <c r="R2974" s="2"/>
      <c r="T2974" s="2"/>
    </row>
    <row r="2975" spans="18:20">
      <c r="R2975" s="2"/>
      <c r="T2975" s="2"/>
    </row>
    <row r="2976" spans="18:20">
      <c r="R2976" s="2"/>
      <c r="T2976" s="2"/>
    </row>
    <row r="2977" spans="18:20">
      <c r="R2977" s="2"/>
      <c r="T2977" s="2"/>
    </row>
    <row r="2978" spans="18:20">
      <c r="R2978" s="2"/>
      <c r="T2978" s="2"/>
    </row>
    <row r="2979" spans="18:20">
      <c r="R2979" s="2"/>
      <c r="T2979" s="2"/>
    </row>
    <row r="2980" spans="18:20">
      <c r="R2980" s="2"/>
      <c r="T2980" s="2"/>
    </row>
    <row r="2981" spans="18:20">
      <c r="R2981" s="2"/>
      <c r="T2981" s="2"/>
    </row>
    <row r="2982" spans="18:20">
      <c r="R2982" s="2"/>
      <c r="T2982" s="2"/>
    </row>
    <row r="2983" spans="18:20">
      <c r="R2983" s="2"/>
      <c r="T2983" s="2"/>
    </row>
    <row r="2984" spans="18:20">
      <c r="R2984" s="2"/>
      <c r="T2984" s="2"/>
    </row>
    <row r="2985" spans="18:20">
      <c r="R2985" s="2"/>
      <c r="T2985" s="2"/>
    </row>
    <row r="2986" spans="18:20">
      <c r="R2986" s="2"/>
      <c r="T2986" s="2"/>
    </row>
    <row r="2987" spans="18:20">
      <c r="R2987" s="2"/>
      <c r="T2987" s="2"/>
    </row>
    <row r="2988" spans="18:20">
      <c r="R2988" s="2"/>
      <c r="T2988" s="2"/>
    </row>
    <row r="2989" spans="18:20">
      <c r="R2989" s="2"/>
      <c r="T2989" s="2"/>
    </row>
    <row r="2990" spans="18:20">
      <c r="R2990" s="2"/>
      <c r="T2990" s="2"/>
    </row>
    <row r="2991" spans="18:20">
      <c r="R2991" s="2"/>
      <c r="T2991" s="2"/>
    </row>
    <row r="2992" spans="18:20">
      <c r="R2992" s="2"/>
      <c r="T2992" s="2"/>
    </row>
    <row r="2993" spans="18:20">
      <c r="R2993" s="2"/>
      <c r="T2993" s="2"/>
    </row>
    <row r="2994" spans="18:20">
      <c r="R2994" s="2"/>
      <c r="T2994" s="2"/>
    </row>
    <row r="2995" spans="18:20">
      <c r="R2995" s="2"/>
      <c r="T2995" s="2"/>
    </row>
    <row r="2996" spans="18:20">
      <c r="R2996" s="2"/>
      <c r="T2996" s="2"/>
    </row>
    <row r="2997" spans="18:20">
      <c r="R2997" s="2"/>
      <c r="T2997" s="2"/>
    </row>
    <row r="2998" spans="18:20">
      <c r="R2998" s="2"/>
      <c r="T2998" s="2"/>
    </row>
    <row r="2999" spans="18:20">
      <c r="R2999" s="2"/>
      <c r="T2999" s="2"/>
    </row>
    <row r="3000" spans="18:20">
      <c r="R3000" s="2"/>
      <c r="T3000" s="2"/>
    </row>
    <row r="3001" spans="18:20">
      <c r="R3001" s="2"/>
      <c r="T3001" s="2"/>
    </row>
    <row r="3002" spans="18:20">
      <c r="R3002" s="2"/>
      <c r="T3002" s="2"/>
    </row>
    <row r="3003" spans="18:20">
      <c r="R3003" s="2"/>
      <c r="T3003" s="2"/>
    </row>
    <row r="3004" spans="18:20">
      <c r="R3004" s="2"/>
      <c r="T3004" s="2"/>
    </row>
    <row r="3005" spans="18:20">
      <c r="R3005" s="2"/>
      <c r="T3005" s="2"/>
    </row>
    <row r="3006" spans="18:20">
      <c r="R3006" s="2"/>
      <c r="T3006" s="2"/>
    </row>
    <row r="3007" spans="18:20">
      <c r="R3007" s="2"/>
      <c r="T3007" s="2"/>
    </row>
    <row r="3008" spans="18:20">
      <c r="R3008" s="2"/>
      <c r="T3008" s="2"/>
    </row>
    <row r="3009" spans="18:20">
      <c r="R3009" s="2"/>
      <c r="T3009" s="2"/>
    </row>
    <row r="3010" spans="18:20">
      <c r="R3010" s="2"/>
      <c r="T3010" s="2"/>
    </row>
    <row r="3011" spans="18:20">
      <c r="R3011" s="2"/>
      <c r="T3011" s="2"/>
    </row>
    <row r="3012" spans="18:20">
      <c r="R3012" s="2"/>
      <c r="T3012" s="2"/>
    </row>
    <row r="3013" spans="18:20">
      <c r="R3013" s="2"/>
      <c r="T3013" s="2"/>
    </row>
    <row r="3014" spans="18:20">
      <c r="R3014" s="2"/>
      <c r="T3014" s="2"/>
    </row>
    <row r="3015" spans="18:20">
      <c r="R3015" s="2"/>
      <c r="T3015" s="2"/>
    </row>
    <row r="3016" spans="18:20">
      <c r="R3016" s="2"/>
      <c r="T3016" s="2"/>
    </row>
    <row r="3017" spans="18:20">
      <c r="R3017" s="2"/>
      <c r="T3017" s="2"/>
    </row>
    <row r="3018" spans="18:20">
      <c r="R3018" s="2"/>
      <c r="T3018" s="2"/>
    </row>
    <row r="3019" spans="18:20">
      <c r="R3019" s="2"/>
      <c r="T3019" s="2"/>
    </row>
    <row r="3020" spans="18:20">
      <c r="R3020" s="2"/>
      <c r="T3020" s="2"/>
    </row>
    <row r="3021" spans="18:20">
      <c r="R3021" s="2"/>
      <c r="T3021" s="2"/>
    </row>
    <row r="3022" spans="18:20">
      <c r="R3022" s="2"/>
      <c r="T3022" s="2"/>
    </row>
    <row r="3023" spans="18:20">
      <c r="R3023" s="2"/>
      <c r="T3023" s="2"/>
    </row>
    <row r="3024" spans="18:20">
      <c r="R3024" s="2"/>
      <c r="T3024" s="2"/>
    </row>
    <row r="3025" spans="18:20">
      <c r="R3025" s="2"/>
      <c r="T3025" s="2"/>
    </row>
    <row r="3026" spans="18:20">
      <c r="R3026" s="2"/>
      <c r="T3026" s="2"/>
    </row>
    <row r="3027" spans="18:20">
      <c r="R3027" s="2"/>
      <c r="T3027" s="2"/>
    </row>
    <row r="3028" spans="18:20">
      <c r="R3028" s="2"/>
      <c r="T3028" s="2"/>
    </row>
    <row r="3029" spans="18:20">
      <c r="R3029" s="2"/>
      <c r="T3029" s="2"/>
    </row>
    <row r="3030" spans="18:20">
      <c r="R3030" s="2"/>
      <c r="T3030" s="2"/>
    </row>
    <row r="3031" spans="18:20">
      <c r="R3031" s="2"/>
      <c r="T3031" s="2"/>
    </row>
    <row r="3032" spans="18:20">
      <c r="R3032" s="2"/>
      <c r="T3032" s="2"/>
    </row>
    <row r="3033" spans="18:20">
      <c r="R3033" s="2"/>
      <c r="T3033" s="2"/>
    </row>
    <row r="3034" spans="18:20">
      <c r="R3034" s="2"/>
      <c r="T3034" s="2"/>
    </row>
    <row r="3035" spans="18:20">
      <c r="R3035" s="2"/>
      <c r="T3035" s="2"/>
    </row>
    <row r="3036" spans="18:20">
      <c r="R3036" s="2"/>
      <c r="T3036" s="2"/>
    </row>
    <row r="3037" spans="18:20">
      <c r="R3037" s="2"/>
      <c r="T3037" s="2"/>
    </row>
    <row r="3038" spans="18:20">
      <c r="R3038" s="2"/>
      <c r="T3038" s="2"/>
    </row>
    <row r="3039" spans="18:20">
      <c r="R3039" s="2"/>
      <c r="T3039" s="2"/>
    </row>
    <row r="3040" spans="18:20">
      <c r="R3040" s="2"/>
      <c r="T3040" s="2"/>
    </row>
    <row r="3041" spans="18:20">
      <c r="R3041" s="2"/>
      <c r="T3041" s="2"/>
    </row>
    <row r="3042" spans="18:20">
      <c r="R3042" s="2"/>
      <c r="T3042" s="2"/>
    </row>
    <row r="3043" spans="18:20">
      <c r="R3043" s="2"/>
      <c r="T3043" s="2"/>
    </row>
    <row r="3044" spans="18:20">
      <c r="R3044" s="2"/>
      <c r="T3044" s="2"/>
    </row>
    <row r="3045" spans="18:20">
      <c r="R3045" s="2"/>
      <c r="T3045" s="2"/>
    </row>
    <row r="3046" spans="18:20">
      <c r="R3046" s="2"/>
      <c r="T3046" s="2"/>
    </row>
    <row r="3047" spans="18:20">
      <c r="R3047" s="2"/>
      <c r="T3047" s="2"/>
    </row>
    <row r="3048" spans="18:20">
      <c r="R3048" s="2"/>
      <c r="T3048" s="2"/>
    </row>
    <row r="3049" spans="18:20">
      <c r="R3049" s="2"/>
      <c r="T3049" s="2"/>
    </row>
    <row r="3050" spans="18:20">
      <c r="R3050" s="2"/>
      <c r="T3050" s="2"/>
    </row>
    <row r="3051" spans="18:20">
      <c r="R3051" s="2"/>
      <c r="T3051" s="2"/>
    </row>
    <row r="3052" spans="18:20">
      <c r="R3052" s="2"/>
      <c r="T3052" s="2"/>
    </row>
    <row r="3053" spans="18:20">
      <c r="R3053" s="2"/>
      <c r="T3053" s="2"/>
    </row>
    <row r="3054" spans="18:20">
      <c r="R3054" s="2"/>
      <c r="T3054" s="2"/>
    </row>
    <row r="3055" spans="18:20">
      <c r="R3055" s="2"/>
      <c r="T3055" s="2"/>
    </row>
    <row r="3056" spans="18:20">
      <c r="R3056" s="2"/>
      <c r="T3056" s="2"/>
    </row>
    <row r="3057" spans="18:20">
      <c r="R3057" s="2"/>
      <c r="T3057" s="2"/>
    </row>
    <row r="3058" spans="18:20">
      <c r="R3058" s="2"/>
      <c r="T3058" s="2"/>
    </row>
    <row r="3059" spans="18:20">
      <c r="R3059" s="2"/>
      <c r="T3059" s="2"/>
    </row>
    <row r="3060" spans="18:20">
      <c r="R3060" s="2"/>
      <c r="T3060" s="2"/>
    </row>
    <row r="3061" spans="18:20">
      <c r="R3061" s="2"/>
      <c r="T3061" s="2"/>
    </row>
    <row r="3062" spans="18:20">
      <c r="R3062" s="2"/>
      <c r="T3062" s="2"/>
    </row>
    <row r="3063" spans="18:20">
      <c r="R3063" s="2"/>
      <c r="T3063" s="2"/>
    </row>
    <row r="3064" spans="18:20">
      <c r="R3064" s="2"/>
      <c r="T3064" s="2"/>
    </row>
    <row r="3065" spans="18:20">
      <c r="R3065" s="2"/>
      <c r="T3065" s="2"/>
    </row>
    <row r="3066" spans="18:20">
      <c r="R3066" s="2"/>
      <c r="T3066" s="2"/>
    </row>
    <row r="3067" spans="18:20">
      <c r="R3067" s="2"/>
      <c r="T3067" s="2"/>
    </row>
    <row r="3068" spans="18:20">
      <c r="R3068" s="2"/>
      <c r="T3068" s="2"/>
    </row>
    <row r="3069" spans="18:20">
      <c r="R3069" s="2"/>
      <c r="T3069" s="2"/>
    </row>
    <row r="3070" spans="18:20">
      <c r="R3070" s="2"/>
      <c r="T3070" s="2"/>
    </row>
    <row r="3071" spans="18:20">
      <c r="R3071" s="2"/>
      <c r="T3071" s="2"/>
    </row>
    <row r="3072" spans="18:20">
      <c r="R3072" s="2"/>
      <c r="T3072" s="2"/>
    </row>
    <row r="3073" spans="18:20">
      <c r="R3073" s="2"/>
      <c r="T3073" s="2"/>
    </row>
    <row r="3074" spans="18:20">
      <c r="R3074" s="2"/>
      <c r="T3074" s="2"/>
    </row>
    <row r="3075" spans="18:20">
      <c r="R3075" s="2"/>
      <c r="T3075" s="2"/>
    </row>
    <row r="3076" spans="18:20">
      <c r="R3076" s="2"/>
      <c r="T3076" s="2"/>
    </row>
    <row r="3077" spans="18:20">
      <c r="R3077" s="2"/>
      <c r="T3077" s="2"/>
    </row>
    <row r="3078" spans="18:20">
      <c r="R3078" s="2"/>
      <c r="T3078" s="2"/>
    </row>
    <row r="3079" spans="18:20">
      <c r="R3079" s="2"/>
      <c r="T3079" s="2"/>
    </row>
    <row r="3080" spans="18:20">
      <c r="R3080" s="2"/>
      <c r="T3080" s="2"/>
    </row>
    <row r="3081" spans="18:20">
      <c r="R3081" s="2"/>
      <c r="T3081" s="2"/>
    </row>
    <row r="3082" spans="18:20">
      <c r="R3082" s="2"/>
      <c r="T3082" s="2"/>
    </row>
    <row r="3083" spans="18:20">
      <c r="R3083" s="2"/>
      <c r="T3083" s="2"/>
    </row>
    <row r="3084" spans="18:20">
      <c r="R3084" s="2"/>
      <c r="T3084" s="2"/>
    </row>
    <row r="3085" spans="18:20">
      <c r="R3085" s="2"/>
      <c r="T3085" s="2"/>
    </row>
    <row r="3086" spans="18:20">
      <c r="R3086" s="2"/>
      <c r="T3086" s="2"/>
    </row>
    <row r="3087" spans="18:20">
      <c r="R3087" s="2"/>
      <c r="T3087" s="2"/>
    </row>
    <row r="3088" spans="18:20">
      <c r="R3088" s="2"/>
      <c r="T3088" s="2"/>
    </row>
    <row r="3089" spans="18:20">
      <c r="R3089" s="2"/>
      <c r="T3089" s="2"/>
    </row>
    <row r="3090" spans="18:20">
      <c r="R3090" s="2"/>
      <c r="T3090" s="2"/>
    </row>
    <row r="3091" spans="18:20">
      <c r="R3091" s="2"/>
      <c r="T3091" s="2"/>
    </row>
    <row r="3092" spans="18:20">
      <c r="R3092" s="2"/>
      <c r="T3092" s="2"/>
    </row>
    <row r="3093" spans="18:20">
      <c r="R3093" s="2"/>
      <c r="T3093" s="2"/>
    </row>
    <row r="3094" spans="18:20">
      <c r="R3094" s="2"/>
      <c r="T3094" s="2"/>
    </row>
    <row r="3095" spans="18:20">
      <c r="R3095" s="2"/>
      <c r="T3095" s="2"/>
    </row>
    <row r="3096" spans="18:20">
      <c r="R3096" s="2"/>
      <c r="T3096" s="2"/>
    </row>
    <row r="3097" spans="18:20">
      <c r="R3097" s="2"/>
      <c r="T3097" s="2"/>
    </row>
    <row r="3098" spans="18:20">
      <c r="R3098" s="2"/>
      <c r="T3098" s="2"/>
    </row>
    <row r="3099" spans="18:20">
      <c r="R3099" s="2"/>
      <c r="T3099" s="2"/>
    </row>
    <row r="3100" spans="18:20">
      <c r="R3100" s="2"/>
      <c r="T3100" s="2"/>
    </row>
    <row r="3101" spans="18:20">
      <c r="R3101" s="2"/>
      <c r="T3101" s="2"/>
    </row>
    <row r="3102" spans="18:20">
      <c r="R3102" s="2"/>
      <c r="T3102" s="2"/>
    </row>
    <row r="3103" spans="18:20">
      <c r="R3103" s="2"/>
      <c r="T3103" s="2"/>
    </row>
    <row r="3104" spans="18:20">
      <c r="R3104" s="2"/>
      <c r="T3104" s="2"/>
    </row>
    <row r="3105" spans="18:20">
      <c r="R3105" s="2"/>
      <c r="T3105" s="2"/>
    </row>
    <row r="3106" spans="18:20">
      <c r="R3106" s="2"/>
      <c r="T3106" s="2"/>
    </row>
    <row r="3107" spans="18:20">
      <c r="R3107" s="2"/>
      <c r="T3107" s="2"/>
    </row>
    <row r="3108" spans="18:20">
      <c r="R3108" s="2"/>
      <c r="T3108" s="2"/>
    </row>
    <row r="3109" spans="18:20">
      <c r="R3109" s="2"/>
      <c r="T3109" s="2"/>
    </row>
    <row r="3110" spans="18:20">
      <c r="R3110" s="2"/>
      <c r="T3110" s="2"/>
    </row>
    <row r="3111" spans="18:20">
      <c r="R3111" s="2"/>
      <c r="T3111" s="2"/>
    </row>
    <row r="3112" spans="18:20">
      <c r="R3112" s="2"/>
      <c r="T3112" s="2"/>
    </row>
    <row r="3113" spans="18:20">
      <c r="R3113" s="2"/>
      <c r="T3113" s="2"/>
    </row>
    <row r="3114" spans="18:20">
      <c r="R3114" s="2"/>
      <c r="T3114" s="2"/>
    </row>
    <row r="3115" spans="18:20">
      <c r="R3115" s="2"/>
      <c r="T3115" s="2"/>
    </row>
    <row r="3116" spans="18:20">
      <c r="R3116" s="2"/>
      <c r="T3116" s="2"/>
    </row>
    <row r="3117" spans="18:20">
      <c r="R3117" s="2"/>
      <c r="T3117" s="2"/>
    </row>
    <row r="3118" spans="18:20">
      <c r="R3118" s="2"/>
      <c r="T3118" s="2"/>
    </row>
    <row r="3119" spans="18:20">
      <c r="R3119" s="2"/>
      <c r="T3119" s="2"/>
    </row>
    <row r="3120" spans="18:20">
      <c r="R3120" s="2"/>
      <c r="T3120" s="2"/>
    </row>
    <row r="3121" spans="18:20">
      <c r="R3121" s="2"/>
      <c r="T3121" s="2"/>
    </row>
    <row r="3122" spans="18:20">
      <c r="R3122" s="2"/>
      <c r="T3122" s="2"/>
    </row>
    <row r="3123" spans="18:20">
      <c r="R3123" s="2"/>
      <c r="T3123" s="2"/>
    </row>
    <row r="3124" spans="18:20">
      <c r="R3124" s="2"/>
      <c r="T3124" s="2"/>
    </row>
    <row r="3125" spans="18:20">
      <c r="R3125" s="2"/>
      <c r="T3125" s="2"/>
    </row>
    <row r="3126" spans="18:20">
      <c r="R3126" s="2"/>
      <c r="T3126" s="2"/>
    </row>
    <row r="3127" spans="18:20">
      <c r="R3127" s="2"/>
      <c r="T3127" s="2"/>
    </row>
    <row r="3128" spans="18:20">
      <c r="R3128" s="2"/>
      <c r="T3128" s="2"/>
    </row>
    <row r="3129" spans="18:20">
      <c r="R3129" s="2"/>
      <c r="T3129" s="2"/>
    </row>
    <row r="3130" spans="18:20">
      <c r="R3130" s="2"/>
      <c r="T3130" s="2"/>
    </row>
    <row r="3131" spans="18:20">
      <c r="R3131" s="2"/>
      <c r="T3131" s="2"/>
    </row>
    <row r="3132" spans="18:20">
      <c r="R3132" s="2"/>
      <c r="T3132" s="2"/>
    </row>
    <row r="3133" spans="18:20">
      <c r="R3133" s="2"/>
      <c r="T3133" s="2"/>
    </row>
    <row r="3134" spans="18:20">
      <c r="R3134" s="2"/>
      <c r="T3134" s="2"/>
    </row>
    <row r="3135" spans="18:20">
      <c r="R3135" s="2"/>
      <c r="T3135" s="2"/>
    </row>
    <row r="3136" spans="18:20">
      <c r="R3136" s="2"/>
      <c r="T3136" s="2"/>
    </row>
    <row r="3137" spans="18:20">
      <c r="R3137" s="2"/>
      <c r="T3137" s="2"/>
    </row>
    <row r="3138" spans="18:20">
      <c r="R3138" s="2"/>
      <c r="T3138" s="2"/>
    </row>
    <row r="3139" spans="18:20">
      <c r="R3139" s="2"/>
      <c r="T3139" s="2"/>
    </row>
    <row r="3140" spans="18:20">
      <c r="R3140" s="2"/>
      <c r="T3140" s="2"/>
    </row>
    <row r="3141" spans="18:20">
      <c r="R3141" s="2"/>
      <c r="T3141" s="2"/>
    </row>
    <row r="3142" spans="18:20">
      <c r="R3142" s="2"/>
      <c r="T3142" s="2"/>
    </row>
    <row r="3143" spans="18:20">
      <c r="R3143" s="2"/>
      <c r="T3143" s="2"/>
    </row>
    <row r="3144" spans="18:20">
      <c r="R3144" s="2"/>
      <c r="T3144" s="2"/>
    </row>
    <row r="3145" spans="18:20">
      <c r="R3145" s="2"/>
      <c r="T3145" s="2"/>
    </row>
    <row r="3146" spans="18:20">
      <c r="R3146" s="2"/>
      <c r="T3146" s="2"/>
    </row>
    <row r="3147" spans="18:20">
      <c r="R3147" s="2"/>
      <c r="T3147" s="2"/>
    </row>
    <row r="3148" spans="18:20">
      <c r="R3148" s="2"/>
      <c r="T3148" s="2"/>
    </row>
    <row r="3149" spans="18:20">
      <c r="R3149" s="2"/>
      <c r="T3149" s="2"/>
    </row>
    <row r="3150" spans="18:20">
      <c r="R3150" s="2"/>
      <c r="T3150" s="2"/>
    </row>
    <row r="3151" spans="18:20">
      <c r="R3151" s="2"/>
      <c r="T3151" s="2"/>
    </row>
    <row r="3152" spans="18:20">
      <c r="R3152" s="2"/>
      <c r="T3152" s="2"/>
    </row>
    <row r="3153" spans="18:20">
      <c r="R3153" s="2"/>
      <c r="T3153" s="2"/>
    </row>
    <row r="3154" spans="18:20">
      <c r="R3154" s="2"/>
      <c r="T3154" s="2"/>
    </row>
    <row r="3155" spans="18:20">
      <c r="R3155" s="2"/>
      <c r="T3155" s="2"/>
    </row>
    <row r="3156" spans="18:20">
      <c r="R3156" s="2"/>
      <c r="T3156" s="2"/>
    </row>
    <row r="3157" spans="18:20">
      <c r="R3157" s="2"/>
      <c r="T3157" s="2"/>
    </row>
    <row r="3158" spans="18:20">
      <c r="R3158" s="2"/>
      <c r="T3158" s="2"/>
    </row>
    <row r="3159" spans="18:20">
      <c r="R3159" s="2"/>
      <c r="T3159" s="2"/>
    </row>
    <row r="3160" spans="18:20">
      <c r="R3160" s="2"/>
      <c r="T3160" s="2"/>
    </row>
    <row r="3161" spans="18:20">
      <c r="R3161" s="2"/>
      <c r="T3161" s="2"/>
    </row>
    <row r="3162" spans="18:20">
      <c r="R3162" s="2"/>
      <c r="T3162" s="2"/>
    </row>
    <row r="3163" spans="18:20">
      <c r="R3163" s="2"/>
      <c r="T3163" s="2"/>
    </row>
    <row r="3164" spans="18:20">
      <c r="R3164" s="2"/>
      <c r="T3164" s="2"/>
    </row>
    <row r="3165" spans="18:20">
      <c r="R3165" s="2"/>
      <c r="T3165" s="2"/>
    </row>
    <row r="3166" spans="18:20">
      <c r="R3166" s="2"/>
      <c r="T3166" s="2"/>
    </row>
    <row r="3167" spans="18:20">
      <c r="R3167" s="2"/>
      <c r="T3167" s="2"/>
    </row>
    <row r="3168" spans="18:20">
      <c r="R3168" s="2"/>
      <c r="T3168" s="2"/>
    </row>
    <row r="3169" spans="18:20">
      <c r="R3169" s="2"/>
      <c r="T3169" s="2"/>
    </row>
    <row r="3170" spans="18:20">
      <c r="R3170" s="2"/>
      <c r="T3170" s="2"/>
    </row>
    <row r="3171" spans="18:20">
      <c r="R3171" s="2"/>
      <c r="T3171" s="2"/>
    </row>
    <row r="3172" spans="18:20">
      <c r="R3172" s="2"/>
      <c r="T3172" s="2"/>
    </row>
    <row r="3173" spans="18:20">
      <c r="R3173" s="2"/>
      <c r="T3173" s="2"/>
    </row>
    <row r="3174" spans="18:20">
      <c r="R3174" s="2"/>
      <c r="T3174" s="2"/>
    </row>
    <row r="3175" spans="18:20">
      <c r="R3175" s="2"/>
      <c r="T3175" s="2"/>
    </row>
    <row r="3176" spans="18:20">
      <c r="R3176" s="2"/>
      <c r="T3176" s="2"/>
    </row>
    <row r="3177" spans="18:20">
      <c r="R3177" s="2"/>
      <c r="T3177" s="2"/>
    </row>
    <row r="3178" spans="18:20">
      <c r="R3178" s="2"/>
      <c r="T3178" s="2"/>
    </row>
    <row r="3179" spans="18:20">
      <c r="R3179" s="2"/>
      <c r="T3179" s="2"/>
    </row>
    <row r="3180" spans="18:20">
      <c r="R3180" s="2"/>
      <c r="T3180" s="2"/>
    </row>
    <row r="3181" spans="18:20">
      <c r="R3181" s="2"/>
      <c r="T3181" s="2"/>
    </row>
    <row r="3182" spans="18:20">
      <c r="R3182" s="2"/>
      <c r="T3182" s="2"/>
    </row>
    <row r="3183" spans="18:20">
      <c r="R3183" s="2"/>
      <c r="T3183" s="2"/>
    </row>
    <row r="3184" spans="18:20">
      <c r="R3184" s="2"/>
      <c r="T3184" s="2"/>
    </row>
    <row r="3185" spans="18:20">
      <c r="R3185" s="2"/>
      <c r="T3185" s="2"/>
    </row>
    <row r="3186" spans="18:20">
      <c r="R3186" s="2"/>
      <c r="T3186" s="2"/>
    </row>
    <row r="3187" spans="18:20">
      <c r="R3187" s="2"/>
      <c r="T3187" s="2"/>
    </row>
    <row r="3188" spans="18:20">
      <c r="R3188" s="2"/>
      <c r="T3188" s="2"/>
    </row>
    <row r="3189" spans="18:20">
      <c r="R3189" s="2"/>
      <c r="T3189" s="2"/>
    </row>
    <row r="3190" spans="18:20">
      <c r="R3190" s="2"/>
      <c r="T3190" s="2"/>
    </row>
    <row r="3191" spans="18:20">
      <c r="R3191" s="2"/>
      <c r="T3191" s="2"/>
    </row>
    <row r="3192" spans="18:20">
      <c r="R3192" s="2"/>
      <c r="T3192" s="2"/>
    </row>
    <row r="3193" spans="18:20">
      <c r="R3193" s="2"/>
      <c r="T3193" s="2"/>
    </row>
    <row r="3194" spans="18:20">
      <c r="R3194" s="2"/>
      <c r="T3194" s="2"/>
    </row>
    <row r="3195" spans="18:20">
      <c r="R3195" s="2"/>
      <c r="T3195" s="2"/>
    </row>
    <row r="3196" spans="18:20">
      <c r="R3196" s="2"/>
      <c r="T3196" s="2"/>
    </row>
    <row r="3197" spans="18:20">
      <c r="R3197" s="2"/>
      <c r="T3197" s="2"/>
    </row>
    <row r="3198" spans="18:20">
      <c r="R3198" s="2"/>
      <c r="T3198" s="2"/>
    </row>
    <row r="3199" spans="18:20">
      <c r="R3199" s="2"/>
      <c r="T3199" s="2"/>
    </row>
    <row r="3200" spans="18:20">
      <c r="R3200" s="2"/>
      <c r="T3200" s="2"/>
    </row>
    <row r="3201" spans="18:20">
      <c r="R3201" s="2"/>
      <c r="T3201" s="2"/>
    </row>
    <row r="3202" spans="18:20">
      <c r="R3202" s="2"/>
      <c r="T3202" s="2"/>
    </row>
    <row r="3203" spans="18:20">
      <c r="R3203" s="2"/>
      <c r="T3203" s="2"/>
    </row>
    <row r="3204" spans="18:20">
      <c r="R3204" s="2"/>
      <c r="T3204" s="2"/>
    </row>
    <row r="3205" spans="18:20">
      <c r="R3205" s="2"/>
      <c r="T3205" s="2"/>
    </row>
    <row r="3206" spans="18:20">
      <c r="R3206" s="2"/>
      <c r="T3206" s="2"/>
    </row>
    <row r="3207" spans="18:20">
      <c r="R3207" s="2"/>
      <c r="T3207" s="2"/>
    </row>
    <row r="3208" spans="18:20">
      <c r="R3208" s="2"/>
      <c r="T3208" s="2"/>
    </row>
    <row r="3209" spans="18:20">
      <c r="R3209" s="2"/>
      <c r="T3209" s="2"/>
    </row>
    <row r="3210" spans="18:20">
      <c r="R3210" s="2"/>
      <c r="T3210" s="2"/>
    </row>
    <row r="3211" spans="18:20">
      <c r="R3211" s="2"/>
      <c r="T3211" s="2"/>
    </row>
    <row r="3212" spans="18:20">
      <c r="R3212" s="2"/>
      <c r="T3212" s="2"/>
    </row>
    <row r="3213" spans="18:20">
      <c r="R3213" s="2"/>
      <c r="T3213" s="2"/>
    </row>
    <row r="3214" spans="18:20">
      <c r="R3214" s="2"/>
      <c r="T3214" s="2"/>
    </row>
    <row r="3215" spans="18:20">
      <c r="R3215" s="2"/>
      <c r="T3215" s="2"/>
    </row>
    <row r="3216" spans="18:20">
      <c r="R3216" s="2"/>
      <c r="T3216" s="2"/>
    </row>
    <row r="3217" spans="18:20">
      <c r="R3217" s="2"/>
      <c r="T3217" s="2"/>
    </row>
    <row r="3218" spans="18:20">
      <c r="R3218" s="2"/>
      <c r="T3218" s="2"/>
    </row>
    <row r="3219" spans="18:20">
      <c r="R3219" s="2"/>
      <c r="T3219" s="2"/>
    </row>
    <row r="3220" spans="18:20">
      <c r="R3220" s="2"/>
      <c r="T3220" s="2"/>
    </row>
    <row r="3221" spans="18:20">
      <c r="R3221" s="2"/>
      <c r="T3221" s="2"/>
    </row>
    <row r="3222" spans="18:20">
      <c r="R3222" s="2"/>
      <c r="T3222" s="2"/>
    </row>
    <row r="3223" spans="18:20">
      <c r="R3223" s="2"/>
      <c r="T3223" s="2"/>
    </row>
    <row r="3224" spans="18:20">
      <c r="R3224" s="2"/>
      <c r="T3224" s="2"/>
    </row>
    <row r="3225" spans="18:20">
      <c r="R3225" s="2"/>
      <c r="T3225" s="2"/>
    </row>
    <row r="3226" spans="18:20">
      <c r="R3226" s="2"/>
      <c r="T3226" s="2"/>
    </row>
    <row r="3227" spans="18:20">
      <c r="R3227" s="2"/>
      <c r="T3227" s="2"/>
    </row>
    <row r="3228" spans="18:20">
      <c r="R3228" s="2"/>
      <c r="T3228" s="2"/>
    </row>
    <row r="3229" spans="18:20">
      <c r="R3229" s="2"/>
      <c r="T3229" s="2"/>
    </row>
    <row r="3230" spans="18:20">
      <c r="R3230" s="2"/>
      <c r="T3230" s="2"/>
    </row>
    <row r="3231" spans="18:20">
      <c r="R3231" s="2"/>
      <c r="T3231" s="2"/>
    </row>
    <row r="3232" spans="18:20">
      <c r="R3232" s="2"/>
      <c r="T3232" s="2"/>
    </row>
    <row r="3233" spans="18:20">
      <c r="R3233" s="2"/>
      <c r="T3233" s="2"/>
    </row>
    <row r="3234" spans="18:20">
      <c r="R3234" s="2"/>
      <c r="T3234" s="2"/>
    </row>
    <row r="3235" spans="18:20">
      <c r="R3235" s="2"/>
      <c r="T3235" s="2"/>
    </row>
    <row r="3236" spans="18:20">
      <c r="R3236" s="2"/>
      <c r="T3236" s="2"/>
    </row>
    <row r="3237" spans="18:20">
      <c r="R3237" s="2"/>
      <c r="T3237" s="2"/>
    </row>
    <row r="3238" spans="18:20">
      <c r="R3238" s="2"/>
      <c r="T3238" s="2"/>
    </row>
    <row r="3239" spans="18:20">
      <c r="R3239" s="2"/>
      <c r="T3239" s="2"/>
    </row>
    <row r="3240" spans="18:20">
      <c r="R3240" s="2"/>
      <c r="T3240" s="2"/>
    </row>
    <row r="3241" spans="18:20">
      <c r="R3241" s="2"/>
      <c r="T3241" s="2"/>
    </row>
    <row r="3242" spans="18:20">
      <c r="R3242" s="2"/>
      <c r="T3242" s="2"/>
    </row>
    <row r="3243" spans="18:20">
      <c r="R3243" s="2"/>
      <c r="T3243" s="2"/>
    </row>
    <row r="3244" spans="18:20">
      <c r="R3244" s="2"/>
      <c r="T3244" s="2"/>
    </row>
    <row r="3245" spans="18:20">
      <c r="R3245" s="2"/>
      <c r="T3245" s="2"/>
    </row>
    <row r="3246" spans="18:20">
      <c r="R3246" s="2"/>
      <c r="T3246" s="2"/>
    </row>
    <row r="3247" spans="18:20">
      <c r="R3247" s="2"/>
      <c r="T3247" s="2"/>
    </row>
    <row r="3248" spans="18:20">
      <c r="R3248" s="2"/>
      <c r="T3248" s="2"/>
    </row>
    <row r="3249" spans="18:20">
      <c r="R3249" s="2"/>
      <c r="T3249" s="2"/>
    </row>
    <row r="3250" spans="18:20">
      <c r="R3250" s="2"/>
      <c r="T3250" s="2"/>
    </row>
    <row r="3251" spans="18:20">
      <c r="R3251" s="2"/>
      <c r="T3251" s="2"/>
    </row>
    <row r="3252" spans="18:20">
      <c r="R3252" s="2"/>
      <c r="T3252" s="2"/>
    </row>
    <row r="3253" spans="18:20">
      <c r="R3253" s="2"/>
      <c r="T3253" s="2"/>
    </row>
    <row r="3254" spans="18:20">
      <c r="R3254" s="2"/>
      <c r="T3254" s="2"/>
    </row>
    <row r="3255" spans="18:20">
      <c r="R3255" s="2"/>
      <c r="T3255" s="2"/>
    </row>
    <row r="3256" spans="18:20">
      <c r="R3256" s="2"/>
      <c r="T3256" s="2"/>
    </row>
    <row r="3257" spans="18:20">
      <c r="R3257" s="2"/>
      <c r="T3257" s="2"/>
    </row>
    <row r="3258" spans="18:20">
      <c r="R3258" s="2"/>
      <c r="T3258" s="2"/>
    </row>
    <row r="3259" spans="18:20">
      <c r="R3259" s="2"/>
      <c r="T3259" s="2"/>
    </row>
    <row r="3260" spans="18:20">
      <c r="R3260" s="2"/>
      <c r="T3260" s="2"/>
    </row>
    <row r="3261" spans="18:20">
      <c r="R3261" s="2"/>
      <c r="T3261" s="2"/>
    </row>
    <row r="3262" spans="18:20">
      <c r="R3262" s="2"/>
      <c r="T3262" s="2"/>
    </row>
    <row r="3263" spans="18:20">
      <c r="R3263" s="2"/>
      <c r="T3263" s="2"/>
    </row>
    <row r="3264" spans="18:20">
      <c r="R3264" s="2"/>
      <c r="T3264" s="2"/>
    </row>
    <row r="3265" spans="18:20">
      <c r="R3265" s="2"/>
      <c r="T3265" s="2"/>
    </row>
    <row r="3266" spans="18:20">
      <c r="R3266" s="2"/>
      <c r="T3266" s="2"/>
    </row>
    <row r="3267" spans="18:20">
      <c r="R3267" s="2"/>
      <c r="T3267" s="2"/>
    </row>
    <row r="3268" spans="18:20">
      <c r="R3268" s="2"/>
      <c r="T3268" s="2"/>
    </row>
    <row r="3269" spans="18:20">
      <c r="R3269" s="2"/>
      <c r="T3269" s="2"/>
    </row>
    <row r="3270" spans="18:20">
      <c r="R3270" s="2"/>
      <c r="T3270" s="2"/>
    </row>
    <row r="3271" spans="18:20">
      <c r="R3271" s="2"/>
      <c r="T3271" s="2"/>
    </row>
    <row r="3272" spans="18:20">
      <c r="R3272" s="2"/>
      <c r="T3272" s="2"/>
    </row>
    <row r="3273" spans="18:20">
      <c r="R3273" s="2"/>
      <c r="T3273" s="2"/>
    </row>
    <row r="3274" spans="18:20">
      <c r="R3274" s="2"/>
      <c r="T3274" s="2"/>
    </row>
    <row r="3275" spans="18:20">
      <c r="R3275" s="2"/>
      <c r="T3275" s="2"/>
    </row>
    <row r="3276" spans="18:20">
      <c r="R3276" s="2"/>
      <c r="T3276" s="2"/>
    </row>
    <row r="3277" spans="18:20">
      <c r="R3277" s="2"/>
      <c r="T3277" s="2"/>
    </row>
    <row r="3278" spans="18:20">
      <c r="R3278" s="2"/>
      <c r="T3278" s="2"/>
    </row>
    <row r="3279" spans="18:20">
      <c r="R3279" s="2"/>
      <c r="T3279" s="2"/>
    </row>
    <row r="3280" spans="18:20">
      <c r="R3280" s="2"/>
      <c r="T3280" s="2"/>
    </row>
    <row r="3281" spans="18:20">
      <c r="R3281" s="2"/>
      <c r="T3281" s="2"/>
    </row>
    <row r="3282" spans="18:20">
      <c r="R3282" s="2"/>
      <c r="T3282" s="2"/>
    </row>
    <row r="3283" spans="18:20">
      <c r="R3283" s="2"/>
      <c r="T3283" s="2"/>
    </row>
    <row r="3284" spans="18:20">
      <c r="R3284" s="2"/>
      <c r="T3284" s="2"/>
    </row>
    <row r="3285" spans="18:20">
      <c r="R3285" s="2"/>
      <c r="T3285" s="2"/>
    </row>
    <row r="3286" spans="18:20">
      <c r="R3286" s="2"/>
      <c r="T3286" s="2"/>
    </row>
    <row r="3287" spans="18:20">
      <c r="R3287" s="2"/>
      <c r="T3287" s="2"/>
    </row>
    <row r="3288" spans="18:20">
      <c r="R3288" s="2"/>
      <c r="T3288" s="2"/>
    </row>
    <row r="3289" spans="18:20">
      <c r="R3289" s="2"/>
      <c r="T3289" s="2"/>
    </row>
    <row r="3290" spans="18:20">
      <c r="R3290" s="2"/>
      <c r="T3290" s="2"/>
    </row>
    <row r="3291" spans="18:20">
      <c r="R3291" s="2"/>
      <c r="T3291" s="2"/>
    </row>
    <row r="3292" spans="18:20">
      <c r="R3292" s="2"/>
      <c r="T3292" s="2"/>
    </row>
    <row r="3293" spans="18:20">
      <c r="R3293" s="2"/>
      <c r="T3293" s="2"/>
    </row>
    <row r="3294" spans="18:20">
      <c r="R3294" s="2"/>
      <c r="T3294" s="2"/>
    </row>
    <row r="3295" spans="18:20">
      <c r="R3295" s="2"/>
      <c r="T3295" s="2"/>
    </row>
    <row r="3296" spans="18:20">
      <c r="R3296" s="2"/>
      <c r="T3296" s="2"/>
    </row>
    <row r="3297" spans="18:20">
      <c r="R3297" s="2"/>
      <c r="T3297" s="2"/>
    </row>
    <row r="3298" spans="18:20">
      <c r="R3298" s="2"/>
      <c r="T3298" s="2"/>
    </row>
    <row r="3299" spans="18:20">
      <c r="R3299" s="2"/>
      <c r="T3299" s="2"/>
    </row>
    <row r="3300" spans="18:20">
      <c r="R3300" s="2"/>
      <c r="T3300" s="2"/>
    </row>
    <row r="3301" spans="18:20">
      <c r="R3301" s="2"/>
      <c r="T3301" s="2"/>
    </row>
    <row r="3302" spans="18:20">
      <c r="R3302" s="2"/>
      <c r="T3302" s="2"/>
    </row>
    <row r="3303" spans="18:20">
      <c r="R3303" s="2"/>
      <c r="T3303" s="2"/>
    </row>
    <row r="3304" spans="18:20">
      <c r="R3304" s="2"/>
      <c r="T3304" s="2"/>
    </row>
    <row r="3305" spans="18:20">
      <c r="R3305" s="2"/>
      <c r="T3305" s="2"/>
    </row>
    <row r="3306" spans="18:20">
      <c r="R3306" s="2"/>
      <c r="T3306" s="2"/>
    </row>
    <row r="3307" spans="18:20">
      <c r="R3307" s="2"/>
      <c r="T3307" s="2"/>
    </row>
    <row r="3308" spans="18:20">
      <c r="R3308" s="2"/>
      <c r="T3308" s="2"/>
    </row>
    <row r="3309" spans="18:20">
      <c r="R3309" s="2"/>
      <c r="T3309" s="2"/>
    </row>
    <row r="3310" spans="18:20">
      <c r="R3310" s="2"/>
      <c r="T3310" s="2"/>
    </row>
    <row r="3311" spans="18:20">
      <c r="R3311" s="2"/>
      <c r="T3311" s="2"/>
    </row>
    <row r="3312" spans="18:20">
      <c r="R3312" s="2"/>
      <c r="T3312" s="2"/>
    </row>
    <row r="3313" spans="18:20">
      <c r="R3313" s="2"/>
      <c r="T3313" s="2"/>
    </row>
    <row r="3314" spans="18:20">
      <c r="R3314" s="2"/>
      <c r="T3314" s="2"/>
    </row>
    <row r="3315" spans="18:20">
      <c r="R3315" s="2"/>
      <c r="T3315" s="2"/>
    </row>
    <row r="3316" spans="18:20">
      <c r="R3316" s="2"/>
      <c r="T3316" s="2"/>
    </row>
    <row r="3317" spans="18:20">
      <c r="R3317" s="2"/>
      <c r="T3317" s="2"/>
    </row>
    <row r="3318" spans="18:20">
      <c r="R3318" s="2"/>
      <c r="T3318" s="2"/>
    </row>
    <row r="3319" spans="18:20">
      <c r="R3319" s="2"/>
      <c r="T3319" s="2"/>
    </row>
    <row r="3320" spans="18:20">
      <c r="R3320" s="2"/>
      <c r="T3320" s="2"/>
    </row>
    <row r="3321" spans="18:20">
      <c r="R3321" s="2"/>
      <c r="T3321" s="2"/>
    </row>
    <row r="3322" spans="18:20">
      <c r="R3322" s="2"/>
      <c r="T3322" s="2"/>
    </row>
    <row r="3323" spans="18:20">
      <c r="R3323" s="2"/>
      <c r="T3323" s="2"/>
    </row>
    <row r="3324" spans="18:20">
      <c r="R3324" s="2"/>
      <c r="T3324" s="2"/>
    </row>
    <row r="3325" spans="18:20">
      <c r="R3325" s="2"/>
      <c r="T3325" s="2"/>
    </row>
    <row r="3326" spans="18:20">
      <c r="R3326" s="2"/>
      <c r="T3326" s="2"/>
    </row>
    <row r="3327" spans="18:20">
      <c r="R3327" s="2"/>
      <c r="T3327" s="2"/>
    </row>
    <row r="3328" spans="18:20">
      <c r="R3328" s="2"/>
      <c r="T3328" s="2"/>
    </row>
    <row r="3329" spans="18:20">
      <c r="R3329" s="2"/>
      <c r="T3329" s="2"/>
    </row>
    <row r="3330" spans="18:20">
      <c r="R3330" s="2"/>
      <c r="T3330" s="2"/>
    </row>
    <row r="3331" spans="18:20">
      <c r="R3331" s="2"/>
      <c r="T3331" s="2"/>
    </row>
    <row r="3332" spans="18:20">
      <c r="R3332" s="2"/>
      <c r="T3332" s="2"/>
    </row>
    <row r="3333" spans="18:20">
      <c r="R3333" s="2"/>
      <c r="T3333" s="2"/>
    </row>
    <row r="3334" spans="18:20">
      <c r="R3334" s="2"/>
      <c r="T3334" s="2"/>
    </row>
    <row r="3335" spans="18:20">
      <c r="R3335" s="2"/>
      <c r="T3335" s="2"/>
    </row>
    <row r="3336" spans="18:20">
      <c r="R3336" s="2"/>
      <c r="T3336" s="2"/>
    </row>
    <row r="3337" spans="18:20">
      <c r="R3337" s="2"/>
      <c r="T3337" s="2"/>
    </row>
    <row r="3338" spans="18:20">
      <c r="R3338" s="2"/>
      <c r="T3338" s="2"/>
    </row>
    <row r="3339" spans="18:20">
      <c r="R3339" s="2"/>
      <c r="T3339" s="2"/>
    </row>
    <row r="3340" spans="18:20">
      <c r="R3340" s="2"/>
      <c r="T3340" s="2"/>
    </row>
    <row r="3341" spans="18:20">
      <c r="R3341" s="2"/>
      <c r="T3341" s="2"/>
    </row>
    <row r="3342" spans="18:20">
      <c r="R3342" s="2"/>
      <c r="T3342" s="2"/>
    </row>
    <row r="3343" spans="18:20">
      <c r="R3343" s="2"/>
      <c r="T3343" s="2"/>
    </row>
    <row r="3344" spans="18:20">
      <c r="R3344" s="2"/>
      <c r="T3344" s="2"/>
    </row>
    <row r="3345" spans="18:20">
      <c r="R3345" s="2"/>
      <c r="T3345" s="2"/>
    </row>
    <row r="3346" spans="18:20">
      <c r="R3346" s="2"/>
      <c r="T3346" s="2"/>
    </row>
    <row r="3347" spans="18:20">
      <c r="R3347" s="2"/>
      <c r="T3347" s="2"/>
    </row>
    <row r="3348" spans="18:20">
      <c r="R3348" s="2"/>
      <c r="T3348" s="2"/>
    </row>
    <row r="3349" spans="18:20">
      <c r="R3349" s="2"/>
      <c r="T3349" s="2"/>
    </row>
    <row r="3350" spans="18:20">
      <c r="R3350" s="2"/>
      <c r="T3350" s="2"/>
    </row>
    <row r="3351" spans="18:20">
      <c r="R3351" s="2"/>
      <c r="T3351" s="2"/>
    </row>
    <row r="3352" spans="18:20">
      <c r="R3352" s="2"/>
      <c r="T3352" s="2"/>
    </row>
    <row r="3353" spans="18:20">
      <c r="R3353" s="2"/>
      <c r="T3353" s="2"/>
    </row>
    <row r="3354" spans="18:20">
      <c r="R3354" s="2"/>
      <c r="T3354" s="2"/>
    </row>
    <row r="3355" spans="18:20">
      <c r="R3355" s="2"/>
      <c r="T3355" s="2"/>
    </row>
    <row r="3356" spans="18:20">
      <c r="R3356" s="2"/>
      <c r="T3356" s="2"/>
    </row>
    <row r="3357" spans="18:20">
      <c r="R3357" s="2"/>
      <c r="T3357" s="2"/>
    </row>
    <row r="3358" spans="18:20">
      <c r="R3358" s="2"/>
      <c r="T3358" s="2"/>
    </row>
    <row r="3359" spans="18:20">
      <c r="R3359" s="2"/>
      <c r="T3359" s="2"/>
    </row>
    <row r="3360" spans="18:20">
      <c r="R3360" s="2"/>
      <c r="T3360" s="2"/>
    </row>
    <row r="3361" spans="18:20">
      <c r="R3361" s="2"/>
      <c r="T3361" s="2"/>
    </row>
    <row r="3362" spans="18:20">
      <c r="R3362" s="2"/>
      <c r="T3362" s="2"/>
    </row>
    <row r="3363" spans="18:20">
      <c r="R3363" s="2"/>
      <c r="T3363" s="2"/>
    </row>
    <row r="3364" spans="18:20">
      <c r="R3364" s="2"/>
      <c r="T3364" s="2"/>
    </row>
    <row r="3365" spans="18:20">
      <c r="R3365" s="2"/>
      <c r="T3365" s="2"/>
    </row>
    <row r="3366" spans="18:20">
      <c r="R3366" s="2"/>
      <c r="T3366" s="2"/>
    </row>
    <row r="3367" spans="18:20">
      <c r="R3367" s="2"/>
      <c r="T3367" s="2"/>
    </row>
    <row r="3368" spans="18:20">
      <c r="R3368" s="2"/>
      <c r="T3368" s="2"/>
    </row>
    <row r="3369" spans="18:20">
      <c r="R3369" s="2"/>
      <c r="T3369" s="2"/>
    </row>
    <row r="3370" spans="18:20">
      <c r="R3370" s="2"/>
      <c r="T3370" s="2"/>
    </row>
    <row r="3371" spans="18:20">
      <c r="R3371" s="2"/>
      <c r="T3371" s="2"/>
    </row>
    <row r="3372" spans="18:20">
      <c r="R3372" s="2"/>
      <c r="T3372" s="2"/>
    </row>
    <row r="3373" spans="18:20">
      <c r="R3373" s="2"/>
      <c r="T3373" s="2"/>
    </row>
    <row r="3374" spans="18:20">
      <c r="R3374" s="2"/>
      <c r="T3374" s="2"/>
    </row>
    <row r="3375" spans="18:20">
      <c r="R3375" s="2"/>
      <c r="T3375" s="2"/>
    </row>
    <row r="3376" spans="18:20">
      <c r="R3376" s="2"/>
      <c r="T3376" s="2"/>
    </row>
    <row r="3377" spans="18:20">
      <c r="R3377" s="2"/>
      <c r="T3377" s="2"/>
    </row>
    <row r="3378" spans="18:20">
      <c r="R3378" s="2"/>
      <c r="T3378" s="2"/>
    </row>
    <row r="3379" spans="18:20">
      <c r="R3379" s="2"/>
      <c r="T3379" s="2"/>
    </row>
    <row r="3380" spans="18:20">
      <c r="R3380" s="2"/>
      <c r="T3380" s="2"/>
    </row>
    <row r="3381" spans="18:20">
      <c r="R3381" s="2"/>
      <c r="T3381" s="2"/>
    </row>
    <row r="3382" spans="18:20">
      <c r="R3382" s="2"/>
      <c r="T3382" s="2"/>
    </row>
    <row r="3383" spans="18:20">
      <c r="R3383" s="2"/>
      <c r="T3383" s="2"/>
    </row>
    <row r="3384" spans="18:20">
      <c r="R3384" s="2"/>
      <c r="T3384" s="2"/>
    </row>
    <row r="3385" spans="18:20">
      <c r="R3385" s="2"/>
      <c r="T3385" s="2"/>
    </row>
    <row r="3386" spans="18:20">
      <c r="R3386" s="2"/>
      <c r="T3386" s="2"/>
    </row>
    <row r="3387" spans="18:20">
      <c r="R3387" s="2"/>
      <c r="T3387" s="2"/>
    </row>
    <row r="3388" spans="18:20">
      <c r="R3388" s="2"/>
      <c r="T3388" s="2"/>
    </row>
    <row r="3389" spans="18:20">
      <c r="R3389" s="2"/>
      <c r="T3389" s="2"/>
    </row>
    <row r="3390" spans="18:20">
      <c r="R3390" s="2"/>
      <c r="T3390" s="2"/>
    </row>
    <row r="3391" spans="18:20">
      <c r="R3391" s="2"/>
      <c r="T3391" s="2"/>
    </row>
    <row r="3392" spans="18:20">
      <c r="R3392" s="2"/>
      <c r="T3392" s="2"/>
    </row>
    <row r="3393" spans="18:20">
      <c r="R3393" s="2"/>
      <c r="T3393" s="2"/>
    </row>
    <row r="3394" spans="18:20">
      <c r="R3394" s="2"/>
      <c r="T3394" s="2"/>
    </row>
    <row r="3395" spans="18:20">
      <c r="R3395" s="2"/>
      <c r="T3395" s="2"/>
    </row>
    <row r="3396" spans="18:20">
      <c r="R3396" s="2"/>
      <c r="T3396" s="2"/>
    </row>
    <row r="3397" spans="18:20">
      <c r="R3397" s="2"/>
      <c r="T3397" s="2"/>
    </row>
    <row r="3398" spans="18:20">
      <c r="R3398" s="2"/>
      <c r="T3398" s="2"/>
    </row>
    <row r="3399" spans="18:20">
      <c r="R3399" s="2"/>
      <c r="T3399" s="2"/>
    </row>
    <row r="3400" spans="18:20">
      <c r="R3400" s="2"/>
      <c r="T3400" s="2"/>
    </row>
    <row r="3401" spans="18:20">
      <c r="R3401" s="2"/>
      <c r="T3401" s="2"/>
    </row>
    <row r="3402" spans="18:20">
      <c r="R3402" s="2"/>
      <c r="T3402" s="2"/>
    </row>
    <row r="3403" spans="18:20">
      <c r="R3403" s="2"/>
      <c r="T3403" s="2"/>
    </row>
    <row r="3404" spans="18:20">
      <c r="R3404" s="2"/>
      <c r="T3404" s="2"/>
    </row>
    <row r="3405" spans="18:20">
      <c r="R3405" s="2"/>
      <c r="T3405" s="2"/>
    </row>
    <row r="3406" spans="18:20">
      <c r="R3406" s="2"/>
      <c r="T3406" s="2"/>
    </row>
    <row r="3407" spans="18:20">
      <c r="R3407" s="2"/>
      <c r="T3407" s="2"/>
    </row>
    <row r="3408" spans="18:20">
      <c r="R3408" s="2"/>
      <c r="T3408" s="2"/>
    </row>
    <row r="3409" spans="18:20">
      <c r="R3409" s="2"/>
      <c r="T3409" s="2"/>
    </row>
    <row r="3410" spans="18:20">
      <c r="R3410" s="2"/>
      <c r="T3410" s="2"/>
    </row>
    <row r="3411" spans="18:20">
      <c r="R3411" s="2"/>
      <c r="T3411" s="2"/>
    </row>
    <row r="3412" spans="18:20">
      <c r="R3412" s="2"/>
      <c r="T3412" s="2"/>
    </row>
    <row r="3413" spans="18:20">
      <c r="R3413" s="2"/>
      <c r="T3413" s="2"/>
    </row>
    <row r="3414" spans="18:20">
      <c r="R3414" s="2"/>
      <c r="T3414" s="2"/>
    </row>
    <row r="3415" spans="18:20">
      <c r="R3415" s="2"/>
      <c r="T3415" s="2"/>
    </row>
    <row r="3416" spans="18:20">
      <c r="R3416" s="2"/>
      <c r="T3416" s="2"/>
    </row>
    <row r="3417" spans="18:20">
      <c r="R3417" s="2"/>
      <c r="T3417" s="2"/>
    </row>
    <row r="3418" spans="18:20">
      <c r="R3418" s="2"/>
      <c r="T3418" s="2"/>
    </row>
    <row r="3419" spans="18:20">
      <c r="R3419" s="2"/>
      <c r="T3419" s="2"/>
    </row>
    <row r="3420" spans="18:20">
      <c r="R3420" s="2"/>
      <c r="T3420" s="2"/>
    </row>
    <row r="3421" spans="18:20">
      <c r="R3421" s="2"/>
      <c r="T3421" s="2"/>
    </row>
    <row r="3422" spans="18:20">
      <c r="R3422" s="2"/>
      <c r="T3422" s="2"/>
    </row>
    <row r="3423" spans="18:20">
      <c r="R3423" s="2"/>
      <c r="T3423" s="2"/>
    </row>
    <row r="3424" spans="18:20">
      <c r="R3424" s="2"/>
      <c r="T3424" s="2"/>
    </row>
    <row r="3425" spans="18:20">
      <c r="R3425" s="2"/>
      <c r="T3425" s="2"/>
    </row>
    <row r="3426" spans="18:20">
      <c r="R3426" s="2"/>
      <c r="T3426" s="2"/>
    </row>
    <row r="3427" spans="18:20">
      <c r="R3427" s="2"/>
      <c r="T3427" s="2"/>
    </row>
    <row r="3428" spans="18:20">
      <c r="R3428" s="2"/>
      <c r="T3428" s="2"/>
    </row>
    <row r="3429" spans="18:20">
      <c r="R3429" s="2"/>
      <c r="T3429" s="2"/>
    </row>
    <row r="3430" spans="18:20">
      <c r="R3430" s="2"/>
      <c r="T3430" s="2"/>
    </row>
    <row r="3431" spans="18:20">
      <c r="R3431" s="2"/>
      <c r="T3431" s="2"/>
    </row>
    <row r="3432" spans="18:20">
      <c r="R3432" s="2"/>
      <c r="T3432" s="2"/>
    </row>
    <row r="3433" spans="18:20">
      <c r="R3433" s="2"/>
      <c r="T3433" s="2"/>
    </row>
    <row r="3434" spans="18:20">
      <c r="R3434" s="2"/>
      <c r="T3434" s="2"/>
    </row>
    <row r="3435" spans="18:20">
      <c r="R3435" s="2"/>
      <c r="T3435" s="2"/>
    </row>
    <row r="3436" spans="18:20">
      <c r="R3436" s="2"/>
      <c r="T3436" s="2"/>
    </row>
    <row r="3437" spans="18:20">
      <c r="R3437" s="2"/>
      <c r="T3437" s="2"/>
    </row>
    <row r="3438" spans="18:20">
      <c r="R3438" s="2"/>
      <c r="T3438" s="2"/>
    </row>
    <row r="3439" spans="18:20">
      <c r="R3439" s="2"/>
      <c r="T3439" s="2"/>
    </row>
    <row r="3440" spans="18:20">
      <c r="R3440" s="2"/>
      <c r="T3440" s="2"/>
    </row>
    <row r="3441" spans="18:20">
      <c r="R3441" s="2"/>
      <c r="T3441" s="2"/>
    </row>
    <row r="3442" spans="18:20">
      <c r="R3442" s="2"/>
      <c r="T3442" s="2"/>
    </row>
    <row r="3443" spans="18:20">
      <c r="R3443" s="2"/>
      <c r="T3443" s="2"/>
    </row>
    <row r="3444" spans="18:20">
      <c r="R3444" s="2"/>
      <c r="T3444" s="2"/>
    </row>
    <row r="3445" spans="18:20">
      <c r="R3445" s="2"/>
      <c r="T3445" s="2"/>
    </row>
    <row r="3446" spans="18:20">
      <c r="R3446" s="2"/>
      <c r="T3446" s="2"/>
    </row>
    <row r="3447" spans="18:20">
      <c r="R3447" s="2"/>
      <c r="T3447" s="2"/>
    </row>
  </sheetData>
  <mergeCells count="58">
    <mergeCell ref="B8:C8"/>
    <mergeCell ref="B10:C10"/>
    <mergeCell ref="B9:D9"/>
    <mergeCell ref="B33:C33"/>
    <mergeCell ref="B31:C31"/>
    <mergeCell ref="B32:C32"/>
    <mergeCell ref="B30:C30"/>
    <mergeCell ref="B22:C22"/>
    <mergeCell ref="B26:C26"/>
    <mergeCell ref="B21:C21"/>
    <mergeCell ref="B20:C20"/>
    <mergeCell ref="B28:C28"/>
    <mergeCell ref="B29:C29"/>
    <mergeCell ref="B27:C27"/>
    <mergeCell ref="B16:D16"/>
    <mergeCell ref="B4:D4"/>
    <mergeCell ref="F1:I1"/>
    <mergeCell ref="B3:C3"/>
    <mergeCell ref="B5:C5"/>
    <mergeCell ref="B6:C6"/>
    <mergeCell ref="B7:C7"/>
    <mergeCell ref="B1:D1"/>
    <mergeCell ref="B65:C65"/>
    <mergeCell ref="B66:C66"/>
    <mergeCell ref="B58:C58"/>
    <mergeCell ref="B48:C48"/>
    <mergeCell ref="B49:C49"/>
    <mergeCell ref="B52:D52"/>
    <mergeCell ref="B50:C50"/>
    <mergeCell ref="B46:D46"/>
    <mergeCell ref="B12:C12"/>
    <mergeCell ref="B15:C15"/>
    <mergeCell ref="B13:C13"/>
    <mergeCell ref="B14:C14"/>
    <mergeCell ref="B18:C18"/>
    <mergeCell ref="B19:C19"/>
    <mergeCell ref="B42:C42"/>
    <mergeCell ref="B23:C23"/>
    <mergeCell ref="B24:C24"/>
    <mergeCell ref="B41:C41"/>
    <mergeCell ref="B37:C37"/>
    <mergeCell ref="B38:C38"/>
    <mergeCell ref="P1:S1"/>
    <mergeCell ref="U1:X1"/>
    <mergeCell ref="B11:C11"/>
    <mergeCell ref="B67:C67"/>
    <mergeCell ref="B34:C34"/>
    <mergeCell ref="B64:C64"/>
    <mergeCell ref="B53:C53"/>
    <mergeCell ref="B51:C51"/>
    <mergeCell ref="B35:C35"/>
    <mergeCell ref="B47:C47"/>
    <mergeCell ref="B36:C36"/>
    <mergeCell ref="B43:C43"/>
    <mergeCell ref="B44:C44"/>
    <mergeCell ref="B45:C45"/>
    <mergeCell ref="B39:C39"/>
    <mergeCell ref="B40:C40"/>
  </mergeCells>
  <conditionalFormatting sqref="F2 AC2">
    <cfRule type="cellIs" dxfId="30" priority="748" operator="equal">
      <formula>"NA"</formula>
    </cfRule>
    <cfRule type="cellIs" dxfId="29" priority="749" operator="equal">
      <formula>"High"</formula>
    </cfRule>
    <cfRule type="cellIs" dxfId="28" priority="750" operator="equal">
      <formula>"Medium"</formula>
    </cfRule>
    <cfRule type="cellIs" dxfId="27" priority="751" operator="equal">
      <formula>"Low"</formula>
    </cfRule>
  </conditionalFormatting>
  <conditionalFormatting sqref="F3">
    <cfRule type="cellIs" dxfId="26" priority="742" operator="equal">
      <formula>0</formula>
    </cfRule>
  </conditionalFormatting>
  <conditionalFormatting sqref="G3:K3">
    <cfRule type="cellIs" dxfId="25" priority="743" operator="equal">
      <formula>0</formula>
    </cfRule>
  </conditionalFormatting>
  <conditionalFormatting sqref="F12">
    <cfRule type="cellIs" dxfId="24" priority="740" operator="equal">
      <formula>0</formula>
    </cfRule>
  </conditionalFormatting>
  <conditionalFormatting sqref="G12:K12">
    <cfRule type="cellIs" dxfId="23" priority="741" operator="equal">
      <formula>0</formula>
    </cfRule>
  </conditionalFormatting>
  <conditionalFormatting sqref="F25">
    <cfRule type="cellIs" dxfId="22" priority="734" operator="equal">
      <formula>0</formula>
    </cfRule>
  </conditionalFormatting>
  <conditionalFormatting sqref="G25">
    <cfRule type="cellIs" dxfId="21" priority="735" operator="equal">
      <formula>0</formula>
    </cfRule>
  </conditionalFormatting>
  <conditionalFormatting sqref="R3448:S1048576 W973:X1048576 M3:N1048576">
    <cfRule type="cellIs" dxfId="20" priority="724" operator="equal">
      <formula>"High"</formula>
    </cfRule>
    <cfRule type="cellIs" dxfId="19" priority="725" operator="equal">
      <formula>"Medium"</formula>
    </cfRule>
    <cfRule type="cellIs" dxfId="18" priority="726" operator="equal">
      <formula>"Low"</formula>
    </cfRule>
  </conditionalFormatting>
  <conditionalFormatting sqref="R3448:R1048576 W973:W1048576 M1:M1048576">
    <cfRule type="cellIs" dxfId="17" priority="723" operator="equal">
      <formula>"Advanced"</formula>
    </cfRule>
    <cfRule type="cellIs" dxfId="16" priority="727" operator="equal">
      <formula>"Minor"</formula>
    </cfRule>
  </conditionalFormatting>
  <conditionalFormatting sqref="R1:R2">
    <cfRule type="cellIs" dxfId="15" priority="709" operator="equal">
      <formula>"Advanced"</formula>
    </cfRule>
    <cfRule type="cellIs" dxfId="14" priority="713" operator="equal">
      <formula>"Minor"</formula>
    </cfRule>
  </conditionalFormatting>
  <conditionalFormatting sqref="W1:W2">
    <cfRule type="cellIs" dxfId="13" priority="695" operator="equal">
      <formula>"Advanced"</formula>
    </cfRule>
    <cfRule type="cellIs" dxfId="12" priority="699" operator="equal">
      <formula>"Minor"</formula>
    </cfRule>
  </conditionalFormatting>
  <conditionalFormatting sqref="R3:R3447">
    <cfRule type="cellIs" dxfId="11" priority="81" operator="equal">
      <formula>"Advanced"</formula>
    </cfRule>
    <cfRule type="cellIs" dxfId="10" priority="82" operator="equal">
      <formula>"High"</formula>
    </cfRule>
    <cfRule type="cellIs" dxfId="9" priority="83" operator="equal">
      <formula>"Medium"</formula>
    </cfRule>
    <cfRule type="cellIs" dxfId="8" priority="84" operator="equal">
      <formula>"Low"</formula>
    </cfRule>
    <cfRule type="cellIs" dxfId="7" priority="85" operator="equal">
      <formula>"Minor"</formula>
    </cfRule>
  </conditionalFormatting>
  <conditionalFormatting sqref="W3:W972">
    <cfRule type="cellIs" dxfId="6" priority="92" operator="equal">
      <formula>"Advanced"</formula>
    </cfRule>
    <cfRule type="cellIs" dxfId="5" priority="101" operator="equal">
      <formula>"High"</formula>
    </cfRule>
    <cfRule type="cellIs" dxfId="4" priority="102" operator="equal">
      <formula>"Medium"</formula>
    </cfRule>
    <cfRule type="cellIs" dxfId="3" priority="103" operator="equal">
      <formula>"Low"</formula>
    </cfRule>
  </conditionalFormatting>
  <conditionalFormatting sqref="W3:W972">
    <cfRule type="cellIs" dxfId="2" priority="104" operator="equal">
      <formula>"Minor"</formula>
    </cfRule>
  </conditionalFormatting>
  <conditionalFormatting sqref="F20">
    <cfRule type="cellIs" dxfId="1" priority="752" operator="equal">
      <formula>0</formula>
    </cfRule>
  </conditionalFormatting>
  <conditionalFormatting sqref="G20:K20">
    <cfRule type="cellIs" dxfId="0" priority="753" operator="equal">
      <formula>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6" tint="0.39997558519241921"/>
  </sheetPr>
  <dimension ref="A1:R23"/>
  <sheetViews>
    <sheetView workbookViewId="0">
      <selection activeCell="B17" sqref="B17:P21"/>
    </sheetView>
  </sheetViews>
  <sheetFormatPr defaultColWidth="13.109375" defaultRowHeight="13.8"/>
  <cols>
    <col min="1" max="1" width="52.109375" style="265" customWidth="1"/>
    <col min="2" max="2" width="5.44140625" style="265" customWidth="1"/>
    <col min="3" max="3" width="5.33203125" style="265" customWidth="1"/>
    <col min="4" max="4" width="5.5546875" style="265" customWidth="1"/>
    <col min="5" max="5" width="5" style="265" customWidth="1"/>
    <col min="6" max="12" width="5.33203125" style="265" customWidth="1"/>
    <col min="13" max="13" width="4.88671875" style="265" customWidth="1"/>
    <col min="14" max="14" width="5.6640625" style="265" customWidth="1"/>
    <col min="15" max="15" width="6" style="265" customWidth="1"/>
    <col min="16" max="16" width="5.109375" style="265" bestFit="1" customWidth="1"/>
    <col min="17" max="16384" width="13.109375" style="265"/>
  </cols>
  <sheetData>
    <row r="1" spans="1:18" ht="21">
      <c r="A1" s="471" t="s">
        <v>414</v>
      </c>
      <c r="B1" s="472"/>
      <c r="C1" s="472"/>
      <c r="D1" s="472"/>
      <c r="E1" s="472"/>
      <c r="F1" s="472"/>
      <c r="G1" s="472"/>
      <c r="H1" s="472"/>
      <c r="I1" s="472"/>
      <c r="J1" s="472"/>
      <c r="K1" s="472"/>
      <c r="L1" s="472"/>
      <c r="M1" s="472"/>
      <c r="N1" s="472"/>
      <c r="O1" s="472"/>
    </row>
    <row r="2" spans="1:18" ht="21" customHeight="1">
      <c r="A2" s="294"/>
      <c r="B2" s="290"/>
      <c r="C2" s="290"/>
      <c r="D2" s="473" t="s">
        <v>550</v>
      </c>
      <c r="E2" s="474"/>
      <c r="F2" s="474"/>
      <c r="G2" s="474"/>
      <c r="H2" s="474"/>
      <c r="I2" s="474"/>
      <c r="J2" s="474"/>
      <c r="K2" s="474"/>
      <c r="L2" s="474"/>
      <c r="M2" s="474"/>
      <c r="N2" s="474"/>
      <c r="O2" s="475"/>
      <c r="Q2" s="476" t="s">
        <v>428</v>
      </c>
      <c r="R2" s="477"/>
    </row>
    <row r="3" spans="1:18">
      <c r="A3" s="295" t="s">
        <v>415</v>
      </c>
      <c r="B3" s="296" t="s">
        <v>416</v>
      </c>
      <c r="C3" s="296" t="s">
        <v>417</v>
      </c>
      <c r="D3" s="296" t="s">
        <v>416</v>
      </c>
      <c r="E3" s="296" t="s">
        <v>417</v>
      </c>
      <c r="F3" s="296" t="s">
        <v>418</v>
      </c>
      <c r="G3" s="296" t="s">
        <v>419</v>
      </c>
      <c r="H3" s="296" t="s">
        <v>420</v>
      </c>
      <c r="I3" s="296" t="s">
        <v>421</v>
      </c>
      <c r="J3" s="296" t="s">
        <v>422</v>
      </c>
      <c r="K3" s="296" t="s">
        <v>423</v>
      </c>
      <c r="L3" s="296" t="s">
        <v>424</v>
      </c>
      <c r="M3" s="296" t="s">
        <v>425</v>
      </c>
      <c r="N3" s="296" t="s">
        <v>426</v>
      </c>
      <c r="O3" s="296" t="s">
        <v>427</v>
      </c>
      <c r="Q3" s="478"/>
      <c r="R3" s="479"/>
    </row>
    <row r="4" spans="1:18">
      <c r="A4" s="266" t="s">
        <v>429</v>
      </c>
      <c r="B4" s="266"/>
      <c r="C4" s="266"/>
      <c r="D4" s="267"/>
      <c r="E4" s="267"/>
      <c r="F4" s="267"/>
      <c r="G4" s="267"/>
      <c r="H4" s="267"/>
      <c r="I4" s="267"/>
      <c r="J4" s="267"/>
      <c r="K4" s="267"/>
      <c r="L4" s="267"/>
      <c r="M4" s="267"/>
      <c r="N4" s="267"/>
      <c r="O4" s="267"/>
      <c r="Q4" s="480" t="s">
        <v>430</v>
      </c>
      <c r="R4" s="481"/>
    </row>
    <row r="5" spans="1:18">
      <c r="A5" s="268" t="s">
        <v>439</v>
      </c>
      <c r="B5" s="270"/>
      <c r="C5" s="270"/>
      <c r="D5" s="267"/>
      <c r="E5" s="267"/>
      <c r="F5" s="267"/>
      <c r="G5" s="267"/>
      <c r="H5" s="267"/>
      <c r="I5" s="267"/>
      <c r="J5" s="267"/>
      <c r="K5" s="267"/>
      <c r="L5" s="267"/>
      <c r="M5" s="267"/>
      <c r="N5" s="267"/>
      <c r="O5" s="267"/>
      <c r="Q5" s="482"/>
      <c r="R5" s="483"/>
    </row>
    <row r="6" spans="1:18">
      <c r="A6" s="269" t="s">
        <v>431</v>
      </c>
      <c r="B6" s="270"/>
      <c r="C6" s="270"/>
      <c r="D6" s="267"/>
      <c r="E6" s="267"/>
      <c r="F6" s="267"/>
      <c r="G6" s="267"/>
      <c r="H6" s="267"/>
      <c r="I6" s="267"/>
      <c r="J6" s="267"/>
      <c r="K6" s="267"/>
      <c r="L6" s="267"/>
      <c r="M6" s="267"/>
      <c r="N6" s="267"/>
      <c r="O6" s="267"/>
      <c r="Q6" s="484"/>
      <c r="R6" s="485"/>
    </row>
    <row r="7" spans="1:18">
      <c r="A7" s="268" t="s">
        <v>440</v>
      </c>
      <c r="B7" s="270"/>
      <c r="C7" s="270"/>
      <c r="D7" s="267"/>
      <c r="E7" s="267"/>
      <c r="F7" s="267"/>
      <c r="G7" s="267"/>
      <c r="H7" s="267"/>
      <c r="I7" s="267"/>
      <c r="J7" s="267"/>
      <c r="K7" s="267"/>
      <c r="L7" s="267"/>
      <c r="M7" s="267"/>
      <c r="N7" s="267"/>
      <c r="O7" s="267"/>
      <c r="Q7" s="297"/>
      <c r="R7" s="297"/>
    </row>
    <row r="8" spans="1:18">
      <c r="A8" s="268" t="s">
        <v>441</v>
      </c>
      <c r="B8" s="270"/>
      <c r="C8" s="270"/>
      <c r="D8" s="267"/>
      <c r="E8" s="267"/>
      <c r="F8" s="267"/>
      <c r="G8" s="267"/>
      <c r="H8" s="267"/>
      <c r="I8" s="267"/>
      <c r="J8" s="267"/>
      <c r="K8" s="267"/>
      <c r="L8" s="267"/>
      <c r="M8" s="267"/>
      <c r="N8" s="267"/>
      <c r="O8" s="267"/>
    </row>
    <row r="9" spans="1:18">
      <c r="A9" s="268" t="s">
        <v>551</v>
      </c>
      <c r="B9" s="268"/>
      <c r="C9" s="270"/>
      <c r="D9" s="267"/>
      <c r="E9" s="267"/>
      <c r="F9" s="267"/>
      <c r="G9" s="267"/>
      <c r="H9" s="267"/>
      <c r="I9" s="267"/>
      <c r="J9" s="267"/>
      <c r="K9" s="267"/>
      <c r="L9" s="267"/>
      <c r="M9" s="267"/>
      <c r="N9" s="267"/>
      <c r="O9" s="267"/>
    </row>
    <row r="10" spans="1:18">
      <c r="A10" s="266" t="s">
        <v>408</v>
      </c>
      <c r="B10" s="266"/>
      <c r="C10" s="266"/>
      <c r="D10" s="267"/>
      <c r="E10" s="267"/>
      <c r="F10" s="267"/>
      <c r="G10" s="267"/>
      <c r="H10" s="267"/>
      <c r="I10" s="267"/>
      <c r="J10" s="267"/>
      <c r="K10" s="267"/>
      <c r="L10" s="267"/>
      <c r="M10" s="267"/>
      <c r="N10" s="267"/>
      <c r="O10" s="267"/>
    </row>
    <row r="11" spans="1:18">
      <c r="A11" s="268" t="s">
        <v>432</v>
      </c>
      <c r="B11" s="268"/>
      <c r="C11" s="268"/>
      <c r="D11" s="270"/>
      <c r="E11" s="270"/>
      <c r="F11" s="270"/>
      <c r="G11" s="270"/>
      <c r="H11" s="270"/>
      <c r="I11" s="270"/>
      <c r="J11" s="270"/>
      <c r="K11" s="270"/>
      <c r="L11" s="270"/>
      <c r="M11" s="270"/>
      <c r="N11" s="267"/>
      <c r="O11" s="267"/>
    </row>
    <row r="12" spans="1:18">
      <c r="A12" s="268" t="s">
        <v>563</v>
      </c>
      <c r="B12" s="268"/>
      <c r="C12" s="268"/>
      <c r="D12" s="268"/>
      <c r="E12" s="270"/>
      <c r="F12" s="270"/>
      <c r="G12" s="270"/>
      <c r="H12" s="270"/>
      <c r="I12" s="270"/>
      <c r="J12" s="270"/>
      <c r="K12" s="270"/>
      <c r="L12" s="270"/>
      <c r="M12" s="270"/>
      <c r="N12" s="270"/>
      <c r="O12" s="267"/>
    </row>
    <row r="13" spans="1:18">
      <c r="A13" s="271" t="s">
        <v>552</v>
      </c>
      <c r="B13" s="271"/>
      <c r="C13" s="271"/>
      <c r="D13" s="268"/>
      <c r="E13" s="270"/>
      <c r="F13" s="270"/>
      <c r="G13" s="270"/>
      <c r="H13" s="270"/>
      <c r="I13" s="270"/>
      <c r="J13" s="270"/>
      <c r="K13" s="270"/>
      <c r="L13" s="270"/>
      <c r="M13" s="270"/>
      <c r="N13" s="270"/>
      <c r="O13" s="270"/>
    </row>
    <row r="14" spans="1:18">
      <c r="A14" s="268" t="s">
        <v>553</v>
      </c>
      <c r="B14" s="298"/>
      <c r="C14" s="298"/>
      <c r="D14" s="268"/>
      <c r="E14" s="268"/>
      <c r="F14" s="270"/>
      <c r="G14" s="270"/>
      <c r="H14" s="270"/>
      <c r="I14" s="270"/>
      <c r="J14" s="270"/>
      <c r="K14" s="270"/>
      <c r="L14" s="270"/>
      <c r="M14" s="270"/>
      <c r="N14" s="270"/>
      <c r="O14" s="270"/>
    </row>
    <row r="15" spans="1:18">
      <c r="A15" s="299"/>
      <c r="B15" s="486" t="s">
        <v>554</v>
      </c>
      <c r="C15" s="487"/>
      <c r="D15" s="300"/>
      <c r="E15" s="300"/>
      <c r="F15" s="300"/>
      <c r="G15" s="300"/>
      <c r="H15" s="300"/>
      <c r="I15" s="300"/>
      <c r="J15" s="300"/>
      <c r="K15" s="300"/>
      <c r="L15" s="300"/>
      <c r="M15" s="300"/>
      <c r="N15" s="300"/>
      <c r="O15" s="301"/>
    </row>
    <row r="16" spans="1:18">
      <c r="A16" s="302" t="s">
        <v>433</v>
      </c>
      <c r="B16" s="296" t="s">
        <v>416</v>
      </c>
      <c r="C16" s="296" t="s">
        <v>417</v>
      </c>
      <c r="D16" s="296" t="s">
        <v>416</v>
      </c>
      <c r="E16" s="296" t="s">
        <v>417</v>
      </c>
      <c r="F16" s="296" t="s">
        <v>418</v>
      </c>
      <c r="G16" s="296" t="s">
        <v>419</v>
      </c>
      <c r="H16" s="296" t="s">
        <v>420</v>
      </c>
      <c r="I16" s="296" t="s">
        <v>421</v>
      </c>
      <c r="J16" s="296" t="s">
        <v>422</v>
      </c>
      <c r="K16" s="296" t="s">
        <v>423</v>
      </c>
      <c r="L16" s="296" t="s">
        <v>424</v>
      </c>
      <c r="M16" s="296" t="s">
        <v>425</v>
      </c>
      <c r="N16" s="296" t="s">
        <v>426</v>
      </c>
      <c r="O16" s="296" t="s">
        <v>427</v>
      </c>
      <c r="P16" s="272" t="s">
        <v>434</v>
      </c>
    </row>
    <row r="17" spans="1:17">
      <c r="A17" s="276" t="s">
        <v>567</v>
      </c>
      <c r="B17" s="277"/>
      <c r="C17" s="277"/>
      <c r="D17" s="277"/>
      <c r="E17" s="277"/>
      <c r="F17" s="277"/>
      <c r="G17" s="277"/>
      <c r="H17" s="277"/>
      <c r="I17" s="277"/>
      <c r="J17" s="277"/>
      <c r="K17" s="277"/>
      <c r="L17" s="277"/>
      <c r="M17" s="277"/>
      <c r="N17" s="277"/>
      <c r="O17" s="277"/>
      <c r="P17" s="275"/>
    </row>
    <row r="18" spans="1:17">
      <c r="A18" s="276" t="s">
        <v>566</v>
      </c>
      <c r="B18" s="277"/>
      <c r="C18" s="277"/>
      <c r="D18" s="277"/>
      <c r="E18" s="277"/>
      <c r="F18" s="277"/>
      <c r="G18" s="277"/>
      <c r="H18" s="277"/>
      <c r="I18" s="277"/>
      <c r="J18" s="277"/>
      <c r="K18" s="277"/>
      <c r="L18" s="277"/>
      <c r="M18" s="277"/>
      <c r="N18" s="277"/>
      <c r="O18" s="277"/>
      <c r="P18" s="275"/>
    </row>
    <row r="19" spans="1:17">
      <c r="A19" s="276" t="s">
        <v>568</v>
      </c>
      <c r="B19" s="274"/>
      <c r="C19" s="274"/>
      <c r="D19" s="274"/>
      <c r="E19" s="274"/>
      <c r="F19" s="274"/>
      <c r="G19" s="274"/>
      <c r="H19" s="274"/>
      <c r="I19" s="274"/>
      <c r="J19" s="274"/>
      <c r="K19" s="274"/>
      <c r="L19" s="274"/>
      <c r="M19" s="274"/>
      <c r="N19" s="274"/>
      <c r="O19" s="274"/>
      <c r="P19" s="275"/>
    </row>
    <row r="20" spans="1:17">
      <c r="A20" s="276" t="s">
        <v>564</v>
      </c>
      <c r="B20" s="273"/>
      <c r="C20" s="273"/>
      <c r="D20" s="274"/>
      <c r="E20" s="274"/>
      <c r="F20" s="274"/>
      <c r="G20" s="274"/>
      <c r="H20" s="274"/>
      <c r="I20" s="274"/>
      <c r="J20" s="274"/>
      <c r="K20" s="274"/>
      <c r="L20" s="274"/>
      <c r="M20" s="274"/>
      <c r="N20" s="274"/>
      <c r="O20" s="274"/>
      <c r="P20" s="275"/>
    </row>
    <row r="21" spans="1:17">
      <c r="A21" s="276" t="s">
        <v>565</v>
      </c>
      <c r="B21" s="273"/>
      <c r="C21" s="273"/>
      <c r="D21" s="274"/>
      <c r="E21" s="274"/>
      <c r="F21" s="274"/>
      <c r="G21" s="274"/>
      <c r="H21" s="274"/>
      <c r="I21" s="274"/>
      <c r="J21" s="274"/>
      <c r="K21" s="274"/>
      <c r="L21" s="274"/>
      <c r="M21" s="274"/>
      <c r="N21" s="274"/>
      <c r="O21" s="274"/>
      <c r="P21" s="275"/>
      <c r="Q21" s="278"/>
    </row>
    <row r="22" spans="1:17">
      <c r="N22" s="467" t="s">
        <v>435</v>
      </c>
      <c r="O22" s="468"/>
      <c r="P22" s="279">
        <f>SUM(P18:P21)</f>
        <v>0</v>
      </c>
    </row>
    <row r="23" spans="1:17">
      <c r="N23" s="469" t="s">
        <v>555</v>
      </c>
      <c r="O23" s="470"/>
      <c r="P23" s="279">
        <f>SUM(D17:O21)</f>
        <v>0</v>
      </c>
    </row>
  </sheetData>
  <mergeCells count="7">
    <mergeCell ref="N22:O22"/>
    <mergeCell ref="N23:O23"/>
    <mergeCell ref="A1:O1"/>
    <mergeCell ref="D2:O2"/>
    <mergeCell ref="Q2:R3"/>
    <mergeCell ref="Q4:R6"/>
    <mergeCell ref="B15:C15"/>
  </mergeCells>
  <pageMargins left="0.75" right="0.75" top="1" bottom="1" header="0.5" footer="0.5"/>
  <pageSetup orientation="portrait" horizontalDpi="4294967292" verticalDpi="429496729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6" tint="0.39997558519241921"/>
  </sheetPr>
  <dimension ref="B1:L98"/>
  <sheetViews>
    <sheetView topLeftCell="A37" workbookViewId="0">
      <selection activeCell="C10" sqref="C10"/>
    </sheetView>
  </sheetViews>
  <sheetFormatPr defaultColWidth="10.109375" defaultRowHeight="14.4"/>
  <cols>
    <col min="1" max="1" width="4.109375" style="220" customWidth="1"/>
    <col min="2" max="2" width="3.88671875" style="232" customWidth="1"/>
    <col min="3" max="3" width="131" style="227" customWidth="1"/>
    <col min="4" max="4" width="13.44140625" style="220" customWidth="1"/>
    <col min="5" max="5" width="18.33203125" style="227" customWidth="1"/>
    <col min="6" max="6" width="16.6640625" style="220" customWidth="1"/>
    <col min="7" max="16384" width="10.109375" style="220"/>
  </cols>
  <sheetData>
    <row r="1" spans="2:12" s="35" customFormat="1" ht="47.25" customHeight="1">
      <c r="B1" s="217" t="s">
        <v>301</v>
      </c>
      <c r="C1" s="217"/>
      <c r="D1" s="461" t="s">
        <v>302</v>
      </c>
      <c r="E1" s="461"/>
      <c r="J1" s="61"/>
      <c r="K1" s="61"/>
      <c r="L1" s="61"/>
    </row>
    <row r="3" spans="2:12" ht="14.1" customHeight="1">
      <c r="B3" s="490" t="s">
        <v>513</v>
      </c>
      <c r="C3" s="491"/>
      <c r="D3" s="218" t="s">
        <v>304</v>
      </c>
      <c r="E3" s="219" t="s">
        <v>305</v>
      </c>
    </row>
    <row r="4" spans="2:12" ht="27.6">
      <c r="B4" s="221">
        <v>1</v>
      </c>
      <c r="C4" s="224" t="s">
        <v>557</v>
      </c>
      <c r="D4" s="222" t="s">
        <v>306</v>
      </c>
      <c r="E4" s="223"/>
    </row>
    <row r="5" spans="2:12" ht="14.1" customHeight="1">
      <c r="B5" s="221">
        <v>2</v>
      </c>
      <c r="C5" s="224" t="s">
        <v>514</v>
      </c>
      <c r="D5" s="222" t="s">
        <v>306</v>
      </c>
      <c r="E5" s="223"/>
    </row>
    <row r="6" spans="2:12" ht="41.4">
      <c r="B6" s="221">
        <v>3</v>
      </c>
      <c r="C6" s="224" t="s">
        <v>515</v>
      </c>
      <c r="D6" s="222" t="s">
        <v>306</v>
      </c>
      <c r="E6" s="223"/>
    </row>
    <row r="8" spans="2:12">
      <c r="B8" s="490" t="s">
        <v>303</v>
      </c>
      <c r="C8" s="491"/>
      <c r="D8" s="218" t="s">
        <v>304</v>
      </c>
      <c r="E8" s="219" t="s">
        <v>305</v>
      </c>
    </row>
    <row r="9" spans="2:12" ht="27.6">
      <c r="B9" s="221">
        <v>1</v>
      </c>
      <c r="C9" s="222" t="s">
        <v>516</v>
      </c>
      <c r="D9" s="222" t="s">
        <v>306</v>
      </c>
      <c r="E9" s="223"/>
    </row>
    <row r="10" spans="2:12" ht="55.2">
      <c r="B10" s="221">
        <v>2</v>
      </c>
      <c r="C10" s="291" t="s">
        <v>517</v>
      </c>
      <c r="D10" s="222" t="s">
        <v>306</v>
      </c>
      <c r="E10" s="223"/>
    </row>
    <row r="11" spans="2:12">
      <c r="B11" s="221">
        <v>3</v>
      </c>
      <c r="C11" s="224" t="s">
        <v>307</v>
      </c>
      <c r="D11" s="222" t="s">
        <v>306</v>
      </c>
      <c r="E11" s="223"/>
    </row>
    <row r="12" spans="2:12" ht="27.6">
      <c r="B12" s="221">
        <v>4</v>
      </c>
      <c r="C12" s="289" t="s">
        <v>562</v>
      </c>
      <c r="D12" s="222" t="s">
        <v>306</v>
      </c>
      <c r="E12" s="223"/>
    </row>
    <row r="13" spans="2:12">
      <c r="B13" s="221">
        <v>5</v>
      </c>
      <c r="C13" s="225" t="s">
        <v>308</v>
      </c>
      <c r="D13" s="226" t="s">
        <v>306</v>
      </c>
    </row>
    <row r="14" spans="2:12" ht="15" customHeight="1">
      <c r="B14" s="221">
        <v>6</v>
      </c>
      <c r="C14" s="222" t="s">
        <v>309</v>
      </c>
      <c r="D14" s="222" t="s">
        <v>306</v>
      </c>
      <c r="E14" s="223"/>
    </row>
    <row r="15" spans="2:12">
      <c r="B15" s="221">
        <v>7</v>
      </c>
      <c r="C15" s="228" t="s">
        <v>310</v>
      </c>
      <c r="D15" s="222" t="s">
        <v>306</v>
      </c>
      <c r="E15" s="223"/>
    </row>
    <row r="16" spans="2:12">
      <c r="B16" s="221">
        <v>8</v>
      </c>
      <c r="C16" s="225" t="s">
        <v>311</v>
      </c>
      <c r="D16" s="222" t="s">
        <v>306</v>
      </c>
    </row>
    <row r="17" spans="2:5">
      <c r="B17" s="221">
        <v>9</v>
      </c>
      <c r="C17" s="228" t="s">
        <v>518</v>
      </c>
      <c r="D17" s="222" t="s">
        <v>306</v>
      </c>
    </row>
    <row r="18" spans="2:5" ht="27.6">
      <c r="B18" s="221">
        <v>10</v>
      </c>
      <c r="C18" s="225" t="s">
        <v>312</v>
      </c>
      <c r="D18" s="226" t="s">
        <v>306</v>
      </c>
    </row>
    <row r="19" spans="2:5">
      <c r="B19" s="229"/>
      <c r="C19" s="230"/>
    </row>
    <row r="20" spans="2:5">
      <c r="B20" s="488" t="s">
        <v>313</v>
      </c>
      <c r="C20" s="489"/>
      <c r="D20" s="280" t="s">
        <v>304</v>
      </c>
      <c r="E20" s="219" t="s">
        <v>305</v>
      </c>
    </row>
    <row r="21" spans="2:5" ht="15" customHeight="1">
      <c r="B21" s="221">
        <v>1</v>
      </c>
      <c r="C21" s="224" t="s">
        <v>558</v>
      </c>
      <c r="D21" s="222" t="s">
        <v>306</v>
      </c>
      <c r="E21" s="223"/>
    </row>
    <row r="22" spans="2:5" ht="69">
      <c r="B22" s="221">
        <v>2</v>
      </c>
      <c r="C22" s="224" t="s">
        <v>559</v>
      </c>
      <c r="D22" s="222" t="s">
        <v>306</v>
      </c>
      <c r="E22" s="223"/>
    </row>
    <row r="23" spans="2:5" ht="17.25" customHeight="1">
      <c r="B23" s="221">
        <v>3</v>
      </c>
      <c r="C23" s="224" t="s">
        <v>519</v>
      </c>
      <c r="D23" s="222" t="s">
        <v>306</v>
      </c>
      <c r="E23" s="223"/>
    </row>
    <row r="24" spans="2:5" ht="372.6">
      <c r="B24" s="221">
        <v>4</v>
      </c>
      <c r="C24" s="224" t="s">
        <v>574</v>
      </c>
      <c r="D24" s="222" t="s">
        <v>306</v>
      </c>
      <c r="E24" s="223"/>
    </row>
    <row r="25" spans="2:5" ht="124.2">
      <c r="B25" s="221">
        <v>5</v>
      </c>
      <c r="C25" s="224" t="s">
        <v>560</v>
      </c>
      <c r="D25" s="222" t="s">
        <v>306</v>
      </c>
      <c r="E25" s="223"/>
    </row>
    <row r="26" spans="2:5">
      <c r="B26" s="221">
        <v>6</v>
      </c>
      <c r="C26" s="289" t="s">
        <v>520</v>
      </c>
      <c r="D26" s="222" t="s">
        <v>306</v>
      </c>
      <c r="E26" s="223"/>
    </row>
    <row r="27" spans="2:5">
      <c r="B27" s="221">
        <v>8</v>
      </c>
      <c r="C27" s="224" t="s">
        <v>499</v>
      </c>
      <c r="D27" s="222" t="s">
        <v>306</v>
      </c>
      <c r="E27" s="223"/>
    </row>
    <row r="28" spans="2:5">
      <c r="B28" s="221">
        <v>9</v>
      </c>
      <c r="C28" s="224" t="s">
        <v>521</v>
      </c>
      <c r="D28" s="222" t="s">
        <v>306</v>
      </c>
      <c r="E28" s="223"/>
    </row>
    <row r="29" spans="2:5">
      <c r="B29" s="221">
        <v>10</v>
      </c>
      <c r="C29" s="228" t="s">
        <v>522</v>
      </c>
      <c r="D29" s="222" t="s">
        <v>314</v>
      </c>
      <c r="E29" s="223"/>
    </row>
    <row r="30" spans="2:5">
      <c r="B30" s="221">
        <v>11</v>
      </c>
      <c r="C30" s="228" t="s">
        <v>523</v>
      </c>
      <c r="D30" s="222" t="s">
        <v>314</v>
      </c>
      <c r="E30" s="223"/>
    </row>
    <row r="31" spans="2:5">
      <c r="B31" s="221">
        <v>12</v>
      </c>
      <c r="C31" s="224" t="s">
        <v>524</v>
      </c>
      <c r="D31" s="222" t="s">
        <v>306</v>
      </c>
      <c r="E31" s="223"/>
    </row>
    <row r="32" spans="2:5">
      <c r="B32" s="221">
        <v>14</v>
      </c>
      <c r="C32" s="231" t="s">
        <v>525</v>
      </c>
      <c r="D32" s="222" t="s">
        <v>306</v>
      </c>
      <c r="E32" s="223"/>
    </row>
    <row r="33" spans="2:5" ht="27.6">
      <c r="B33" s="221">
        <v>15</v>
      </c>
      <c r="C33" s="224" t="s">
        <v>561</v>
      </c>
      <c r="D33" s="222" t="s">
        <v>306</v>
      </c>
      <c r="E33" s="223"/>
    </row>
    <row r="34" spans="2:5">
      <c r="B34" s="221">
        <v>16</v>
      </c>
      <c r="C34" s="289" t="s">
        <v>526</v>
      </c>
      <c r="D34" s="222" t="s">
        <v>306</v>
      </c>
      <c r="E34" s="223"/>
    </row>
    <row r="35" spans="2:5">
      <c r="B35" s="221">
        <v>17</v>
      </c>
      <c r="C35" s="224" t="s">
        <v>500</v>
      </c>
      <c r="D35" s="222" t="s">
        <v>306</v>
      </c>
      <c r="E35" s="223"/>
    </row>
    <row r="36" spans="2:5">
      <c r="B36" s="221">
        <v>18</v>
      </c>
      <c r="C36" s="292" t="s">
        <v>527</v>
      </c>
      <c r="D36" s="222" t="s">
        <v>306</v>
      </c>
      <c r="E36" s="223"/>
    </row>
    <row r="37" spans="2:5" ht="27.6">
      <c r="B37" s="221">
        <v>19</v>
      </c>
      <c r="C37" s="224" t="s">
        <v>528</v>
      </c>
      <c r="D37" s="222" t="s">
        <v>306</v>
      </c>
      <c r="E37" s="223"/>
    </row>
    <row r="38" spans="2:5" ht="41.4">
      <c r="B38" s="221">
        <v>20</v>
      </c>
      <c r="C38" s="293" t="s">
        <v>529</v>
      </c>
      <c r="D38" s="222" t="s">
        <v>306</v>
      </c>
      <c r="E38" s="223"/>
    </row>
    <row r="39" spans="2:5">
      <c r="B39" s="221">
        <v>21</v>
      </c>
      <c r="C39" s="224" t="s">
        <v>530</v>
      </c>
      <c r="D39" s="222" t="s">
        <v>306</v>
      </c>
      <c r="E39" s="223"/>
    </row>
    <row r="40" spans="2:5" ht="41.4">
      <c r="B40" s="221">
        <v>22</v>
      </c>
      <c r="C40" s="231" t="s">
        <v>501</v>
      </c>
      <c r="D40" s="222" t="s">
        <v>306</v>
      </c>
      <c r="E40" s="223"/>
    </row>
    <row r="41" spans="2:5">
      <c r="B41" s="220"/>
      <c r="E41" s="223"/>
    </row>
    <row r="42" spans="2:5">
      <c r="B42" s="488" t="s">
        <v>315</v>
      </c>
      <c r="C42" s="489"/>
      <c r="D42" s="280" t="s">
        <v>304</v>
      </c>
      <c r="E42" s="219" t="s">
        <v>305</v>
      </c>
    </row>
    <row r="43" spans="2:5">
      <c r="B43" s="221">
        <v>1</v>
      </c>
      <c r="C43" s="224" t="s">
        <v>531</v>
      </c>
      <c r="D43" s="222" t="s">
        <v>306</v>
      </c>
      <c r="E43" s="223"/>
    </row>
    <row r="44" spans="2:5">
      <c r="B44" s="221">
        <v>2</v>
      </c>
      <c r="C44" s="289" t="s">
        <v>532</v>
      </c>
      <c r="D44" s="222" t="s">
        <v>306</v>
      </c>
      <c r="E44" s="223"/>
    </row>
    <row r="45" spans="2:5">
      <c r="B45" s="221">
        <v>3</v>
      </c>
      <c r="C45" s="224" t="s">
        <v>533</v>
      </c>
      <c r="D45" s="222" t="s">
        <v>306</v>
      </c>
      <c r="E45" s="223"/>
    </row>
    <row r="46" spans="2:5">
      <c r="B46" s="221">
        <v>4</v>
      </c>
      <c r="C46" s="289" t="s">
        <v>534</v>
      </c>
      <c r="D46" s="222" t="s">
        <v>306</v>
      </c>
      <c r="E46" s="223"/>
    </row>
    <row r="47" spans="2:5" ht="27.6">
      <c r="B47" s="221">
        <v>5</v>
      </c>
      <c r="C47" s="289" t="s">
        <v>535</v>
      </c>
      <c r="D47" s="222" t="s">
        <v>306</v>
      </c>
      <c r="E47" s="223"/>
    </row>
    <row r="48" spans="2:5">
      <c r="B48" s="221">
        <v>6</v>
      </c>
      <c r="C48" s="224" t="s">
        <v>536</v>
      </c>
      <c r="D48" s="222" t="s">
        <v>306</v>
      </c>
      <c r="E48" s="223"/>
    </row>
    <row r="49" spans="2:5">
      <c r="B49" s="221">
        <v>7</v>
      </c>
      <c r="C49" s="224" t="s">
        <v>537</v>
      </c>
      <c r="D49" s="222" t="s">
        <v>306</v>
      </c>
      <c r="E49" s="223"/>
    </row>
    <row r="50" spans="2:5">
      <c r="B50" s="221">
        <v>8</v>
      </c>
      <c r="C50" s="224" t="s">
        <v>538</v>
      </c>
      <c r="D50" s="222" t="s">
        <v>306</v>
      </c>
      <c r="E50" s="223"/>
    </row>
    <row r="51" spans="2:5">
      <c r="B51" s="221">
        <v>9</v>
      </c>
      <c r="C51" s="289" t="s">
        <v>539</v>
      </c>
      <c r="D51" s="222" t="s">
        <v>306</v>
      </c>
      <c r="E51" s="223"/>
    </row>
    <row r="52" spans="2:5">
      <c r="B52" s="221">
        <v>10</v>
      </c>
      <c r="C52" s="289" t="s">
        <v>540</v>
      </c>
      <c r="D52" s="222" t="s">
        <v>306</v>
      </c>
      <c r="E52" s="223"/>
    </row>
    <row r="53" spans="2:5">
      <c r="B53" s="221">
        <v>11</v>
      </c>
      <c r="C53" s="224" t="s">
        <v>541</v>
      </c>
      <c r="D53" s="222" t="s">
        <v>306</v>
      </c>
      <c r="E53" s="223"/>
    </row>
    <row r="54" spans="2:5">
      <c r="B54" s="221">
        <v>12</v>
      </c>
      <c r="C54" s="224" t="s">
        <v>542</v>
      </c>
      <c r="D54" s="222" t="s">
        <v>306</v>
      </c>
      <c r="E54" s="223"/>
    </row>
    <row r="55" spans="2:5">
      <c r="B55" s="221">
        <v>13</v>
      </c>
      <c r="C55" s="224" t="s">
        <v>316</v>
      </c>
      <c r="D55" s="222" t="s">
        <v>306</v>
      </c>
      <c r="E55" s="223"/>
    </row>
    <row r="56" spans="2:5">
      <c r="B56" s="221">
        <v>14</v>
      </c>
      <c r="C56" s="224" t="s">
        <v>502</v>
      </c>
      <c r="D56" s="222" t="s">
        <v>306</v>
      </c>
    </row>
    <row r="57" spans="2:5">
      <c r="B57" s="221">
        <v>15</v>
      </c>
      <c r="C57" s="224" t="s">
        <v>506</v>
      </c>
      <c r="D57" s="222" t="s">
        <v>306</v>
      </c>
    </row>
    <row r="58" spans="2:5">
      <c r="B58" s="221">
        <v>16</v>
      </c>
      <c r="C58" s="224" t="s">
        <v>317</v>
      </c>
      <c r="D58" s="222" t="s">
        <v>306</v>
      </c>
    </row>
    <row r="59" spans="2:5">
      <c r="B59" s="221">
        <v>17</v>
      </c>
      <c r="C59" s="224" t="s">
        <v>543</v>
      </c>
      <c r="D59" s="222" t="s">
        <v>306</v>
      </c>
    </row>
    <row r="60" spans="2:5">
      <c r="B60" s="221">
        <v>18</v>
      </c>
      <c r="C60" s="224" t="s">
        <v>503</v>
      </c>
      <c r="D60" s="222" t="s">
        <v>306</v>
      </c>
    </row>
    <row r="61" spans="2:5">
      <c r="B61" s="221">
        <v>19</v>
      </c>
      <c r="C61" s="224" t="s">
        <v>544</v>
      </c>
      <c r="D61" s="222" t="s">
        <v>306</v>
      </c>
    </row>
    <row r="62" spans="2:5">
      <c r="B62" s="221">
        <v>20</v>
      </c>
      <c r="C62" s="224" t="s">
        <v>504</v>
      </c>
      <c r="D62" s="222" t="s">
        <v>306</v>
      </c>
    </row>
    <row r="63" spans="2:5">
      <c r="B63" s="221">
        <v>21</v>
      </c>
      <c r="C63" s="224" t="s">
        <v>545</v>
      </c>
      <c r="D63" s="222" t="s">
        <v>306</v>
      </c>
    </row>
    <row r="64" spans="2:5">
      <c r="B64" s="221">
        <v>22</v>
      </c>
      <c r="C64" s="224" t="s">
        <v>546</v>
      </c>
      <c r="D64" s="222" t="s">
        <v>306</v>
      </c>
    </row>
    <row r="65" spans="2:4" s="227" customFormat="1">
      <c r="B65" s="221">
        <v>23</v>
      </c>
      <c r="C65" s="224" t="s">
        <v>547</v>
      </c>
      <c r="D65" s="222" t="s">
        <v>306</v>
      </c>
    </row>
    <row r="66" spans="2:4" s="227" customFormat="1">
      <c r="B66" s="221">
        <v>24</v>
      </c>
      <c r="C66" s="224" t="s">
        <v>505</v>
      </c>
      <c r="D66" s="222" t="s">
        <v>306</v>
      </c>
    </row>
    <row r="67" spans="2:4" s="227" customFormat="1">
      <c r="B67" s="221">
        <v>25</v>
      </c>
      <c r="C67" s="224" t="s">
        <v>507</v>
      </c>
      <c r="D67" s="222" t="s">
        <v>306</v>
      </c>
    </row>
    <row r="68" spans="2:4" s="227" customFormat="1">
      <c r="B68" s="221">
        <v>26</v>
      </c>
      <c r="C68" s="224" t="s">
        <v>509</v>
      </c>
      <c r="D68" s="222" t="s">
        <v>306</v>
      </c>
    </row>
    <row r="69" spans="2:4" s="227" customFormat="1">
      <c r="B69" s="221">
        <v>27</v>
      </c>
      <c r="C69" s="224" t="s">
        <v>508</v>
      </c>
      <c r="D69" s="222" t="s">
        <v>306</v>
      </c>
    </row>
    <row r="70" spans="2:4" s="227" customFormat="1">
      <c r="B70" s="221">
        <v>28</v>
      </c>
      <c r="C70" s="224" t="s">
        <v>548</v>
      </c>
      <c r="D70" s="222" t="s">
        <v>306</v>
      </c>
    </row>
    <row r="71" spans="2:4" s="227" customFormat="1">
      <c r="B71" s="221">
        <v>29</v>
      </c>
      <c r="C71" s="224" t="s">
        <v>510</v>
      </c>
      <c r="D71" s="222" t="s">
        <v>306</v>
      </c>
    </row>
    <row r="73" spans="2:4" s="227" customFormat="1">
      <c r="B73" s="488" t="s">
        <v>318</v>
      </c>
      <c r="C73" s="489"/>
      <c r="D73" s="280" t="s">
        <v>304</v>
      </c>
    </row>
    <row r="74" spans="2:4" s="227" customFormat="1">
      <c r="B74" s="221">
        <v>1</v>
      </c>
      <c r="C74" s="224" t="s">
        <v>549</v>
      </c>
      <c r="D74" s="222" t="s">
        <v>314</v>
      </c>
    </row>
    <row r="75" spans="2:4" s="227" customFormat="1">
      <c r="B75" s="233"/>
      <c r="C75" s="234"/>
      <c r="D75" s="220"/>
    </row>
    <row r="80" spans="2:4" s="227" customFormat="1" ht="15" customHeight="1">
      <c r="B80" s="232"/>
      <c r="D80" s="220"/>
    </row>
    <row r="81" spans="2:5">
      <c r="E81" s="220"/>
    </row>
    <row r="82" spans="2:5">
      <c r="E82" s="220"/>
    </row>
    <row r="83" spans="2:5" ht="14.1" customHeight="1">
      <c r="B83" s="220"/>
      <c r="C83" s="220"/>
      <c r="D83" s="235"/>
      <c r="E83" s="220"/>
    </row>
    <row r="87" spans="2:5">
      <c r="E87" s="220"/>
    </row>
    <row r="88" spans="2:5">
      <c r="E88" s="220"/>
    </row>
    <row r="89" spans="2:5">
      <c r="E89" s="220"/>
    </row>
    <row r="90" spans="2:5">
      <c r="E90" s="220"/>
    </row>
    <row r="98" spans="5:5">
      <c r="E98" s="220"/>
    </row>
  </sheetData>
  <mergeCells count="6">
    <mergeCell ref="B73:C73"/>
    <mergeCell ref="D1:E1"/>
    <mergeCell ref="B3:C3"/>
    <mergeCell ref="B8:C8"/>
    <mergeCell ref="B20:C20"/>
    <mergeCell ref="B42:C42"/>
  </mergeCells>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0" tint="-0.249977111117893"/>
  </sheetPr>
  <dimension ref="B1:C63"/>
  <sheetViews>
    <sheetView workbookViewId="0">
      <selection activeCell="C20" sqref="C20:C23"/>
    </sheetView>
  </sheetViews>
  <sheetFormatPr defaultColWidth="8.88671875" defaultRowHeight="14.4"/>
  <cols>
    <col min="1" max="1" width="5.44140625" customWidth="1"/>
    <col min="2" max="2" width="19.109375" customWidth="1"/>
    <col min="3" max="3" width="96.109375" style="140" bestFit="1" customWidth="1"/>
    <col min="4" max="4" width="20.44140625" customWidth="1"/>
    <col min="5" max="5" width="23.44140625" customWidth="1"/>
  </cols>
  <sheetData>
    <row r="1" spans="2:3" s="35" customFormat="1" ht="47.25" customHeight="1">
      <c r="B1" s="320" t="s">
        <v>160</v>
      </c>
      <c r="C1" s="320"/>
    </row>
    <row r="2" spans="2:3" ht="15.75" customHeight="1"/>
    <row r="3" spans="2:3">
      <c r="B3" s="504" t="s">
        <v>10</v>
      </c>
      <c r="C3" s="504"/>
    </row>
    <row r="4" spans="2:3">
      <c r="B4" s="505" t="s">
        <v>3</v>
      </c>
      <c r="C4" s="506" t="s">
        <v>327</v>
      </c>
    </row>
    <row r="5" spans="2:3">
      <c r="B5" s="505"/>
      <c r="C5" s="507"/>
    </row>
    <row r="6" spans="2:3">
      <c r="B6" s="505"/>
      <c r="C6" s="507"/>
    </row>
    <row r="7" spans="2:3" ht="60.75" customHeight="1">
      <c r="B7" s="505"/>
      <c r="C7" s="508"/>
    </row>
    <row r="8" spans="2:3">
      <c r="B8" s="505" t="s">
        <v>24</v>
      </c>
      <c r="C8" s="506" t="s">
        <v>54</v>
      </c>
    </row>
    <row r="9" spans="2:3">
      <c r="B9" s="505"/>
      <c r="C9" s="507"/>
    </row>
    <row r="10" spans="2:3">
      <c r="B10" s="505"/>
      <c r="C10" s="507"/>
    </row>
    <row r="11" spans="2:3">
      <c r="B11" s="505"/>
      <c r="C11" s="508"/>
    </row>
    <row r="12" spans="2:3">
      <c r="B12" s="505" t="s">
        <v>5</v>
      </c>
      <c r="C12" s="506" t="s">
        <v>328</v>
      </c>
    </row>
    <row r="13" spans="2:3">
      <c r="B13" s="505"/>
      <c r="C13" s="507"/>
    </row>
    <row r="14" spans="2:3">
      <c r="B14" s="505"/>
      <c r="C14" s="507"/>
    </row>
    <row r="15" spans="2:3" ht="10.5" customHeight="1">
      <c r="B15" s="505"/>
      <c r="C15" s="508"/>
    </row>
    <row r="16" spans="2:3">
      <c r="B16" s="509" t="s">
        <v>329</v>
      </c>
      <c r="C16" s="506" t="s">
        <v>73</v>
      </c>
    </row>
    <row r="17" spans="2:3">
      <c r="B17" s="509"/>
      <c r="C17" s="507"/>
    </row>
    <row r="18" spans="2:3">
      <c r="B18" s="509"/>
      <c r="C18" s="507"/>
    </row>
    <row r="19" spans="2:3" ht="171" customHeight="1">
      <c r="B19" s="509"/>
      <c r="C19" s="508"/>
    </row>
    <row r="20" spans="2:3">
      <c r="B20" s="509" t="s">
        <v>23</v>
      </c>
      <c r="C20" s="506" t="s">
        <v>56</v>
      </c>
    </row>
    <row r="21" spans="2:3">
      <c r="B21" s="509"/>
      <c r="C21" s="507"/>
    </row>
    <row r="22" spans="2:3">
      <c r="B22" s="509"/>
      <c r="C22" s="507"/>
    </row>
    <row r="23" spans="2:3">
      <c r="B23" s="509"/>
      <c r="C23" s="508"/>
    </row>
    <row r="24" spans="2:3">
      <c r="B24" s="509" t="s">
        <v>75</v>
      </c>
      <c r="C24" s="506" t="s">
        <v>76</v>
      </c>
    </row>
    <row r="25" spans="2:3">
      <c r="B25" s="509"/>
      <c r="C25" s="507"/>
    </row>
    <row r="26" spans="2:3">
      <c r="B26" s="509"/>
      <c r="C26" s="507"/>
    </row>
    <row r="27" spans="2:3">
      <c r="B27" s="509"/>
      <c r="C27" s="508"/>
    </row>
    <row r="29" spans="2:3">
      <c r="B29" s="510" t="s">
        <v>49</v>
      </c>
      <c r="C29" s="510"/>
    </row>
    <row r="30" spans="2:3">
      <c r="B30" s="492" t="s">
        <v>50</v>
      </c>
      <c r="C30" s="503" t="s">
        <v>330</v>
      </c>
    </row>
    <row r="31" spans="2:3">
      <c r="B31" s="493"/>
      <c r="C31" s="501"/>
    </row>
    <row r="32" spans="2:3">
      <c r="B32" s="493"/>
      <c r="C32" s="501"/>
    </row>
    <row r="33" spans="2:3">
      <c r="B33" s="494"/>
      <c r="C33" s="502"/>
    </row>
    <row r="34" spans="2:3" ht="15" customHeight="1">
      <c r="B34" s="492" t="s">
        <v>51</v>
      </c>
      <c r="C34" s="495" t="s">
        <v>78</v>
      </c>
    </row>
    <row r="35" spans="2:3">
      <c r="B35" s="493"/>
      <c r="C35" s="501"/>
    </row>
    <row r="36" spans="2:3">
      <c r="B36" s="493"/>
      <c r="C36" s="501"/>
    </row>
    <row r="37" spans="2:3">
      <c r="B37" s="494"/>
      <c r="C37" s="502"/>
    </row>
    <row r="38" spans="2:3" ht="15" customHeight="1">
      <c r="B38" s="492" t="s">
        <v>52</v>
      </c>
      <c r="C38" s="495" t="s">
        <v>79</v>
      </c>
    </row>
    <row r="39" spans="2:3">
      <c r="B39" s="493"/>
      <c r="C39" s="496"/>
    </row>
    <row r="40" spans="2:3">
      <c r="B40" s="493"/>
      <c r="C40" s="496"/>
    </row>
    <row r="41" spans="2:3">
      <c r="B41" s="494"/>
      <c r="C41" s="497"/>
    </row>
    <row r="42" spans="2:3" ht="15" customHeight="1">
      <c r="B42" s="492" t="s">
        <v>53</v>
      </c>
      <c r="C42" s="498" t="s">
        <v>81</v>
      </c>
    </row>
    <row r="43" spans="2:3">
      <c r="B43" s="493"/>
      <c r="C43" s="499"/>
    </row>
    <row r="44" spans="2:3">
      <c r="B44" s="493"/>
      <c r="C44" s="499"/>
    </row>
    <row r="45" spans="2:3">
      <c r="B45" s="494"/>
      <c r="C45" s="500"/>
    </row>
    <row r="46" spans="2:3" ht="15" customHeight="1">
      <c r="B46" s="492" t="s">
        <v>82</v>
      </c>
      <c r="C46" s="495" t="s">
        <v>80</v>
      </c>
    </row>
    <row r="47" spans="2:3">
      <c r="B47" s="493"/>
      <c r="C47" s="501"/>
    </row>
    <row r="48" spans="2:3">
      <c r="B48" s="493"/>
      <c r="C48" s="501"/>
    </row>
    <row r="49" spans="2:3">
      <c r="B49" s="494"/>
      <c r="C49" s="502"/>
    </row>
    <row r="50" spans="2:3" ht="15" customHeight="1">
      <c r="B50" s="492" t="s">
        <v>68</v>
      </c>
      <c r="C50" s="495" t="s">
        <v>90</v>
      </c>
    </row>
    <row r="51" spans="2:3">
      <c r="B51" s="493"/>
      <c r="C51" s="501"/>
    </row>
    <row r="52" spans="2:3">
      <c r="B52" s="493"/>
      <c r="C52" s="501"/>
    </row>
    <row r="53" spans="2:3">
      <c r="B53" s="494"/>
      <c r="C53" s="502"/>
    </row>
    <row r="55" spans="2:3">
      <c r="B55" s="418" t="s">
        <v>70</v>
      </c>
      <c r="C55" s="420"/>
    </row>
    <row r="56" spans="2:3">
      <c r="B56" s="121" t="s">
        <v>21</v>
      </c>
      <c r="C56" s="139" t="s">
        <v>71</v>
      </c>
    </row>
    <row r="57" spans="2:3">
      <c r="B57" s="121" t="s">
        <v>0</v>
      </c>
      <c r="C57" s="139" t="s">
        <v>150</v>
      </c>
    </row>
    <row r="58" spans="2:3">
      <c r="B58" s="121" t="s">
        <v>22</v>
      </c>
      <c r="C58" s="139" t="s">
        <v>72</v>
      </c>
    </row>
    <row r="60" spans="2:3">
      <c r="B60" s="418" t="s">
        <v>148</v>
      </c>
      <c r="C60" s="420"/>
    </row>
    <row r="61" spans="2:3">
      <c r="B61" s="115">
        <v>10</v>
      </c>
      <c r="C61" s="139" t="s">
        <v>149</v>
      </c>
    </row>
    <row r="62" spans="2:3">
      <c r="B62" s="115">
        <v>50</v>
      </c>
      <c r="C62" s="139" t="s">
        <v>151</v>
      </c>
    </row>
    <row r="63" spans="2:3">
      <c r="B63" s="115">
        <v>51</v>
      </c>
      <c r="C63" s="139" t="s">
        <v>152</v>
      </c>
    </row>
  </sheetData>
  <mergeCells count="29">
    <mergeCell ref="B24:B27"/>
    <mergeCell ref="C24:C27"/>
    <mergeCell ref="B29:C29"/>
    <mergeCell ref="B12:B15"/>
    <mergeCell ref="C12:C15"/>
    <mergeCell ref="B16:B19"/>
    <mergeCell ref="C16:C19"/>
    <mergeCell ref="B20:B23"/>
    <mergeCell ref="C20:C23"/>
    <mergeCell ref="B1:C1"/>
    <mergeCell ref="B3:C3"/>
    <mergeCell ref="B4:B7"/>
    <mergeCell ref="C4:C7"/>
    <mergeCell ref="B8:B11"/>
    <mergeCell ref="C8:C11"/>
    <mergeCell ref="B30:B33"/>
    <mergeCell ref="C30:C33"/>
    <mergeCell ref="B34:B37"/>
    <mergeCell ref="C34:C37"/>
    <mergeCell ref="B38:B41"/>
    <mergeCell ref="B55:C55"/>
    <mergeCell ref="B60:C60"/>
    <mergeCell ref="B46:B49"/>
    <mergeCell ref="B50:B53"/>
    <mergeCell ref="C38:C41"/>
    <mergeCell ref="C42:C45"/>
    <mergeCell ref="C46:C49"/>
    <mergeCell ref="C50:C53"/>
    <mergeCell ref="B42:B45"/>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56</vt:i4>
      </vt:variant>
    </vt:vector>
  </HeadingPairs>
  <TitlesOfParts>
    <vt:vector size="69" baseType="lpstr">
      <vt:lpstr>Overview</vt:lpstr>
      <vt:lpstr>UI</vt:lpstr>
      <vt:lpstr>JSMVC</vt:lpstr>
      <vt:lpstr>Hybrid</vt:lpstr>
      <vt:lpstr> NodeService</vt:lpstr>
      <vt:lpstr>Migration</vt:lpstr>
      <vt:lpstr>WBS</vt:lpstr>
      <vt:lpstr>UCDEffortSpread</vt:lpstr>
      <vt:lpstr>Definition</vt:lpstr>
      <vt:lpstr>EffortSharing</vt:lpstr>
      <vt:lpstr>ResourceLoad</vt:lpstr>
      <vt:lpstr>Assumptions</vt:lpstr>
      <vt:lpstr>DefinitionData</vt:lpstr>
      <vt:lpstr>Hybrid!_FilterDatabase</vt:lpstr>
      <vt:lpstr>compute_Boolean</vt:lpstr>
      <vt:lpstr>compute_Catalog</vt:lpstr>
      <vt:lpstr>compute_DevSuppTasks</vt:lpstr>
      <vt:lpstr>compute_Hybrid</vt:lpstr>
      <vt:lpstr>compute_Initiation</vt:lpstr>
      <vt:lpstr>compute_ManualOverrideHybrid</vt:lpstr>
      <vt:lpstr>compute_ManualOverrideMigration</vt:lpstr>
      <vt:lpstr>compute_ManualOverrideSPA</vt:lpstr>
      <vt:lpstr>compute_ManualOverrideUI</vt:lpstr>
      <vt:lpstr>compute_Migration</vt:lpstr>
      <vt:lpstr>compute_ProgSuppTasks</vt:lpstr>
      <vt:lpstr>compute_SPA</vt:lpstr>
      <vt:lpstr>compute_UI</vt:lpstr>
      <vt:lpstr>compute_YesNo</vt:lpstr>
      <vt:lpstr>definition_Assimilation</vt:lpstr>
      <vt:lpstr>definition_Complexity</vt:lpstr>
      <vt:lpstr>definition_Hybrid</vt:lpstr>
      <vt:lpstr>definition_Migration</vt:lpstr>
      <vt:lpstr>definition_MigrationCompToggle</vt:lpstr>
      <vt:lpstr>definition_Module</vt:lpstr>
      <vt:lpstr>definition_ModuleMaster</vt:lpstr>
      <vt:lpstr>definition_SPA</vt:lpstr>
      <vt:lpstr>definition_UI</vt:lpstr>
      <vt:lpstr>effort_Cat_Accessibility</vt:lpstr>
      <vt:lpstr>effort_Cat_CodeRevew</vt:lpstr>
      <vt:lpstr>effort_Cat_CodeReview</vt:lpstr>
      <vt:lpstr>effort_Cat_DevCBTesting</vt:lpstr>
      <vt:lpstr>effort_Cat_DevRWDTesting</vt:lpstr>
      <vt:lpstr>effort_Cat_Documentation</vt:lpstr>
      <vt:lpstr>effort_Cat_NFR</vt:lpstr>
      <vt:lpstr>effort_Cat_ReqDocumentation</vt:lpstr>
      <vt:lpstr>effort_Cat_REST</vt:lpstr>
      <vt:lpstr>effort_Cat_SPA</vt:lpstr>
      <vt:lpstr>effort_Cat_TestDocumentation</vt:lpstr>
      <vt:lpstr>effort_Cat_UI</vt:lpstr>
      <vt:lpstr>effort_Cat_UI_Compliance</vt:lpstr>
      <vt:lpstr>effort_CommonTask</vt:lpstr>
      <vt:lpstr>effort_Dev</vt:lpstr>
      <vt:lpstr>effort_Hybrid</vt:lpstr>
      <vt:lpstr>effort_Hybrid_Android</vt:lpstr>
      <vt:lpstr>effort_Hybrid_iOS</vt:lpstr>
      <vt:lpstr>effort_HybridLayer</vt:lpstr>
      <vt:lpstr>effort_Initiation</vt:lpstr>
      <vt:lpstr>effort_Migration</vt:lpstr>
      <vt:lpstr>effort_SPA</vt:lpstr>
      <vt:lpstr>effort_SPA_Catalogue</vt:lpstr>
      <vt:lpstr>effort_SPA_Design</vt:lpstr>
      <vt:lpstr>effort_SPA_Dev</vt:lpstr>
      <vt:lpstr>effort_Support_Dev</vt:lpstr>
      <vt:lpstr>effort_Support_Prog</vt:lpstr>
      <vt:lpstr>effort_TechDoc</vt:lpstr>
      <vt:lpstr>effort_Total</vt:lpstr>
      <vt:lpstr>effort_UI</vt:lpstr>
      <vt:lpstr>effort_UI_PageCount</vt:lpstr>
      <vt:lpstr>effort_UI_PageEffort</vt:lpstr>
    </vt:vector>
  </TitlesOfParts>
  <Company>Cognizant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Ramappa, Abhilash (Cognizant)</dc:creator>
  <cp:lastModifiedBy>Dev</cp:lastModifiedBy>
  <cp:lastPrinted>2018-04-27T12:28:50Z</cp:lastPrinted>
  <dcterms:created xsi:type="dcterms:W3CDTF">2013-12-27T08:54:12Z</dcterms:created>
  <dcterms:modified xsi:type="dcterms:W3CDTF">2022-10-13T04:39:17Z</dcterms:modified>
</cp:coreProperties>
</file>